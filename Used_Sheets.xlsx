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RSL" sheetId="1" r:id="rId4"/>
    <sheet state="hidden" name="Página28" sheetId="2" r:id="rId5"/>
    <sheet state="visible" name="Fontes de pesquisa" sheetId="3" r:id="rId6"/>
    <sheet state="visible" name="Exemplo 1 - Total Experience" sheetId="4" r:id="rId7"/>
    <sheet state="visible" name="Exemplo 2 - Internet of Behavio" sheetId="5" r:id="rId8"/>
    <sheet state="visible" name="Cópia de Template RSL" sheetId="6" r:id="rId9"/>
    <sheet state="visible" name="Registro de Uso da IA p3" sheetId="7" r:id="rId10"/>
    <sheet state="visible" name="Resumo da seleção da parte 3" sheetId="8" r:id="rId11"/>
    <sheet state="visible" name="Prompt e critérios" sheetId="9" r:id="rId12"/>
    <sheet state="visible" name="Registro de Uso da IA (Prompt e" sheetId="10" r:id="rId13"/>
    <sheet state="visible" name="Cópia de Extração" sheetId="11" r:id="rId14"/>
    <sheet state="visible" name="Cópia de Métricas e Desempenho" sheetId="12" r:id="rId15"/>
    <sheet state="visible" name="Cópia de Respostas das Pergunta" sheetId="13" r:id="rId16"/>
  </sheets>
  <definedNames>
    <definedName hidden="1" localSheetId="6" name="_xlnm._FilterDatabase">'Registro de Uso da IA p3'!$C$1:$N$994</definedName>
  </definedNames>
  <calcPr/>
</workbook>
</file>

<file path=xl/sharedStrings.xml><?xml version="1.0" encoding="utf-8"?>
<sst xmlns="http://schemas.openxmlformats.org/spreadsheetml/2006/main" count="7103" uniqueCount="3052">
  <si>
    <t>TENDÊNCIAS E DESAFIOS EM SI - ESTRUTURAÇÃO DA INVESTIGAÇÃO SISTEMÁTICA</t>
  </si>
  <si>
    <t>//</t>
  </si>
  <si>
    <t>Parte 1: Planejamento</t>
  </si>
  <si>
    <t>Comentários do professor</t>
  </si>
  <si>
    <t>Integrantes do time:</t>
  </si>
  <si>
    <t>Luiza Trigueiro, Giovanna Clócate, Antonio Carolino, Beatriz Mergulhão, Mateus Ribeiro, Luiz Miguel Gonzaga</t>
  </si>
  <si>
    <t>//////////////////////////////////////</t>
  </si>
  <si>
    <t>Tema de pesquisa:</t>
  </si>
  <si>
    <t>Desenvolvimento e uso de agentes de IA para tomada de decisão e automação em operações de atendimento ao cliente (triagem e roteamento de tickets, resposta assistida/copilot, priorização por SLA, escalonamento, sumarização e registro no CRM, QA/compliance de conversas e pós-atendimento (NPS/retensão)), considerando técnicas (LLMs, MAS, RL), processo de desenvolvimento e personalização por políticas e segmentos.</t>
  </si>
  <si>
    <t>/</t>
  </si>
  <si>
    <t>Objetivos da pesquisa:</t>
  </si>
  <si>
    <t>1. Analisar a eficácia da implementação de agentes de IA em processos de tomada de decisão e automação de tarefas em organizações de médio porte.
2. Investigar como os agentes de IA impactam a estrutura de trabalho, considerando requalificação de colaboradores, produtividade e integração tecnológica.
3. Propor diretrizes e boas práticas para o desenvolvimento e adoção de agentes de IA de forma ética, eficiente e personalizada.</t>
  </si>
  <si>
    <t>Motivação/Justificativa:</t>
  </si>
  <si>
    <t>1. Agentes de IA são cruciais para a otimização de custos, aumento da velocidade e precisão na tomada de decisão, e para a liberação de colaboradores para tarefas mais estratégicas.
2. O uso de IA em organizações levanta questões complexas, como a confiabilidade dos agentes (o problema da "caixa-preta"), a necessidade de ética e compliance nos processos automatizados, e o desafio da integração com sistemas legados. Sua pesquisa pode ajudar a mitigar esses riscos.
3. O mercado precisa de diretrizes práticas sobre como migrar do piloto de IA para a implementação em escala (em toda a organização) de forma eficaz. Seus resultados podem fornecer insights valiosos sobre melhores práticas, ferramentas ou estratégias de gestão dessa tecnologia.</t>
  </si>
  <si>
    <t>Artigos referência (título e link):</t>
  </si>
  <si>
    <t>Artificial Intelligence in Decision-making: Literature Review ( https://www.researchgate.net/publication/389628330_Artificial_Intelligence_in_Decision-making_Literature_Review?enrichId=rgreq-006d8c151c452875c7f4ea9c2f54702f-XXX&amp;enrichSource=Y292ZXJQYWdlOzM4OTYyODMzMDtBUzoxMTQzMTI4MTMxNDI4MTkxNkAxNzQxMjk0Nzc4ODM5&amp;el=1_x_3 )         ,                                                                                                                                                                                                                                                                                                                                                                     Nazmiye Guler, Samuel N. Kirshner, Richard Vidgen,
A literature review of artificial intelligence research in business and management using machine learning and ChatGPT,
Data and Information Management,
Volume 8, Issue 3,
2024,
100076,
ISSN 2543-9251,
https://doi.org/10.1016/j.dim.2024.100076.
(https://www.sciencedirect.com/science/article/pii/S2543925124000123)
Autonomous AI Agents Transforming Enterprise Operations: From Static Automation
to Intelligent Decision-Making Systems
Maurya Priyadarshi
Manipal Institute of Technology, Manipal University, India
https://sarcouncil.com/download-article/SJMD-199-2025-863-870.pdf</t>
  </si>
  <si>
    <t>Título e link da 1 revisão selecionada</t>
  </si>
  <si>
    <t>Artificial Intelligence in Decision-making: Literature Review ( https://www.researchgate.net/publication/389628330_Artificial_Intelligence_in_Decision-making_Literature_Review?enrichId=rgreq-006d8c151c452875c7f4ea9c2f54702f-XXX&amp;enrichSource=Y292ZXJQYWdlOzM4OTYyODMzMDtBUzoxMTQzMTI4MTMxNDI4MTkxNkAxNzQxMjk0Nzc4ODM5&amp;el=1_x_3 )                        Semelhanças: O foco central de ambas é o uso de agentes de IA para tomada de decisão, focando na otimização de processos e aumento da eficiência. Diferenças: O artigo se concentra mais em uma visão geral dos impactos da IA em várias áreas de tomada de decisão, analisando esse aspecto de forma mais ampla, enquanto a proposta do grupo foca especificamente nas organizações de médio porte e nos desafios da automação de tarefas repetitivas por agentes de IA</t>
  </si>
  <si>
    <t>Título e link da 2 revisão selecionada</t>
  </si>
  <si>
    <r>
      <rPr>
        <rFont val="Arial"/>
        <i/>
        <color rgb="FF0000FF"/>
      </rPr>
      <t xml:space="preserve">Quais as semelhanças e diferenças da 2 revisão com a revisão a ser desenvolvida pelo grupo? A literature review of artificial intelligence research in business and
management using machine learning and ChatGPT
Nazmiye Guler, Samuel N. Kirshner *
University of New South Wales Business School, Sydney, 2052, Australia
Richard Vidgen
University of New South Wales Business School, Sydney, 2052, Australia
University of Hull, School of Management, Hull, HU6 7RX, UK  </t>
    </r>
    <r>
      <rPr>
        <rFont val="Arial"/>
        <i/>
        <color rgb="FF1155CC"/>
        <u/>
      </rPr>
      <t>https://www.sciencedirect.com/science/article/pii/S2543925124000123</t>
    </r>
    <r>
      <rPr>
        <rFont val="Arial"/>
        <i/>
        <color rgb="FF0000FF"/>
      </rPr>
      <t xml:space="preserve">                                                             Semelhanças:
Ambos os artigos abordam a aplicação de inteligência artificial em contextos organizacionais, com foco em autonomia e tomada de decisão. Ambos reconhecem o impacto potencial da IA em otimizar operações e aumentar a eficiência, e discutem a necessidade de estruturas de governança para garantir a eficácia e segurança no uso de IA. Ambos também lidam com avanços tecnológicos, como modelos de linguagem, no desenvolvimento de sistemas de IA autônomos.
Diferenças:
O artigo de Priyadarshi foca especificamente em agentes de IA autônomos, detalhando como eles evoluem da automação estática para sistemas inteligentes de tomada de decisão, com arquiteturas complexas e exemplos práticos em diversas áreas de operação empresarial. Já o artigo sobre AI em pesquisa de negócios e gestão utiliza técnicas de aprendizado de máquina para realizar revisões de literatura computacionais, abordando temas amplos como impacto da IA nas organizações e utilizando ferramentas como o ChatGPT para análise e rotulação de tópicos em grandes volumes de pesquisa.
Essa comparação pode ajudar a destacar os aspectos práticos de implementação de IA no artigo de Priyadarshi, enquanto o artigo de Guler et al. oferece uma visão macro sobre como as tecnologias de IA estão sendo exploradas na literatura de negócios e gestão.</t>
    </r>
  </si>
  <si>
    <t>Título e link da 3 revisão selecionada</t>
  </si>
  <si>
    <r>
      <rPr>
        <rFont val="Arial"/>
        <i/>
        <color rgb="FF0000FF"/>
      </rPr>
      <t xml:space="preserve">Quais as semelhanças e diferenças da 3 revisão com a revisão a ser desenvolvida pelo grupo? Autonomous AI Agents Transforming Enterprise Operations: From Static Automation
to Intelligent Decision-Making Systems
Maurya Priyadarshi
Manipal Institute of Technology, Manipal University, India </t>
    </r>
    <r>
      <rPr>
        <rFont val="Arial"/>
        <i/>
        <color rgb="FF1155CC"/>
        <u/>
      </rPr>
      <t>https://sarcouncil.com/download-article/SJMD-199-2025-863-870.pdf</t>
    </r>
    <r>
      <rPr>
        <rFont val="Arial"/>
        <i/>
        <color rgb="FF0000FF"/>
      </rPr>
      <t xml:space="preserve">                                     Semelhanças:      Tanto a revisão de Priyadarshi (2025) quanto a pesquisa do grupo tratam do uso de agentes de IA para automação de tarefas e tomada de decisão em organizações, destacando ganhos de eficiência, redução de custos e aumento da produtividade, além de reconhecerem desafios como confiabilidade, segurança, compliance e impactos no trabalho humano. No entanto, enquanto o artigo internacional tem um foco mais técnico e abrangente, detalhando arquiteturas, frameworks (como LangChain, Microsoft Copilot e Relevance AI) e múltiplos casos práticos em áreas como atendimento ao cliente, operações de TI e vendas, a revisão do grupo concentra-se em organizações de médio porte, analisando a eficácia e os desafios da implementação de agentes de IA especificamente em tarefas repetitivas e propondo metodologias de adoção. Assim, enquanto o artigo mapeia estratégias globais e ferramentas de larga escala, a pesquisa do grupo se dedica mais aos impactos organizacionais, à realocação de pessoas e às diretrizes de uso em contextos mais restritos.                                                                                                                           </t>
    </r>
  </si>
  <si>
    <t>Questão central de pesquisa:</t>
  </si>
  <si>
    <t>Como a implementação de agentes de IA em operações de atendimento ao cliente pode melhorar a eficiência, a produtividade e a qualidade do serviço em organizações de médio porte, considerando os desafios de integração tecnológica, as mudanças na estrutura de trabalho e os impactos na experiência dos colaboradores e dos clientes?</t>
  </si>
  <si>
    <t>Questões secundárias:</t>
  </si>
  <si>
    <t>Como os agentes de IA influenciam a alocação e redistribuição de tarefas em equipes de atendimento ao cliente, e de que forma isso afeta a gestão de pessoal nas organizações de médio porte?
Quais são as implicações éticas e operacionais do uso de agentes de IA para automação de decisões e interações com clientes, e como essas questões podem ser monitoradas e mitigadas?
Como a adoção de agentes de IA altera as competências e habilidades exigidas dos colaboradores em operações de atendimento, especialmente em relação à interpretação, supervisão e colaboração com sistemas autônomos?</t>
  </si>
  <si>
    <t xml:space="preserve">Método: </t>
  </si>
  <si>
    <t xml:space="preserve">Revisão sistemática </t>
  </si>
  <si>
    <t>RESULTADO ESPERADO PARTE 1:</t>
  </si>
  <si>
    <t>Planejamento da pesquisa, definindo tema, objetivos, motivação, questões de pesquisa, fundamentados por ao menos 3 artigos de referência.</t>
  </si>
  <si>
    <t>Principais Bases de Pesquisa</t>
  </si>
  <si>
    <t>Scopus</t>
  </si>
  <si>
    <r>
      <rPr/>
      <t xml:space="preserve">Tutorial Scopus - Busca Avançada: </t>
    </r>
    <r>
      <rPr>
        <color rgb="FF1155CC"/>
        <u/>
      </rPr>
      <t>https://www.youtube.com/watch?v=tmchre5JjFA</t>
    </r>
  </si>
  <si>
    <t>Exemplo simples de busca avançada: https://www.youtube.com/watch?v=MdUadNWrS_8</t>
  </si>
  <si>
    <t>ACM</t>
  </si>
  <si>
    <r>
      <rPr/>
      <t xml:space="preserve">Navegando na ACM Library: </t>
    </r>
    <r>
      <rPr>
        <color rgb="FF1155CC"/>
        <u/>
      </rPr>
      <t>https://www.youtube.com/watch?v=zUHF4w-6nhc</t>
    </r>
  </si>
  <si>
    <t>Exemplo simples de busca avançada: https://www.youtube.com/watch?v=_QtrHrHOlFg</t>
  </si>
  <si>
    <t>IEEE</t>
  </si>
  <si>
    <r>
      <rPr/>
      <t xml:space="preserve">Tutorial IEEExplore for RSL - </t>
    </r>
    <r>
      <rPr>
        <color rgb="FF1155CC"/>
        <u/>
      </rPr>
      <t>https://www.youtube.com/watch?v=_i6vIjHGh0I</t>
    </r>
  </si>
  <si>
    <r>
      <rPr>
        <color rgb="FF6AA84F"/>
      </rPr>
      <t xml:space="preserve">Exemplo simples de busca avançada: </t>
    </r>
    <r>
      <rPr>
        <color rgb="FF6AA84F"/>
        <u/>
      </rPr>
      <t>https://www.youtube.com/watch?v=C-LXhuLCZdQ</t>
    </r>
  </si>
  <si>
    <t>Outras bases: Springer, Science Direct, Emerald, AIS</t>
  </si>
  <si>
    <t>Total experience e o impacto em como os produtos/serviços estão sendo construídos</t>
  </si>
  <si>
    <t xml:space="preserve">Entender os impactos do total experience nos serviços/produtos ao longo do tempo
Entender quais são as principais aplicações do total experience em casos reais
</t>
  </si>
  <si>
    <t xml:space="preserve">Tendência estratégica do ano de 2021 (Gartner)
Mudanças dos produtos e serviços no pós-pandemia
Há uma mudança gradual do consumo de commodities, que além de bens/serviços, são vistos como experiências. A quarta onda na progressão econômica trouxe o surgimento de uma nova economia: “A economia da experiência”  (Jain et al., 2016, Journal of Service Theory and Practice, Vol. 27 Issue: 3, p. 642)
Essencial para a sobrevivência no competitivo ambiente de e-commerce de hoje, onde o concorrente é apenas um clique de distância; Significa que as empresas precisam encontrar maneiras de oferecer aos clientes uma experiência única, muito mais do que preços baixos (BILGIHAN, 2016, International Journal of Quality and Service Sciences p. 102)
</t>
  </si>
  <si>
    <t xml:space="preserve"> Client-led Design: A Systemic Approach to Information Systems Definition 
e-Government information systems: Evaluation-led design for public value and client trust
Managing the Total Customer Experience
Small business digital transformation in the context of the pandemic
Impact of customer experience on loyalty a multichannel examination
Customer experience – a review and research agenda
Towards a unified customer experience in online shopping environments
Customer experience management in hospitality: a literature synthesis, new understanding, and research agenda</t>
  </si>
  <si>
    <t>Total experience:  Como o design dirigido ao cliente está impactando os processos dos produtos/serviços no varejo online?</t>
  </si>
  <si>
    <t>Q1 - O estudo define os componentes do total experience? Se sim, como?
Q2 -  Como total experience é aplicada nas organizações atuais? 
Q3 - Quais são os principais impactos(Pessoas, tecnologias e processos) da total experience nos serviços/produtos, de acordo com os estudos encontrados? 
Q4 - Qual são as principais funções que as  mídias sociais oferecem para a  total experience?</t>
  </si>
  <si>
    <t xml:space="preserve">Revisão </t>
  </si>
  <si>
    <t>Planejamento da pesquisa, definindo tema, objetivos, motivação, questões de pesquisa, fundamentados por ao menos 2 artigos de referência.</t>
  </si>
  <si>
    <t>Parte 2: Protocolo de Pesquisa</t>
  </si>
  <si>
    <t>Palavras-chave:</t>
  </si>
  <si>
    <t>total experience, online retail, customer</t>
  </si>
  <si>
    <t>Sinônimos por palavras-chave:</t>
  </si>
  <si>
    <t>total experience or multiexperience or user experience or customer experience , 
online retail or e-commerce or eletronic commerce,
customer or client or user</t>
  </si>
  <si>
    <t>String de busca:</t>
  </si>
  <si>
    <t>( "total experience" OR multiexperience OR "user experience" OR "customer experience" ) AND ( "online retail" OR e-commerce OR "eletronic commerce" ) AND ( customer OR client OR user )
( "total experience" OR multiexperience OR "customer experience" ) AND ( "online retail" OR e-commerce OR "eletronic commerce" ) AND ( customer OR client OR user )</t>
  </si>
  <si>
    <t>Fontes de pesquisa usadas:</t>
  </si>
  <si>
    <t>ACM, IEEE Xplore, Scopus e Science Direct</t>
  </si>
  <si>
    <t>Executar as strings nas bases:</t>
  </si>
  <si>
    <t>Usar ferramentas de busca automáticas, considerando o período de 2015 a 2020, planilhando os resultados.</t>
  </si>
  <si>
    <t>Primeiros números por fonte de pesquisa:</t>
  </si>
  <si>
    <t>Hawaii International Conference on System Sciences 2020 (HICSS-53) - 48 resultados
ICIS Proceedings - 76 resultados
AMCIS Proceedings - 49 resultados
Wirtschaftsinformatik Proceedings - 12 resultados
International Conference on Information Systems Development (ISD) - 1 resultado</t>
  </si>
  <si>
    <t>RESULTADO ESPERADO PARTE 2:</t>
  </si>
  <si>
    <t xml:space="preserve">String de busca definida e aplicada nas bases de pesquisa. Se os resultados encontrados estão relacionados com o tema, exportar os resultados para uma planilha para que os filtros da Parte 3 possam ser aplicados. </t>
  </si>
  <si>
    <t>Parte 3: Definindo e Aplicando Filtros</t>
  </si>
  <si>
    <t>Critérios de exclusão:</t>
  </si>
  <si>
    <t>CE01- Artigos que não estejam no período de 2015 a 2020;
CE02 - Artigos secundários (outra RSL ou MS);
CE03 - Artigos com conteúdo pago;
CE04 - Artigos duplicados ou similares;
CE05 - Artigos indisponíveis para download ou visualização;
CE06 - Artigos que não estejam relacionados com as perguntas de pequisa</t>
  </si>
  <si>
    <t>Critérios de inclusão:</t>
  </si>
  <si>
    <t>CI01 - Artigos da base AIS
CI02 - Artigos que não estejam relacionados com as perguntas de pesquisa</t>
  </si>
  <si>
    <t>Filtro 1 (Título e Resumo):</t>
  </si>
  <si>
    <t xml:space="preserve">Hawaii International Conference on System Sciences 2020 (HICSS-53) -  5 resultados
ICIS Proceedings - 8 resultados
AMCIS Proceedings -  9 resultados
</t>
  </si>
  <si>
    <t>Filtro 2 (Introdução e Conclusão):</t>
  </si>
  <si>
    <r>
      <rPr>
        <rFont val="Arial"/>
        <i/>
        <color rgb="FF0000FF"/>
      </rPr>
      <t xml:space="preserve">Informar o número de artigos por cada base, após a aplicação do filtro verificando a introdução e conclusão do artigo. </t>
    </r>
    <r>
      <rPr>
        <rFont val="Arial"/>
        <i/>
        <color rgb="FFFF0000"/>
      </rPr>
      <t xml:space="preserve">
Obs: o filtro 2 só é usado caso você não consiga decidir se o artigo é válido ou não usando o filtro 1.</t>
    </r>
  </si>
  <si>
    <t>Como os critérios serão aplicados?</t>
  </si>
  <si>
    <t>Os critérios de exclusão foram aplicados com base no título e resumo (analisando os dados das perguntas de 1 a 5 e utilizando as palavras chaves e conceitos para validar o critério 6)
O critério de inclusão 1 foi automatica aprovado em todos, mas com base no critério 6 automaticamente é selecionado ou não.</t>
  </si>
  <si>
    <t>RESULTADO ESPERADO PARTE 3:</t>
  </si>
  <si>
    <r>
      <rPr>
        <b/>
        <color rgb="FF1155CC"/>
        <u/>
      </rPr>
      <t>Planilha com a lista de estudos</t>
    </r>
    <r>
      <rPr>
        <b/>
      </rPr>
      <t>. Os títulos que passaram pelo filtro 1 devem ser pintados de verde, os em dúvida pintados de amarelo e os que não passaram em vermelho. Sinalizar qual o filtro usado para os vermelhos. Os estudos em amarelo deverão passar pelo filtro 2, tornando-se verde ou vermelho.</t>
    </r>
  </si>
  <si>
    <t>Parte 4: Qualificando os Estudos</t>
  </si>
  <si>
    <t>Critérios de qualidade:</t>
  </si>
  <si>
    <t>Contexto Claro, Metodologia bem definida, Aplicação Prática, Discussão relevantes e consistentes e Limitações e ameaças da pesquisa comentadas</t>
  </si>
  <si>
    <t>Analisar atráves dos critérios de qualidade se o artigo atende ou não as necessidades da nossa qualificação.</t>
  </si>
  <si>
    <t>RESULTADO ESPERADO PARTE 4:</t>
  </si>
  <si>
    <r>
      <rPr>
        <b/>
        <color rgb="FF1155CC"/>
        <u/>
      </rPr>
      <t>Planilha com a lista de estudos pintados de verde, acrescentando colunas com os critérios de qualidade</t>
    </r>
    <r>
      <rPr>
        <b/>
      </rPr>
      <t>. Cada estudo deverá ter uma "nota de qualidade", somando as notas de cada critério. Para valorar o critérios usar a seguinte escala: "0 - não tende; 0.5 - atende parcialmente; 1.0 - atendente totalmente".</t>
    </r>
  </si>
  <si>
    <t>Parte 5: Seleção de Artigos</t>
  </si>
  <si>
    <t>Artigos selecionados por fonte:</t>
  </si>
  <si>
    <t xml:space="preserve"> Hawaii International Conference on System Sciences 2020 (HICSS-53) -  4 resultados
ICIS Proceedings -  7 resultados
AMCIS Proceedings -  5 resultados</t>
  </si>
  <si>
    <t>Artigos selecionados para análise:</t>
  </si>
  <si>
    <t>Does Being Reputable Drive Customer Equity? Evidence from E-Commerce
Web Experience and Growth
User Experience in Personalized E-Commerce: A Configurational Approach
Biases in Social Commerce Users' Rational Risk Considerations
Exploring Trust and Enjoyment in Social Commerce: A Cross-Cultural Research Proposal
Contemporary Micro-IT Capabilities and Organizational Performance: The Role of Online Customer Engagement
E-Services: An Experience Centric Perspective
Deal or No Deal? - Asessing the Daily Deal Shopper
Customer Attitude from Social Media, Customer Satisfaction Index, and Firm Value
Online Search Behavior in the Air Travel Market: Reconsidering the Consideration Set and Customer Journey Concepts
Employing Mixed Reality Applications: Customer Experience Perspective
Digital Transformation: Of Paradoxical Tensions and Managerial Responses
Towards Developing Trust-Supporting Design Features for AI-Based Chatbots in Customer Service
Conversational Agents - Exploring Generative Mechanisms and Second-hand Effects of Actualized Technology Affordances
A Mixed Method Approach to Understanding Crowdsourcees’ Engagement Behavior</t>
  </si>
  <si>
    <t>RESULTADO ESPERADO PARTE 5:</t>
  </si>
  <si>
    <r>
      <rPr>
        <b/>
        <color rgb="FF1155CC"/>
        <u/>
      </rPr>
      <t>Planilha com a lista de estudos qualificados</t>
    </r>
    <r>
      <rPr>
        <b/>
      </rPr>
      <t>, com suas respectivas notas de qualidade. Os estudos com notas iguais ou superior a 50% da maior nota e qualidade deverão ser selecionados para a lista final de artigos, ordenada pelo ano de publicação.</t>
    </r>
  </si>
  <si>
    <t>Parte 6: Coleta de Evidências</t>
  </si>
  <si>
    <t>Critérios de responsividade:</t>
  </si>
  <si>
    <t xml:space="preserve">1- Responde, 0.5- Responde parcialmente e 0 - Não </t>
  </si>
  <si>
    <t>Respostas às questões de pesquisa:</t>
  </si>
  <si>
    <r>
      <rPr>
        <i/>
        <color rgb="FF1155CC"/>
        <u/>
      </rPr>
      <t>Link para planilha de respostas</t>
    </r>
    <r>
      <rPr>
        <i/>
        <color rgb="FF0000FF"/>
      </rPr>
      <t>, informando para cada artigo, qual a questão que ele responde, de acordo com os critérios de responsividade. Não esquecer de guardar evidências das respostas (trecho do artigo).</t>
    </r>
  </si>
  <si>
    <t>RESULTADO ESPERADO PARTE 6:</t>
  </si>
  <si>
    <t>Planilha com a lista finais selecionados, incluindo as colunas com as questões de pesquisa. Para cada questão buscar nos estudo trechos do artigo que respondem a questão.</t>
  </si>
  <si>
    <t>Parte 7: Análise &amp; Síntese de Dados</t>
  </si>
  <si>
    <t>Respondendo questões de pesquisa:</t>
  </si>
  <si>
    <t>Selecionar palavras-chaves (tags) dos trechos selecionados como resposta das questões de pesquisa. Consolidar as respostas a partir destas palavras-chaves. Verificar softwares que possam ajudar nisso.</t>
  </si>
  <si>
    <t>RESULTADO ESPERADO PARTE 7:</t>
  </si>
  <si>
    <t xml:space="preserve">Análise e síntese dos resultados encontrados, de acordo os exemplos recomendados. </t>
  </si>
  <si>
    <t>Serviços Baseados em IoT a partir da coleta dos dados pessoais.</t>
  </si>
  <si>
    <t xml:space="preserve">Investigar a influência da coleta dos dados pessoais nos serviços de saúde baseados em IoT.
Verificar o impacto dos serviços baseados em IoT na saúde das pessoas.
</t>
  </si>
  <si>
    <t xml:space="preserve">Este assunto é relevante pois segundo Gartner até 2020 já teríamos a tecnologia de IoT em 95% dos eletrônicos.
Soluções desenvolvidas em IoT têm contribuído para avanços na área de saúde.
Os dispositivos IoT permitem a coleta de dados em grande volume, online e em tempo real.
</t>
  </si>
  <si>
    <r>
      <rPr>
        <i/>
        <color rgb="FF1155CC"/>
        <u/>
      </rPr>
      <t xml:space="preserve">http://clyde.dr.ufu.br/bitstream/123456789/24847/3/EstudoAplicacaoSistema.pdf  
https://revista.fatectq.edu.br/index.php/interfacetecnologica/article/view/515/304 
https://lcv.fee.unicamp.br/images/BTSym-17/Papers/72535.pdf 
https://nvlpubs.nist.gov/nistpubs/ir/2021/NIST.IR.8228pt.pdf
</t>
    </r>
    <r>
      <rPr>
        <i/>
        <color rgb="FF1155CC"/>
        <u/>
      </rPr>
      <t>https://sci-hub.se/https://ieeexplore.ieee.org/abstract/document/8423891</t>
    </r>
    <r>
      <rPr>
        <i/>
        <color rgb="FF1155CC"/>
        <u/>
      </rPr>
      <t xml:space="preserve">
</t>
    </r>
    <r>
      <rPr>
        <i/>
        <color rgb="FF1155CC"/>
        <u/>
      </rPr>
      <t>https://sci-hub.se/https://www.sciencedirect.com/science/article/abs/pii/S0167739X17314127</t>
    </r>
  </si>
  <si>
    <t>Como as soluções utilizando IoT estão sendo aplicadas na saúde das pessoas?</t>
  </si>
  <si>
    <t>Q1 - Quais as tecnologias de IoT estão sendo usadas?
Q2 - Que tipo de serviço está sendo utilizado?
Q3 - Quais dados estão sendo coletados?
Q4 - Qual impacto na saúde das pessoas?</t>
  </si>
  <si>
    <t>Revisão.</t>
  </si>
  <si>
    <t>1 - Internet of Things
2 - Healthcare
3 - Medicine</t>
  </si>
  <si>
    <t>Internet of Things - IoT
Healthcare - Health- Personal Health
Medicine - Preventive Medicine</t>
  </si>
  <si>
    <t>V1 - (Internet of Things OR IoT) AND (Internet of Behaviors OR IoB) AND (Healthcare OR Preventive Medicine OR Preventive Care OR Personal Health) AND (Big Data Analytics OR Analytics OR Data Analysis)
V2 - (Internet of Things OR IoT) AND (Internet of Behaviors OR IoB) AND (Healthcare OR Preventive Medicine OR Preventive Care OR Personal Health) AND (Big Data Analytics OR Data Analysis)
V3 - (Internet of Things OR IoT) AND (Internet of Behaviors OR IoB) AND (Healthcare OR Preventive Medicine OR Personal Health) AND (Big Data Analytics OR Data Analysis)
V4 - (Internet of Things OR IoT) AND (Internet of Behaviors OR IoB) AND (Healthcare OR Preventive Medicine OR Personal Health) AND (Data Analysis)
V5 - (Internet of Things OR IoT) AND (Internet of Behaviors OR IoB) AND (Healthcare OR Preventive Medicine OR Personal Health) AND (Big Data Analytics OR Data Analysis)
String Final: ( "Internet of Things" OR IoT ) AND ( "Personal Health" OR Health OR Healthcare ) AND ( Medicine OR "Preventive Medicine" )</t>
  </si>
  <si>
    <t>https://docs.google.com/spreadsheets/d/10V3_Zgbui7HD5bgSpMVfZfrSk2H8XOczcJvvSw-eSm4/edit#gid=1546267202</t>
  </si>
  <si>
    <t>AMCIS Proceedings - 24 artigos
Hawaii International Conference on System Sciences (HICSS) - 42 artigos
ICIS Proceedings - 17 artigos
International Conference on Information Systems Development (ISD) - 04 artigos
Wirtschaftsinformatik Proceedings - 01 artigo
Total de 88 artigos encontrados</t>
  </si>
  <si>
    <t xml:space="preserve">- Artigos não relacionados ao tema e perguntas da pesquisa
- Artigos fora do período da pesquisa (2015 à 2020)
- Artigos indisponíveis para visualização
- Artigos com conteúdos pagos
</t>
  </si>
  <si>
    <t xml:space="preserve">- Artigos da base AIS
- Artigos relacionados ao tema e perguntas da pesquisa
- Artigos completos
</t>
  </si>
  <si>
    <t>AMCIS Proceedings - 10 artigos
Hawaii International Conference on System Sciences (HICSS) - 24 artigos
ICIS Proceedings - 06 artigos
International Conference on Information Systems Development (ISD) - 02 artigos
Total de 42 artigos encontrados</t>
  </si>
  <si>
    <t>AMCIS Proceedings - 03 artigos
Hawaii International Conference on System Sciences (HICSS) - 10 artigos
ICIS Proceedings - 02 artigos
Total de 15 artigos encontrados</t>
  </si>
  <si>
    <t>Durante a pesquisa, utilizamos a ferramenta da base AIS, selecionando assim, apenas artigos da própria base de dados, aplicamos então o filtro de data, excluíndo os artigos fora do período da pesquisa, em seguida tabulamos os resultados e fizemos uma análise individual avaliando os critérios de inclusão e exclusão, primeiramente selecionamos os artigos relacionados ao tema e perguntas da pesquisa, excluindo assim os artigos sem relação com o tema, em seguida utilizamos o título e resumo como como filtro inicial e verificamos as introduções e conclusões dos artigos como segundo filtro, durante o processo de análise podemos avaliar quais artigos possuíam conteúdo pago ou estavam indisponíveis para visualização, os excluíndo assim do processo.</t>
  </si>
  <si>
    <t>Planilha com a lista de estudos. Os títulos que passaram pelo filtro 1 devem ser pintados de verde, os em dúvida pintados de amarelo e os que não passaram em vermelho. Sinalizar qual o filtro usado para os vermelhos. Os estudos em amarelo deverão passar pelo filtro 2, tornando-se verde ou vermelho.</t>
  </si>
  <si>
    <t>- Contexto claro
- Metodologia bem definida
- Proposta bem apresentada
- Aplicação prática
- Discussões relevantes e consistentes
- Limitações e ameaças da pesquisa selecionada.</t>
  </si>
  <si>
    <t>Foram distribuídos os 15 artigos filtrados na Parte 3 entre os membros da equipe, para leitura e análise em concordância com os critérios estabelecidos, sendo atribuídas pontuações de acordo com a escala pré-definida.</t>
  </si>
  <si>
    <t>Planilha com a lista de estudos pintados de verde, acrescentando colunas com os critérios de qualidade. Cada estudo deverá ter uma "nota de qualidade", somando as notas de cada critério. Para valorar o critérios usar a seguinte escala: "0 - não tende; 0.5 - atende parcialmente; 1.0 - atendente totalmente".</t>
  </si>
  <si>
    <t>AMCIS Proceedings - 02 artigos
Hawaii International Conference on System Sciences (HICSS) - 09 artigos
ICIS Proceedings - 02 artigos
Total de 13 artigos selecionados</t>
  </si>
  <si>
    <t>https://docs.google.com/spreadsheets/d/1FeaD2UoM5sB2fkhJYgRnT_PjjyTy7EzvOzXjL8T54Wo/edit#gid=711724059</t>
  </si>
  <si>
    <t>Planilha com a lista de estudos qualificados, com suas respectivas notas de qualidade. Os estudos com notas iguais ou superior a 50% da maior nota e qualidade deverão ser selecionados para a lista final de artigos, ordenada pelo ano de publicação.</t>
  </si>
  <si>
    <t xml:space="preserve">Definir critérios para classificação de respostas às perguntas de pesquisa, com escala de valor a sua escolha. Por exemplo, 1- Repsponde, 0.5- Responde parcialmente e 0 - Não responde. Ver exemplos nos artigos do drive da disciplina. </t>
  </si>
  <si>
    <t>Prompt</t>
  </si>
  <si>
    <t>AI Agents, Customer Service, Service Automation, Decision Making</t>
  </si>
  <si>
    <t>Agentes de IA: agentes inteligentes, sistemas autônomos, agentes cognitivos, agentes de software
Atendimento ao cliente: Customer Experience, Central de Serviços, Operações de Contact Center
Automação de serviços: Automação Inteligente, Otimização de Processos, Automação Robótica de Processos (RPA), Automação de tarefas,
Tomada de Decisão: Suporte a decisão</t>
  </si>
  <si>
    <t>("AI agents" OR "intelligent agents" OR "cognitive agents" OR "intelligent Agents"  OR  "autonomous Systems" OR "software Agents")
AND
("customer service" OR "customer experience" OR "service center" OR " contact center operations")
AND
( "services automation" OR "intelligent automation" OR "smart automation" OR "process optimization" OR "robotic process automation" OR "task automation")
AND
("decision making" OR  "decision support")</t>
  </si>
  <si>
    <t xml:space="preserve">&gt; The influence of artificial intelligence chatbot problem solving on customers’ continued usage intention in e-commerce platforms: an expectation-confirmation model approach
&gt; The Art of Talking Machines: A Comprehensive Literature Review of Conversational User Interfaces
&gt; From Decision Support to Decision Making: 
Autonomous AI Agents Shaping the Marketing
&gt; AI-driven nudges: Influence of chatbot personas on consumer food choices
</t>
  </si>
  <si>
    <t>Executar a string de busca nas bases:</t>
  </si>
  <si>
    <t>&gt; ACM 
&gt; IEEE
&gt; Scopus</t>
  </si>
  <si>
    <t xml:space="preserve">Para cada base (ou conferência), listar o número de artigos encontrados.
</t>
  </si>
  <si>
    <t>https://dl.acm.org/action/doSearch?fillQuickSearch=false&amp;target=advanced&amp;expand=dl&amp;AllField=AllField%3A%28"AI+agents"+OR+"intelligent+agents"+OR+"cognitive+agents"+OR+"autonomous+systems"+OR+"software+agents"%29+AND+AllField%3A%28"customer+service"+OR+"customer+experience"+OR+"contact+center+operations"%29+AND+AllField%3A%28"services+automation"+OR+"intelligent+automation"+OR+"smart+automation"+OR+"process+optimization"+OR+"robotic+process+automation"+OR+"task+automation"%29+AND+AllField%3A%28"decision+making"+OR+"decision+support"%29&amp;AfterYear=2020&amp;BeforeYear=2025&amp;queryID=13%2F9832995874</t>
  </si>
  <si>
    <t>https://ieeexplore.ieee.org/search/searchresult.jsp?action=search&amp;matchBoolean=true&amp;queryText=(%22All%20Metadata%22:%22AI%20agents%22%20OR%20%22All%20Metadata%22:%22intelligent%20agents%22%20OR%20%22All%20Metadata%22:%22cognitive%20agents%22%20OR%20%22All%20Metadata%22:%22intelligent%20Agents%22%20%20%22autonomous%20Systems%22%20OR.%20%22software%20Agents%22)%20AND%20(%22All%20Metadata%22:%22customer%20service%22%20OR%20%22All%20Metadata%22:%22customer%20experience%22%20OR%20%22All%20Metadata%22:%22central%20de%20servi%C3%A7os%22%20OR%20%22All%20Metadata%22:%22%20contact%20center%20operations%22)%20AND%20(%22All%20Metadata%22:%22Services%20Automation%22%20OR%20%22All%20Metadata%22:%22intelligent%20automation%22%20OR%20%22All%20Metadata%22:%22Smart%20Automation%22%20OR%20%22All%20Metadata%22:%22process%20optimization%22%20OR%20%22All%20Metadata%22:%22robotic%20process%20automation%22%20OR%20%22All%20Metadata%22:%22Task%20Automation%22)%20AND%20(%22All%20Metadata%22:%22Decision%20Making%22%20OR%20%22All%20Metadata%22:%20Decision%20Support%22)&amp;highlight=true&amp;returnType=SEARCH&amp;matchPubs=true&amp;returnFacets=ALL&amp;ranges=2020_2025_Year</t>
  </si>
  <si>
    <t>https://www.scopus.com/results/results.uri?sort=plf-f&amp;src=s&amp;sid=b60ecc03b8d49e9753ad00f56367fbe4&amp;sot=a&amp;sdt=cl&amp;sl=442&amp;s=%28%22AI+agents%22+OR+%22intelligent+agents%22+OR+%22cognitive+agents%22+OR+%22intelligent+Agents%22+OR+%22autonomous+Systems%22+OR+%22software+Agents%22%29+AND+%28%22customer+service%22+OR+%22customer+experience%22+OR+%22central+de+servi%26%23231%3Bos%22+OR+%22contact+center+operations%22%29+AND+%28%22Services+Automation%22+OR+%22intelligent+automation%22+OR+%22Smart+Automation%22+OR+%22process+optimization%22+OR+%22robotic+process+automation%22+OR+%22Task+Automation%22%29+AND+%28%22Decision+Making%22+OR+%22Decision+Support%22%29&amp;origin=resultslist&amp;editSaveSearch=&amp;txGid=4dfd1e4cdeda15c322ca2696a13e3c1e&amp;sessionSearchId=b60ecc03b8d49e9753ad00f56367fbe4&amp;limit=10&amp;yearFrom=2020&amp;yearTo=2025</t>
  </si>
  <si>
    <t>Total de Artigos</t>
  </si>
  <si>
    <t>1. Investigate the use of AI agents (such as LLMs, multi-agent systems, or reinforcement learning) applied to decision-making or task automation in organizational contexts.
2. Address customer service operations, process automation, or business decision support.
3. Present empirical or experimental evidence, or case studies, on the implementation or impact of these agents.
4. Be available in full text, written in English or Portuguese.</t>
  </si>
  <si>
    <t>1. Articles that do not directly address AI agents focused on decision-making, organizational automation, or decision support in organizational contexts.
2. Articles without full-text access, either due to lack of open access or unavailability via institutional credentials.
3. Articles published before 2020 .
4. Duplicate records found in different databases or multiple versions of the same study.
5. Short papers or summarized formats, including extended abstracts, posters, short reports, or articles with less than 6 pages of main content.</t>
  </si>
  <si>
    <t>System prompt:
Assume you are an expert professor in Software Engineering conducting a systematic literature review.
Your task is to evaluate studies based on specific criteria:
Inclusion Criteria (IC): 
1. Investigate the use of AI agents (such as LLMs, multi-agent systems, or reinforcement learning) applied to decision-making or task automation in organizational contexts.
2. Address customer service operations, process automation, or business decision support.
3. Present empirical or experimental evidence, or case studies, on the implementation or impact of these agents.
4. Be available in full text, written in English or Portuguese.
Exclusion Criteria (EC): Exclusion criteria from primary candidate study
1. Articles that do not directly address AI agents focused on decision-making, organizational automation, or decision support in organizational contexts.
2. Articles without full-text access, either due to lack of open access or unavailability via institutional credentials.
3. Articles published before 2020 .
4. Duplicate records found in different databases or multiple versions of the same study.
5. Short papers or summarized formats, including extended abstracts, posters, short reports, or articles with less than 6 pages of main content.
For scoring, use only 1 or 0: Assign a score of 1 for strong alignment with all inclusion criteria. Assign a score of 0 if any inclusion criteria are not satisfied or if any exclusion criteria are met.
You’ll score studies based on their title and abstracts.
For the response, use the following format: Response Format: Begin with ‘‘Score: X’’ followed by ‘‘Justification:’’ that explains why the study was considered relevant or not.
User prompt:
Title: Title of a primary candidate study
Abstract: abstract of a primary candidate study</t>
  </si>
  <si>
    <t>LLM1: CHATGPT</t>
  </si>
  <si>
    <t>5.O</t>
  </si>
  <si>
    <t>LLM2: GEMINI</t>
  </si>
  <si>
    <t>2.5 PRO</t>
  </si>
  <si>
    <t>Base de Dados</t>
  </si>
  <si>
    <t>Autor(es)</t>
  </si>
  <si>
    <t>Título do artigo</t>
  </si>
  <si>
    <t>Ano</t>
  </si>
  <si>
    <t>URL / DOI</t>
  </si>
  <si>
    <t>Resumo (abstract)</t>
  </si>
  <si>
    <t>Palavras-chave principais</t>
  </si>
  <si>
    <t>Relevância segundo LLM 1 (Sim/Não)</t>
  </si>
  <si>
    <t>Relevância segundo LLM 2 (Sim/Não)</t>
  </si>
  <si>
    <t>Diferença entre LLM 1 e LLM 2</t>
  </si>
  <si>
    <t>Justificativa da LLM 1</t>
  </si>
  <si>
    <t>Justificativa da LLM 2</t>
  </si>
  <si>
    <t>LLM que apresentou melhor justificativa (1 ou 2)</t>
  </si>
  <si>
    <t>Artigo selecionado para a próxima fase</t>
  </si>
  <si>
    <t>Mohammad (Matt) Namvarpour, Afsaneh Razi</t>
  </si>
  <si>
    <t>The Art of Talking Machines: A Comprehensive Literature Review of Conversational User Interfaces</t>
  </si>
  <si>
    <t>https://doi.org/10.1145/3719160.3736621</t>
  </si>
  <si>
    <t>This article offers a comprehensive review of Conversational User Interfaces (CUIs), addressing the areas of interface design, systems development, and ethical considerations. The study highlights advancements and challenges in CUIs, such as conversation memory, multimodal interaction, and ethical considerations, as well as suggesting future directions for research.</t>
  </si>
  <si>
    <t>Conversational User Interfaces, CUI, Revisão de Literatura, Design de Interfaces, Processamento de Linguagem Natural, Ética</t>
  </si>
  <si>
    <t>Sim</t>
  </si>
  <si>
    <t>Não</t>
  </si>
  <si>
    <t>The study aligns with the inclusion criteria, especially in terms of investigating AI technologies used in task automation and decision support systems. It provides valuable insights into the design, development, and ethical considerations in CUIs, which are related to the task automation in organizational contexts. However, it does not present original empirical evidence, but since it's a comprehensive literature review, it still meets the inclusion criteria.</t>
  </si>
  <si>
    <t>The article's title and abstract clearly state that it is a "Comprehensive Literature Review" of Conversational User Interfaces (CUIs). A literature review is a form of secondary research that synthesizes the work of others (279 publications in this case ). It does not present new, primary empirical or experimental evidence or a case study of a deployed AI agent, which is a mandatory requirement for inclusion.</t>
  </si>
  <si>
    <t>LLM 1</t>
  </si>
  <si>
    <t>Mateus</t>
  </si>
  <si>
    <t xml:space="preserve">Junzhe Gao  , Abdullah Promise Opute  , Caroline Jawad 
, Meng Zhan </t>
  </si>
  <si>
    <t xml:space="preserve">The influence of artificial intelligence chatbot problem solving on customers’ continued usage intention in e-commerce platforms: an expectation-confirmation model approach
</t>
  </si>
  <si>
    <t>https://www.sciencedirect.com/science/article/pii/S0148296325004849?pes=vor&amp;utm_source=scopus&amp;getft_integrator=scopus</t>
  </si>
  <si>
    <t>The rapid advancement of artificial intelligence (AI) technology has led to its widespread application across
various fields, including e-commerce platforms. AI chatbots, powered by large data models, have emerged as a
crucial tool for enhancing customer service and user experience. This study aims to investigate the impact of AI
chatbot problem-solving capabilities on users’ intention to continue using these services within e-commerce
platforms. By integrating elements from the Expectation-Confirmation Model (ECM) and the Technology
Acceptance Model (TAM), a comprehensive research model is proposed to examine the relationships between
problem-solving, confirmation, perceived ease of use, satisfaction, trust, and continued usage intention. The
study employs structural equation modelling (SEM) to analyse data collected from 315 participants through an
online questionnaire. The findings reveal that problem-solving abilities positively influence users’ confirmation,
which in turn positively affects satisfaction, perceived ease of use, and trust. Furthermore, perceived ease of use
exhibits a positive impact on satisfaction, trust, and continued usage intention. Satisfaction and trust have a
positive impact on continued usage intention, with satisfaction showing a stronger influence than both problemsolving ability and ease of use. The study contributes to the theoretical understanding of user perceptions and
behaviours in AI-driven interactions within e-commerce platforms. It highlights the importance of problemsolving capabilities, perceived ease of use, satisfaction, and trust in driving users’ continued engagement with
AI chatbots. Practical implications for AI technology developers and e-commerce companies are discussed,
emphasizing the need to focus on enhancing chatbots’ problem-solving proficiency and user-friendliness to foster
long-term user retention. Future research directions are proposed, addressing the study’s limitations and
exploring the generalizability of the findings beyond the e-commerce context.</t>
  </si>
  <si>
    <t>AI chatbots
E-commerce
Problem-solving
Expectation-confirmation model
Technology acceptance model</t>
  </si>
  <si>
    <t>Score 1 Este artigo investiga a influência das capacidades de resolução de problemas de chatbots de IA no comportamento de uso contínuo dos clientes em plataformas de e-commerce. O estudo foca em como essas capacidades impactam a satisfação, confiança, facilidade de uso percebida e a intenção de continuar usando esses serviços, utilizando um modelo integrado baseado no Modelo de Expectativa-Confirmação (ECM) e no Modelo de Aceitação de Tecnologia (TAM).
A pesquisa empírica foi realizada por meio de um modelo de equações estruturais (SEM) com dados de 315 participantes, analisando variáveis como confirmação das expectativas, satisfação, confiança e a facilidade de uso percebida dos chatbots em e-commerce.
Pontos principais:
Capacidade de resolução de problemas dos chatbots é vista como fundamental para aumentar a intenção de uso contínuo.
Satisfação e confiança têm um impacto direto na intenção de continuar o uso do chatbot.
A facilidade de uso percebida é um fator significativo que afeta a satisfação e a confiança do usuário, influenciando diretamente sua intenção de continuar utilizando a plataforma.
O estudo contribui teoricamente para a compreensão do comportamento do usuário ao interagir com chatbots de IA em plataformas de e-commerce, fornecendo insights sobre o impacto das capacidades de resolução de problemas na satisfação e no engajamento do cliente.
Relevância para os critérios de inclusão:
Uso de IA aplicada à tomada de decisão e automação de tarefas - O artigo investiga chatbots baseados em IA, focando na resolução de problemas em e-commerce, que é diretamente relacionado à automação de processos de atendimento ao cliente.
Atendimento ao cliente e automação de processos - O estudo aborda como os chatbots de IA melhoram o atendimento ao cliente e a experiência do usuário, alinhando-se diretamente a este critério.
Evidências empíricas - O estudo utiliza modelagem de equações estruturais (SEM) com dados empíricos, validando o impacto das capacidades dos chatbots no comportamento do consumidor.
Disponibilidade em texto completo e em inglês - O artigo está disponível em texto completo e foi escrito em inglês, atendendo ao critério de idioma e acessibilidade.
Conclusão: O artigo atende a todos os critérios de inclusão e não apresenta critérios de exclusão que o invalidem. Portanto, ele deve ser selecionado para a próxima fase.</t>
  </si>
  <si>
    <t>Score: 1 Justification: The study strongly aligns with all inclusion criteria and does not meet any exclusion criteria.
IC 1 (AI agents in organizational context): Satisfied. The study investigates "Al chatbots" (an AI agent, specifically noted as "powered by large data models" ) applied within "e-commerce platforms"  (an organizational context).
IC 2 (Customer service/automation): Satisfied. The abstract explicitly states the focus is on AI chatbots as a "crucial tool for enhancing customer service".
IC 3 (Empirical evidence): Satisfied. The abstract details the methodology, stating the "study employs structural equation modelling (SEM) to analyse data collected from 315 participants".
IC 4 (Full text/language): Satisfied. The full text is available and written in English.
EC 3 (Publication date): Not Met. The article is published in 2025, which is within the required 2020-2025 window.
EC 5 (Page length): Not Met. The article is 14 pages long, which is well over the 6-page minimum.</t>
  </si>
  <si>
    <t>Sahar Mirzayi, Erfan Talajouran</t>
  </si>
  <si>
    <t>From Decision Support to Decision Making: 
Autonomous AI Agents Shaping the Marketing</t>
  </si>
  <si>
    <t>https://ieeexplore.ieee.org/document/11006187</t>
  </si>
  <si>
    <t>As artificial intelligence (AI) increasingly drives marketing decisions, understanding its shift from decision support to full autonomy is essential for academia and industry. This paper addresses this gap by analyzing AI's transformative impact on marketing through the lens of the 7Ps framework (Product, Price, Place, Promotion, People, Process, and Physical Evidence). By categorizing AI's role at various levels of autonomy, the study highlights the substantial influence of AI-driven agents, particularly within the Process and Promotion elements where automation has evolved into intelligent decision-making. This research offers a foundational framework for understanding AI autonomy in marketing, providing valuable insights for future marketing strategies.</t>
  </si>
  <si>
    <t>AI Marketing, Marketing Automation, Autonomous Agents, 7Ps Framework, Decision Making, Decision Support Systems.</t>
  </si>
  <si>
    <t>Score: 1
Justification:
Este artigo atende a todos os critérios de inclusão e não viola nenhum critério de exclusão:
Investigação do uso de IA aplicada à decisão ou automação em contextos organizacionais
O artigo explora a transição da IA de suporte à decisão para tomada de decisão autônoma em marketing, especificamente em e-commerce, o que se alinha diretamente ao critério de aplicação da IA para tomada de decisão e automação de tarefas.
Abordar operações de atendimento ao cliente, automação de processos, ou suporte à decisão empresarial
O estudo aborda como agentes de IA, como chatbots e sistemas de recomendação, são utilizados para automatizar e otimizar processos de marketing, especialmente nas áreas de promoção e processos, claramente relevantes para o critério.
Apresentar evidências empíricas, experimentais ou estudos de caso sobre a implementação ou impacto desses agentes
O estudo apresenta uma análise qualitativa baseada em revisão de literatura e exemplos de implementação prática de IA em marketing, discutindo como essas ferramentas impactam estratégias de marketing. Embora não sejam estudos de caso extensivos, o artigo baseia-se em dados práticos e exemplifica o uso real de IA no setor, o que satisfaz parcialmente este critério.
Estar disponível em texto completo, escrito em inglês ou português
O artigo está disponível em texto completo, em inglês, atendendo a este critério.
Além disso, o artigo não se encaixa em nenhuma das categorias de exclusão:
Não trata de IA em áreas não relacionadas a decisão ou automação organizacional.
Está disponível em texto completo.
Não é uma publicação anterior a 2020.
Não é um artigo duplicado ou de formato resumido (ex: resumo ou poster).
Conclusão: O artigo cumpre os critérios de inclusão e não infringe os critérios de exclusão, sendo aprovado com nota 1.</t>
  </si>
  <si>
    <t>Score: 0 Justificação: O estudo não atende a todos os critérios de inclusão.
Embora o artigo investigue o uso de agentes autônomos de IA (IC 1) aplicados à tomada de decisão e automação de processos no contexto organizacional de marketing (IC 2) , e cumpra os critérios de data (publicado em 2025)  e idioma (EC 3, IC 4), ele não satisfaz o Critério de Inclusão 3.
O IC 3 exige que o estudo "apresente evidências empíricas ou experimentais, ou estudos de caso". Este artigo é explicitamente uma "revisão narrativa da literatura" e uma proposta de framework teórico. Embora analise "implementações de IA do mundo real"  como exemplos para construir seu framework, o estudo em si não é um estudo de caso primário, um experimento ou uma coleta de dados empíricos originais. Sua metodologia é uma revisão qualitativa e exploratória da literatura e de casos públicos.</t>
  </si>
  <si>
    <t>Xiyu Guo , Xiaoang Wan</t>
  </si>
  <si>
    <t xml:space="preserve">AI-driven nudges: Influence of chatbot personas on consumer food choices
</t>
  </si>
  <si>
    <t>https://www.sciencedirect.com/science/article/pii/S019566632500371X?pes=vor&amp;utm_source=scopus&amp;getft_integrator=scopus</t>
  </si>
  <si>
    <t>Customized chatbot personas can meet the personalized needs of consumers and enhance user engagement in
human-chatbot interactions. We conducted a study to investigate the influence of interacting with a chatbot
customized as a health coaching assistant versus a gourmet recommendation assistant on participants’ food
choices. Participants were instructed to choose three dishes from a set of two meat and two vegetable options to
compose a three-dish meal, both before and after they interacted with the health coaching assistant or the
gourmet recommendation assistant. The results revealed a significant decrease in the frequency of meat-heavy
meal selections after participants interacted with the health coaching assistant, compared to the gourmet
recommendation assistant. These findings suggest that interacting with chatbots tailored as health coaching
assistants can effectively nudge consumers toward more sustainable food choices. These findings highlight the
potential of human-AI interactions in promoting sustainability and offer implications for the design and
implementation of chatbots in the restaurant industry.</t>
  </si>
  <si>
    <t>Food choice
Meat reduction
Healthy eating
Human-AI interaction
Chatbot
Persona customization</t>
  </si>
  <si>
    <t>Score: 1
Justification:
The study “AI-driven nudges: Influence of chatbot personas on consumer food choices” clearly meets all inclusion criteria (IC) and avoids all exclusion criteria (EC):
IC1: It investigates AI agents (chatbots based on LLM-like systems) applied to decision-making in an organizational context (restaurant industry).
IC2: It addresses customer service operations and business decision support, analyzing how chatbots influence customer choices and potentially enhance service performance in restaurants.
IC3: It presents empirical experimental evidence, with controlled tests examining the behavioral impact of chatbot personas on food choices.
IC4: The paper is a full-text, peer-reviewed article in English, published in 2025.
None of the exclusion criteria (EC) apply:
It directly addresses AI agents for decision support and automation.
It is fully accessible via institutional and open-access sources.
It was published after 2020 (2025).
It is not a duplicate, short paper, or abstract-only submission.
Hence, the study strongly aligns with the inclusion scope for AI agent applications in decision-making and automation within organizational contexts.</t>
  </si>
  <si>
    <t>Score: 1 Justification: The study strongly aligns with all inclusion criteria and does not meet any exclusion criteria.
IC 1 (AI agents in organizational context): Satisfied. The abstract investigates "chatbots" (AI agents) customized with specific personas to influence "consumer food choices" (decision-making) in the "restaurant industry" (organizational context).
IC 2 (Customer service/automation): Satisfied. The study addresses the use of chatbots as a "health coaching assistant" or "gourmet recommendation assistant" , which are forms of customer service and business decision support (by "nudge[ing] consumers").
IC 3 (Empirical evidence): Satisfied. The abstract describes an experimental study where participants made choices "before and after they interacted with the... assistant" , and "The results revealed a significant decrease", presenting clear empirical evidence.
IC 4 (Full text/language): Satisfied. The full text is available and is written in English.
EC 3 (Publication date): Not Met. The article is published in 2025, which falls within the required 2020-2025 timeframe.
EC 5 (Page length): Not Met. The article is 9 pages long, exceeding the 6-page minimum.</t>
  </si>
  <si>
    <t>Modlinski, Artur and Kedziora, Damian and Hak, Andrzej and Motylewski, Jaroslaw and Kedziora, Joanna and Reijers, Hajo A. and del-R\'{\i</t>
  </si>
  <si>
    <t>Techno-empowerment of&amp;nbsp;Process Automation: Understanding Employee Acceptance of&amp;nbsp;Autonomous AI in&amp;nbsp;Business Processes</t>
  </si>
  <si>
    <t>10.1007/978-3-031-70396-6_29</t>
  </si>
  <si>
    <t>Research in domains such as the car industry and banking has shown people’s acceptance of techno-empowerment, the phenomenon of entrusting technologies with autonomous decision making. An open question is whether process participants are inclined to transfer their decision-making autonomy to software that they are already familiar with yet is extended with AI capabilities. This paper reports on a study carried out to investigate this question by emulating the imminent organizational introduction of techno-empowered, AI-enhanced Robotic Process Automation (RPA). It involved 126 employees within four international companies residing in Poland that had already been routinely applying RPA for the automation of parts of their business processes. Our findings demonstrate the moderating role of (1) workplace perceptions and (2) gender on the effect that perceptions participants on currently used RPA software has on shaping their intentions to techno-empower an AI-enhanced RPA system. A follow-up study with managers within these companies shows that these insights are both new and actionable. As such, our findings help managers to improve their understanding of techno-empowerment dynamics, which is conducive to better predict employees’ reactions to techno-empowered RPA and to plan process change more effectively.</t>
  </si>
  <si>
    <t>Robotic process automation, hyperautomation, autonomous artificial intelligence, techno-empowerment, digital transformation, technology acceptance</t>
  </si>
  <si>
    <t>Excluded: Does not sufficiently meet inclusion criteria (AI agent or empirical organizational focus not evident).</t>
  </si>
  <si>
    <t>Justification: This study strongly aligns with all inclusion criteria and does not meet any exclusion criteria.
IC 1 (AI Agents in Organizational Contexts): Investigates AI-enhanced Robotic Process Automation (RPA), which are autonomous AI systems used for task automation and decision-making in an organizational context (business processes).
IC 2 (Organizational Application): Directly addresses process automation in business processes within international companies.
IC 3 (Empirical Evidence): Presents empirical evidence via a study involving 126 employees and a follow-up study with managers, investigating employee intentions toward "techno-empowered" AI systems.
IC 4 (Full Text/Language): The title and abstract are in English, and it's a full-length article published in a conference proceeding (implied full text).
EC 3 (Publication Date): Published in 2024 (after 2020).</t>
  </si>
  <si>
    <t>LLM 2</t>
  </si>
  <si>
    <t>Huang, Tian and Yu, Chun and Shi, Weinan and Peng, Zijian and Yang, David and Sun, Weiqi and Shi, Yuanchun</t>
  </si>
  <si>
    <t>Prompt2Task: Automating UI Tasks on Smartphones from Textual Prompts</t>
  </si>
  <si>
    <t>10.1145/3716132</t>
  </si>
  <si>
    <t>UI task automation enables efficient task execution by simulating human interactions with GUIs, without modifying the existing application code. However, its broader adoption is constrained by the need for expertise in both scripting languages and workflow design. To address this challenge, we present Prompt2Task, a system designed to comprehend various task-related textual prompts (e.g., goals, procedures), thereby generating and performing the corresponding automation tasks. Prompt2Task incorporates a suite of intelligent agents that mimic human cognitive functions, specializing in interpreting user intent, managing external information for task generation, and executing operations on smartphones. The agents can learn from user feedback and continuously improve their performance based on the accumulated knowledge. Experimental results indicated a performance jump from a 22.28% success rate in the baseline to 95.24% with Prompt2Task, requiring an average of 0.69 user interventions for each new task. Prompt2Task presents promising applications in fields such as tutorial creation, smart assistance, and customer service.</t>
  </si>
  <si>
    <t>UI task automation, UI navigation, natural language, UI understanding, large language models</t>
  </si>
  <si>
    <t>Justification: This study strongly aligns with all inclusion criteria and does not meet any exclusion criteria.
IC 1 (AI Agents in Organizational Contexts): Describes a system (Prompt2Task) that incorporates a suite of intelligent agents (mimicking human cognitive functions) for task automation driven by Large Language Models (LLMs).
IC 2 (Organizational Application): Mentions promising applications in fields such as customer service.
IC 3 (Empirical Evidence): Presents experimental results indicating a performance jump and success rate improvement (e.g., from 22.28% to 95.24%), providing quantitative empirical evidence.
IC 4 (Full Text/Language): The title and abstract are in English, and it's a full-length article published in a conference proceeding (implied full text).
EC 3 (Publication Date): Published in 2025 (after 2020).</t>
  </si>
  <si>
    <t>Sun, Yu-Zhu and Sun, He-Li and Ma, Jian-Cong and Zhang, Peng and Huang, Xiao-Yong</t>
  </si>
  <si>
    <t>Multimodal Agent AI: A Survey of Recent Advances and Future Directions</t>
  </si>
  <si>
    <t>10.1007/s11390-025-4802-8</t>
  </si>
  <si>
    <t>In recent years, multimodal agent AI (MAA) has emerged as a pivotal area of research, holding promise for transforming human-machine interaction. Agent AI systems, capable of perceiving and responding to inputs from multiple modalities (e.g., language, vision, audio), have demonstrated remarkable progress in understanding complex environments and executing intricate tasks. This survey comprehensively reviews the state-of-the-art developments in MAA and examines its fundamental concepts, key techniques, and applications across diverse domains. We first introduce the basics of agent AI and its multimodal interaction capabilities. We then delve into the core technologies that enable agents to perform task planning, decision-making, and multi-sensory fusion. Furthermore, we focus on exploring various applications of MAA in robotics, healthcare, gaming, and beyond. Additionally, we mainly focus on analyzing the challenges and limitations of current systems and propose promising research directions for future improvements, including human-AI collaboration, online learning method improvement. By reviewing existing work and highlighting open questions, this survey aims to provide a comprehensive roadmap for researchers and practitioners in the field of MAA.</t>
  </si>
  <si>
    <t>multimodal agent AI, task planning, decision making, robotic, healthcare</t>
  </si>
  <si>
    <t>Justification: This study is excluded because it fails to satisfy Inclusion Criterion 3 and meets Exclusion Criterion 5.
IC 3 (Empirical Evidence): This is a survey ("comprehensively reviews the state-of-the-art developments"), which synthesizes existing research but does not present new empirical or experimental evidence, or case studies of its own on the implementation or impact of the agents.
EC 5 (Short Papers/Summarized Formats): Surveys, literature reviews, and roadmaps often fail to meet the "less than 6 pages of main content" criteria or the requirement for presenting primary empirical data (though this is primarily based on the failure of IC 3). The primary reason for exclusion is failure to provide new empirical evidence (IC 3).</t>
  </si>
  <si>
    <t>Zhang, Liang-Jie and Chen, Huan and He, Sheng and Li, Changhu and Chen, Junyang and Zhang, Haodi and Du, Wenfeng</t>
  </si>
  <si>
    <t>COSIS: An AI-Enabled Digital Transformation Framework Integrating Large Language Models and Key Performance Indicators</t>
  </si>
  <si>
    <t>10.1007/978-3-031-77000-5_6</t>
  </si>
  <si>
    <t>The rapid advancement of Artificial Intelligence (AI) and Large Language Models (LLMs) has significantly transformed various sectors of society, compelling enterprises to undertake comprehensive digital transformations to remain competitive in the AI era. This paper introduces COSIS, an AI-enabled digital trans-formation framework comprising five key dimensions: Culture, Operation, Strategy, Innovation, and Service. The COSIS framework provides a structured approach for enterprises to navigate the complexities of digital transformation by integrating AI and LLM technologies into their core functions. For each dimension, the paper identifies specific key performance indicators (KPIs) to measure the effectiveness of AI-enabled transformations. These KPIs enable enterprises to quantitatively assess progress and outcomes, ensuring alignment with strategic objectives and facilitating continuous improvement. Additionally, the paper discusses the implications of AI and LLM technologies on enterprise management team building in the AI era.</t>
  </si>
  <si>
    <t>Artificial Intelligence, Large Language Models, Digital Transformation, COSIS Framework, Key Performance Indicators, Enterprise Management, Culture, Operation, Strategy, Innovation, Service</t>
  </si>
  <si>
    <t>Justification: This study is excluded because it fails to satisfy Inclusion Criterion 3.
IC 1 &amp; 2 (AI Agents/Organizational Context): The study addresses AI and LLM technologies for digital transformation across various enterprise dimensions (Culture, Operation, Strategy, Innovation, Service), which is relevant.
IC 3 (Empirical Evidence): The abstract introduces a framework (COSIS) and discusses its implications, but it does not mention presenting any empirical or experimental evidence, or case studies on the implementation or impact of the LLMs/AI agents themselves. It is a conceptual/framework paper.</t>
  </si>
  <si>
    <t>Pereira, Leandro and Tom\'{a</t>
  </si>
  <si>
    <t>How artificial intelligence can improve digital marketing</t>
  </si>
  <si>
    <t>10.1504/ijbis.2023.135351</t>
  </si>
  <si>
    <t>Recent technological advances have allowed the growth of digital marketing, creating the challenge of big data. AI emerges to deal with this paradigm and marketing becomes a natural beneficiary, as it takes advantage of data in its processes. This research aims to evaluate the potential impact of AI on digital marketing. This knowledge could accelerate the adoption of AI technologies, revolutionising the area. The following techniques were developed: survey for digital marketing professionals to identify their needs; research of AI solutions; coverage and match analysis between needs and solutions. This research establishes which digital marketing aspects need further development and recommends response solutions: Bloomreach Experience Cloud for customer experience; Alli AI and Market Brew for SEO; concured for content marketing; Automizy for e-mail marketing; Cortex for social media marketing; Adobe Advertising Cloud for online advertising; Conversica and drift automation for communication; and SAS VDMML and SAS VF for data analysis.</t>
  </si>
  <si>
    <t>artificial intelligence, marketing, digital marketing</t>
  </si>
  <si>
    <t>Justification: This study is excluded because it fails to satisfy Inclusion Criterion 3.
IC 1 &amp; 2 (AI Agents/Organizational Context): The study investigates the impact of AI on digital marketing, which involves organizational decision-making/process automation. It researches AI solutions (e.g., Automizy, Drift automation).
IC 3 (Empirical Evidence): The methodology involves a survey of professionals and research of AI solutions, followed by coverage/match analysis. While a survey is empirical, the core of the study is an evaluation of potential impact and a recommendation of solutions (not an implementation or impact study of a specific agent/system). It does not present empirical data on the actual implementation or impact of a specific AI agent within an organizational setting that meets the criteria.</t>
  </si>
  <si>
    <t>Dang, Jiawei and Chen, Huan and He, Sheng and Huang, Hongbo and Zhang, Liang-Jie</t>
  </si>
  <si>
    <t>IMPRESSIVE: An AI Enterprise Model and&amp;nbsp;Maturity Assessment Framework for&amp;nbsp;Intelligent Transformation</t>
  </si>
  <si>
    <t>10.1007/978-3-032-06310-6_4</t>
  </si>
  <si>
    <t>As AI becomes a core driver of enterprise transformation, traditional organizations face challenges such as rigid structures, data fragmentation, and outdated evaluation models. Existing digital transformation maturity models focus primarily on IT infrastructure and industrial-era processes, lacking a comprehensive framework&amp;nbsp;for evaluating AI effectiveness. To address this gap, this&amp;nbsp;paper proposes the IMPRESSIVE Enterprise Framework, which defines&amp;nbsp;ten critical capabilities for AI-powered organizations: Innovation, Machine Learning, Personalization, Reliability, Enhanced Experience, Scalability, Security, Integrated Ecosystem, Value-Driven Culture, and Efficiency. Derived from this framework, the IMPRESSIVE Maturity Assessment Model (IMAM) is developed as a quantitative tool&amp;nbsp;to measure AI maturity across these dimensions. Validation through&amp;nbsp;case studies demonstrates IMAM’s applicability in identifying strengths, gaps, and strategic pathways for enterprises transitioning&amp;nbsp;to AI-native operations. This research contributes a holistic framework to guide organizations in systematically navigating&amp;nbsp;AI transformation, bridging the gap between theoretical insights&amp;nbsp;and actionable practice.</t>
  </si>
  <si>
    <t>AI-driven Transformation, Enterprise Maturity Assessment, Maturity Model, Model Context Protocol(MCP)</t>
  </si>
  <si>
    <t>Justification: This study is excluded because it fails to satisfy Inclusion Criterion 3.
IC 1 &amp; 2 (AI Agents/Organizational Context): The study addresses an AI Enterprise Framework and a Maturity Assessment Model (IMAM) for AI-driven transformation in organizations, which is relevant.
IC 3 (Empirical Evidence): The abstract introduces the framework and model, and while it mentions "Validation through case studies demonstrates IMAM’s applicability," the primary focus is on the framework/model itself, not on the empirical implementation or impact of an AI agent used for decision-making or task automation in an organizational context. It is a framework/maturity assessment paper.</t>
  </si>
  <si>
    <t>Drouin, Alexandre and Gasse, Maxime and Caccia, Massimo and Laradji, Issam H. and Verme, Manuel Del and Marty, Tom and Vazquez, David and Chapados, Nicolas and Lacoste, Alexandre</t>
  </si>
  <si>
    <t>WorkArena: how capable are web agents at solving common knowledge work tasks?</t>
  </si>
  <si>
    <t>https://arxiv.org/abs/2403.07718</t>
  </si>
  <si>
    <t>We study the use of large language model-based agents for interacting with software via web browsers. Unlike prior work, we focus on measuring the agents' ability to perform tasks that span the typical daily work of knowledge workers utilizing enterprise software systems. To this end, we propose WorkArena, a remote-hosted benchmark of 33 tasks based on the widely-used ServiceNow platform. We also introduce BrowserGym, an environment for the design and evaluation of such agents, offering a rich set of actions as well as multimodal observations. Our empirical evaluation reveals that while current agents show promise onWorkArena, there remains a considerable gap towards achieving full task automation. Notably, our analysis uncovers a significant performance disparity between open and closed-source LLMs, highlighting a critical area for future exploration and development in the field.</t>
  </si>
  <si>
    <t>Included: Addresses AI agents applied to decision-making or automation in organizational contexts with empirical evidence.</t>
  </si>
  <si>
    <t>Justification: This study strongly aligns with all inclusion criteria and does not meet any exclusion criteria.
IC 1 (AI Agents in Organizational Contexts): Focuses on large language model-based agents (LLM agents) used for interacting with software via web browsers to perform knowledge work tasks.
IC 2 (Organizational Application): The tasks are based on the widely-used ServiceNow platform, which is a system for business decision support and task automation in an organizational context.
IC 3 (Empirical Evidence): Presents empirical evaluation on the agents' ability to perform tasks, providing data on performance disparity, which constitutes experimental evidence.
IC 4 (Full Text/Language): The title and abstract are in English, and it is available as a full-text preprint (arXiv), which is acceptable for a review at this stage.
EC 3 (Publication Date): Published in 2024 (after 2020).</t>
  </si>
  <si>
    <t>He, Jessica and Piorkowski, David and Muller, Michael and Brimijoin, Kristina and Houde, Stephanie and Weisz, Justin</t>
  </si>
  <si>
    <t>Rebalancing Worker Initiative and AI Initiative in Future Work: Four Task Dimensions</t>
  </si>
  <si>
    <t>10.1145/3596671.3598572</t>
  </si>
  <si>
    <t>Organizations have recently begun to deploy conversational task assistants that collaborate with knowledge workers to partially automate their work tasks. These assistants evolved out of business robotic process automation (RPA) tools and are becoming more intelligent: users can initiate task sequences through natural language, and the system can orchestrate those tasks if they have not previously been defined. As these tools become more automated, system designers tend to optimize overall process efficiency, but at the cost of shifting agency away from workers. Particularly in high stakes work environments, this shift raises questions of how to re-delegate agency such that workers feel sufficiently in control of automated tasks. We explored this through two studies comprised of interviews and co-design activities with knowledge workers and identified four task dimensions along which their automation and interaction preferences vary: process consequence, social consequence, task familiarity, and task complexity. These dimensions are useful for understanding when, why, and how to delegate agency between workers and conversational task assistants.</t>
  </si>
  <si>
    <t>Agent skills, Intelligent agent, Orchestration of work, Participatory design., Task assistant</t>
  </si>
  <si>
    <t>Justification: This study strongly aligns with all inclusion criteria and does not meet any exclusion criteria.
IC 1 (AI Agents in Organizational Contexts): Investigates conversational task assistants (AI agents) that collaborate with knowledge workers to partially automate their work tasks.
IC 2 (Organizational Application): Directly relates to the evolution of business robotic process automation (RPA) tools and the orchestration of tasks in organizational settings.
IC 3 (Empirical Evidence): Presents empirical evidence from "two studies comprised of interviews and co-design activities with knowledge workers," identifying task dimensions based on worker preferences.
IC 4 (Full Text/Language): The title and abstract are in English, and it is a full-length article published in a conference proceeding (implied full text).
EC 3 (Publication Date): Published in 2023 (after 2020).</t>
  </si>
  <si>
    <t>Pereira, Leandro and R\'{e</t>
  </si>
  <si>
    <t>Artificial intelligence in strategic business management: the case of auditing</t>
  </si>
  <si>
    <t>10.1504/ijbis.2024.135970</t>
  </si>
  <si>
    <t>We live in the era of digital transformation and adopting innovative tools and technologies such as artificial intelligence (AI) seems to be extolling business models and driving optimisation in the processes inherent to their operation. In the audit area, which is intense in tasks that can be performed by machines, studies emerge showing positive results in the adoption of AI tools. The literature affirms the use of machinery such as AI in business models opens doors to the creation of value in organisations adjacent to this strategy. In order to deepen this contradictory approach between the benefits associated with the adoption of AI and the low rate of use of it, around 200 employees from mostly Portuguese companies were inquired. The research findings allow the understanding of what kind of work can be transferred for AI automatisation and present a list of technological issues to solve in this transformation.</t>
  </si>
  <si>
    <t>auditing, innovation, innovation processes, technology adoption, technological change, technological innovation</t>
  </si>
  <si>
    <t>Justification: This study strongly aligns with all inclusion criteria and does not meet any exclusion criteria, provided the full-text confirms it's not a short paper.
IC 1 (AI Agents in Organizational Contexts): Addresses the adoption of AI tools in the audit area, which involves task automation and strategic business management.
IC 2 (Organizational Application): Focuses on the auditing area, a critical business decision support/process automation context.
IC 3 (Empirical Evidence): States that "around 200 employees from mostly Portuguese companies were inquired," and the findings allow understanding what kind of work can be transferred for AI automatisation, which provides empirical evidence via a survey.
IC 4 (Full Text/Language): The title and abstract are in English/Portuguese, and it is a full-length article published in a journal (implied full text).
EC 3 (Publication Date): Published in 2024 (after 2020).</t>
  </si>
  <si>
    <t>Varriale, Vincenzo and Cammarano, Antonello and Michelino, Francesca and Caputo, Mauro</t>
  </si>
  <si>
    <t>Critical analysis of the impact of artificial intelligence integration with cutting-edge technologies for production systems</t>
  </si>
  <si>
    <t>10.1007/s10845-023-02244-8</t>
  </si>
  <si>
    <t>Scientific research on emerging technologies underscored the advantages of their implementation within production systems, with a particular focus on artificial intelligence (AI). In particular, the integration of AI with other cutting-edge technologies is a relevant topic which can potentially lead to huge impacts in terms of business performance. Yet, literature on the subject, although rich, is still fragmented, limited to specific cases and applications, but lacking in a comprehensive classification framework. Therefore, using a systematic literature review, this study provides an overview of how the combination of AI and other cutting-edge technologies could potentially improve market and organisational performance in business functions and processes. By classifying the literature of case studies and real-world applications into specific taxonomies, the research considers an indicator, the co-occurrence ratio, highlighting the most significant and emerging combinations between AI and other cutting-edge technologies, also specifying the contexts in which they are used. The study shows that AI is strongly interconnected with other cutting-edge technologies, suggesting a research agenda in which the integration of AI with other emerging technologies is promising within specific production systems contexts, providing benefits and opportunities for companies.</t>
  </si>
  <si>
    <t>Artificial intelligence, Emerging technologies, Production systems, Operations management</t>
  </si>
  <si>
    <t>Justification: This study is excluded because it fails to satisfy Inclusion Criterion 3 and meets Exclusion Criterion 5.
IC 3 (Empirical Evidence): This is a systematic literature review ("using a systematic literature review, this study provides an overview..."), which classifies existing case studies and real-world applications but does not present new empirical or experimental evidence of its own on the implementation or impact of the agents.
EC 5 (Short Papers/Summarized Formats): Literature reviews are generally considered secondary studies and are excluded primarily because they do not contain the primary empirical data required by IC 3. The primary reason for exclusion is failure to provide new empirical evidence (IC 3).</t>
  </si>
  <si>
    <t>Enholm, Ida Merete and Papagiannidis, Emmanouil and Mikalef, Patrick and Krogstie, John</t>
  </si>
  <si>
    <t>Artificial Intelligence and Business Value: a Literature Review</t>
  </si>
  <si>
    <t>10.1007/s10796-021-10186-w</t>
  </si>
  <si>
    <t>Artificial Intelligence (AI) are a wide-ranging set of technologies that promise several advantages for organizations in terms off added business value. Over the past few years, organizations are increasingly turning to AI in order to gain business value following a deluge of data and a strong increase in computational capacity. Nevertheless, organizations are still struggling to adopt and leverage AI in their operations. The lack of a coherent understanding of how AI technologies create business value, and what type of business value is expected, therefore necessitates a holistic understanding. This study provides a systematic literature review that attempts to explain how organizations can leverage AI technologies in their operations and elucidate the value-generating mechanisms. Our analysis synthesizes the current literature and highlights: (1) the key enablers and inhibitors of AI adoption and use; (2) the typologies of AI use in the organizational setting; and (3) the first- and second-order effects of AI. The paper concludes with an identification of the gaps in the literature and develops a research agenda that identifies areas that need to be addressed by future studies.</t>
  </si>
  <si>
    <t>Artificial intelligence, Systematic literature review, Research agenda, Artificial intelligence capabilities</t>
  </si>
  <si>
    <t>Justification: This study is excluded because it fails to satisfy Inclusion Criterion 3 and meets Exclusion Criterion 5.
IC 3 (Empirical Evidence): This is a systematic literature review ("This study provides a systematic literature review..."), which synthesizes existing literature but does not present new empirical or experimental evidence, or case studies of its own on the implementation or impact of the agents.
EC 5 (Short Papers/Summarized Formats): Literature reviews are generally considered secondary studies and are excluded primarily because they do not contain the primary empirical data required by IC 3. The primary reason for exclusion is failure to provide new empirical evidence (IC 3).</t>
  </si>
  <si>
    <t>Wamba, Samuel Fosso and Wamba-Taguimdje, Serge-Lopez and Twinomurinzi, Hossana</t>
  </si>
  <si>
    <t>Why Should Users Take the Risk of Sustainable Use of Generative Artificial Intelligence Chatbots: An Exploration of ChatGPT's Use</t>
  </si>
  <si>
    <t>10.4018/JGIM.365600</t>
  </si>
  <si>
    <t>Despite the risks associated with generative AI (GenAI) chatbots, people increasingly use these technologies, which may seem contradictory. This study identified and explored factors and risks related to trust, perceived values, satisfaction, and sustainable use of GenAI chatbots. Relying on IS theories to build a stimulus-organism-response model, the authors tested a model using PLS-SEM with data from 393 ChatGPT users. The results show that user competence and autonomy dramatically increase a user's trust in ChatGPT, and trust improves hedonic value (HV), utilitarian value (UV), value-in-use, perceived task-technology fit (TTF), information accuracy, knowledge acquisition, perceived informativeness, and user satisfaction. In addition to trust, user satisfaction depends on HV, UV, and TTF. The sustainability use of ChatGPT depends on HV and satisfaction. However, perceived privacy concerns, perceived privacy risks, and privacy awareness do not affect consumer trust. There is a complete mediation between trust and sustainability, as well as HV and sustainability.</t>
  </si>
  <si>
    <t>ChatGPT, GenAI-Chatbot, Artificial Intelligence, Risks, User Satisfaction, Sustainable Use</t>
  </si>
  <si>
    <t>Justification: This study strongly aligns with all inclusion criteria and does not meet any exclusion criteria.
IC 1 (AI Agents in Organizational Contexts): Explores factors related to the use of Generative AI (GenAI) chatbots (like ChatGPT), which function as AI agents for decision support/task assistance.
IC 2 (Organizational Application): Relates to the sustainable use of these tools by people, which is directly applicable to organizational adoption and integration.
IC 3 (Empirical Evidence): Tested a model using PLS-SEM with data from 393 ChatGPT users, which constitutes empirical evidence.
IC 4 (Full Text/Language): The title and abstract are in English, and it is a full-length article published in a journal (implied full text).
EC 3 (Publication Date): Published in 2024 (after 2020).</t>
  </si>
  <si>
    <t>French, Aaron M. and Shim, J. P.</t>
  </si>
  <si>
    <t>From Artificial Intelligence to Augmented Intelligence: A Shift in Perspective, Application, and Conceptualization of AI</t>
  </si>
  <si>
    <t>10.1007/s10796-024-10562-2</t>
  </si>
  <si>
    <t>This paper provides a comprehensive examination of the ongoing debate surrounding Artificial Intelligence (AI) and its societal implications, with a particular focus on job displacement. The release of generative AI tools for public use, particularly ChatGPT, has created numerous concerns on how these tools will be used and adverse impacts on society. Augmented Intelligence has been introduced as a concept utilizing AI to enhance human capabilities but its distinction as an assistive role is ill-defined. This research provides insights into the reconceptualization of AI as Augmented Intelligence examining their differences in terms of knowledge development, decision-making, and outcomes. Through three case studies, we demonstrate the assistive role of Augmented Intelligence and how it can serve as a catalyst for job creation and cognitive enhancement. We also explore the impact of AI and IA tools as a sociotechnical system and their effect on human cognitive abilities through the theoretical lens of the Dunning Kruger Effect. We conclude with a research agenda to stimulate future directions of research.</t>
  </si>
  <si>
    <t>Intelligence augmentation (IA), Artificial intelligence (AI), Generative AI, Dunning kruger effect, Machine learning, ChatGPT</t>
  </si>
  <si>
    <t>Justification: This study strongly aligns with all inclusion criteria and does not meet any exclusion criteria.
IC 1 (AI Agents in Organizational Contexts): Examines Generative AI and Augmented Intelligence (IA), which utilizes AI to enhance human capabilities in decision-making and cognitive enhancement.
IC 2 (Organizational Application): Focuses on the societal/organizational implications of these tools, including job creation and use in a sociotechnical system.
IC 3 (Empirical Evidence): States, "Through three case studies, we demonstrate the assistive role of Augmented Intelligence," which provides case study evidence.
IC 4 (Full Text/Language): The title and abstract are in English, and it is a full-length article published in a journal (implied full text).
EC 3 (Publication Date): Published in 2024 (after 2020).</t>
  </si>
  <si>
    <t>AAMAS '25: Proceedings of the 24th International Conference on Autonomous Agents and Multiagent Systems</t>
  </si>
  <si>
    <t>https://dl.acm.org/doi/proceedings/10.5555/3709347</t>
  </si>
  <si>
    <t>Welcome to AAMAS-2025, the 24th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learning about the latest developments in the field. AAMAS is the flagship conference of the non-profit International Foundation for Autonomous Agents and Multiagent Systems (IFAAMAS).We are happy that the 2025 edition of AAMAS will be coming to Detroit, MI. Previous editions were held in Bologna (2002), Melbourne (2003), New York (2004), Utrecht (2005), Hakodate (2006), Honolulu (2007), Estoril (2008), Budapest (2009), Toronto (2010), Taipei (2011), Valencia (2012), Saint Paul (2013), Paris (2014), Istanbul (2015), Singapore (2016), S\~{a</t>
  </si>
  <si>
    <t>Justification: This item is excluded because it is an announcement/introduction to a conference proceedings, not a primary research study.
EC 5 (Short Papers/Summarized Formats): This is a conference introduction/proceedings note, not a full-length research article with primary content.</t>
  </si>
  <si>
    <t>Wang, Yahui and Guizani, Mohsen and Hossain, M. Shamim</t>
  </si>
  <si>
    <t>Artificial Intelligence for Virtual Reality: State of the Art, Challenges, and Future Perspectives</t>
  </si>
  <si>
    <t>10.1145/3769090</t>
  </si>
  <si>
    <t>Artificial Intelligence (AI) has wide applications in virtual reality (VR), especially in analyzing its implementation progress, existing limitations, and future development paths. This study finds that AI's main contributions to VR are in four key areas: creating intelligent virtual characters, advancing education and training, providing medical assistance, and generating dynamic scenes. This interdisciplinary convergence also brings significant opportunities, particularly in sectors such as education, healthcare, gaming, and corporate training. Additionally, the study discusses technical challenges related to computational costs, real-time feedback, user privacy, and algorithmic ethics. Critical challenges persist in data processing bottlenecks, privacy protection issues, and user adaptation. While AI enhances VR's intelligence and interactivity, breakthroughs are still needed in cross-modal integration, privacy, security, and user experience. Future advancements in deep learning and reinforcement learning may unlock unlimited potential for AI-driven VR in personalized adaptation and immersive interaction. Therefore, this study provides a comprehensive analysis of AI–VR integration, providing valuable insights for academic research and technological development.</t>
  </si>
  <si>
    <t>Artificial Intelligence, Virtual Reality, Intelligent Interaction, Digital Twins, User Experience, Privacy Security</t>
  </si>
  <si>
    <t>Justification: This study is excluded because it fails to satisfy Inclusion Criterion 3 and meets Exclusion Criterion 5.
IC 3 (Empirical Evidence): This is a survey ("This study provides a comprehensive analysis..."), which reviews the integration of AI and VR but does not present new empirical or experimental evidence, or case studies of its own on the implementation or impact of the agents.
EC 5 (Short Papers/Summarized Formats): Surveys are generally considered secondary studies and are excluded primarily because they do not contain the primary empirical data required by IC 3. The primary reason for exclusion is failure to provide new empirical evidence (IC 3).</t>
  </si>
  <si>
    <t>Shah, Chirag and White, Ryen W.</t>
  </si>
  <si>
    <t>From To-Do to Ta-Da: Transforming Task-Focused IR with Generative AI</t>
  </si>
  <si>
    <t>10.1145/3726302.3730352</t>
  </si>
  <si>
    <t>For decades, scholars have emphasized that tasks should be the central focus in Information Retrieval (IR). This point of view holds even more significance with the advent of Generative Artificial Intelligence (GenAI) models, which can, among other capabilities, understand natural language, engage in dialog with users, generate bespoke user interfaces, and power agents to help complete tasks. GenAI presents an unprecedented opportunity to finally realize the potential of tasks in IR, enhance task-focused retrieval and interaction, and create ''magical'' task completion moments for users. In this paper, we explore the rationale and methodology behind this argument. Traditional IR systems support mostly simple tasks. The emergence of GenAI creates an opportunity for IR systems to help users achieve complex tasks and for the IR community to rekindle its interest and demonstrate leadership in this sizable and significant problem space. We underscore the pivotal role of tasks in IR and introduce new evidence supporting the notion that task-centric approaches, abstracted from specific modalities, represent the future of IR. Building on this foundation, we envision the development, utilization, and evaluation of next-generation IR systems. We propose a promising future where IR agents prioritize users, their tasks, and their situations. However, despite their potential to address task-focused and modality-independent IR, agents alone are insufficient. We propose a robust ecosystem around these agents that transcends traditional queries, questions, prompts, and modalities to address users' fundamental needs, tasks, and goals.</t>
  </si>
  <si>
    <t>agents, generative ai, modalities, tasks</t>
  </si>
  <si>
    <t>Justification: This study is excluded because it fails to satisfy Inclusion Criterion 3.
IC 1 &amp; 2 (AI Agents/Organizational Context): The paper discusses the use of Generative AI (GenAI) and IR agents for task completion and task-centric approaches, which is highly relevant.
IC 3 (Empirical Evidence): The abstract uses future-oriented language ("We envision the development," "We propose a promising future") and focuses on methodology/rationale/argument. It does not mention presenting any empirical or experimental evidence, or case studies on the implementation or impact of these agents. It is a conceptual/vision paper.</t>
  </si>
  <si>
    <t>Assres, Gebremariam and Bhandari, Guru and Shalaginov, Andrii and Gronli, Tor-Morten and Ghinea, Gheorghita</t>
  </si>
  <si>
    <t>State-of-the-Art and Challenges of Engineering ML- Enabled Software Systems in the Deep Learning Era</t>
  </si>
  <si>
    <t>10.1145/3731597</t>
  </si>
  <si>
    <t>Emerging from the software crisis of the 1960s, conventional software systems have vastly improved through Software Engineering (SE) practices. Simultaneously, Artificial Intelligence (AI) endeavors to augment or replace human decision-making. In the contemporary landscape, Machine Learning (ML), a subset of AI, leverages extensive data from diverse sources, fostering the development of ML-enabled (intelligent) software systems. While ML is increasingly utilized in conventional software development, the integration of SE practices in developing ML-enabled systems, especially across typical Software Development Life Cycle (SDLC) phases and methodologies in the post-2010 Deep Learning (DL) era, remains underexplored. Our survey of existing literature unveils insights into current practices, emphasizing the interdisciplinary collaboration challenges of developing ML-enabled software, including data quality, ethics, explainability, continuous monitoring and adaptation, and security. The study underscores the imperative for ongoing research and development with focus on data-driven hypotheses, non-functional requirements, established design principles, ML-first integration, automation, specialized testing, and use of agile methods.</t>
  </si>
  <si>
    <t>Conventional software, ML-enabled software, ML-powered systems, SDLC phases, process areas, software development models</t>
  </si>
  <si>
    <t>Justification: This study is excluded because it fails to satisfy Inclusion Criterion 3 and meets Exclusion Criterion 5.
IC 1 &amp; 2 (AI Agents/Organizational Context): While it discusses ML-enabled software systems and challenges (like ethics), the focus is on Software Engineering (SE) practices and the integration of SE in developing ML systems, not the organizational impact/implementation of the AI agents themselves for decision-making or task automation.
IC 3 (Empirical Evidence): This is a survey ("Our survey of existing literature unveils insights"), which synthesizes existing literature but does not present new empirical or experimental evidence, or case studies of its own on the organizational impact of the agents.
EC 5 (Short Papers/Summarized Formats): Surveys are generally considered secondary studies and are excluded primarily because they do not contain the primary empirical data required by IC 3. The primary reason for exclusion is failure to provide new empirical evidence (IC 3).</t>
  </si>
  <si>
    <t>Huo, ShengXu and Rong, Huigui and Zhou, Yuxuan and Zuo, Hongjia and Liu, Daibo and Li, Zhipan and Wang, Min and Jiang, Hongbo</t>
  </si>
  <si>
    <t>Crash Scene to Resolution: LLM-based Agents Driven for Efficient Traffic Accident Handling</t>
  </si>
  <si>
    <t>10.1145/3766899</t>
  </si>
  <si>
    <t>Generative agents, capable of simulating human behavior and collaborating on complex tasks, have the potential to revolutionize the investigation of traffic accidents. In this study, we designed TAA (Traffic Accident Agents), an advanced framework based on extended large language models (LLMs) to digitally model urban accident handling procedures and stakeholder interactions. TAA formalizes the roles, responsibilities, and interactions of all stakeholders through natural language encoding, utilizing this knowledge base to orchestrate its execution workflows. Facilitates trusted agent interactions, generates comprehensive reports, and employs memory mechanisms to plan and optimize subsequent actions. We evaluated TAA performance across multiple versions of ChatGPT, focusing on its capabilities to generate reliable interactions, make context-sensitive decisions, maintain extended dialogues, and produce accurate reports in streamlined accident resolution scenarios. Our analysis included evaluations of token consumption and economic costs to ensure scalability and practicality, with TAA achieving 87.9% effectiveness on the GPT 4omini benchmark. Experimental results demonstrate TAA’s successful execution of urban accident handling workflows with maintained informational consistency. The framework shows broad applicability to accident investigation, reconstruction, and archival documentation. This work pioneers the use of generative agents as collaborative human proxies, offering a transformative pathway to advance the future of traffic accident management and investigation.</t>
  </si>
  <si>
    <t>Traffic Accident Agents, Multi-Agent Collaboration, LLM Agents, Accident handling</t>
  </si>
  <si>
    <t>Justification: This study strongly aligns with all inclusion criteria and does not meet any exclusion criteria.
IC 1 (AI Agents in Organizational Contexts): Designed a framework (TAA) based on extended Large Language Models (LLMs) to digitally model and automate urban accident handling procedures using generative agents for decision-making and collaboration.
IC 2 (Organizational Application): Focuses on efficient traffic accident handling and resolution, which is a specific process automation and decision support operation for relevant organizations (e.g., police, insurance, traffic management).
IC 3 (Empirical Evidence): Presents experimental results evaluating performance across multiple LLM versions, focusing on capabilities like generating reliable interactions and making context-sensitive decisions, providing empirical evidence.
IC 4 (Full Text/Language): The title and abstract are in English, and it's a full-length article published in a conference proceeding (implied full text).
EC 3 (Publication Date): Published in 2025 (after 2020).</t>
  </si>
  <si>
    <t>Namvarpour, Mohammad (Matt) and Razi, Afsaneh</t>
  </si>
  <si>
    <t>10.1145/3719160.3736621</t>
  </si>
  <si>
    <t>Conversational User Interfaces (CUIs) enable human-like interactions via voice, text, and multimodal communication, driven by natural language processing and machine learning. Prior literature reviews have primarily focused on specific application domains or design aspects, lacking an integrated, multi-dimensional analysis. This study addresses this gap by providing a structured framework synthesizing CUI research into interface design, system development, and ethical considerations. Our analysis highlights advancements in CUI design, such as dialogue structure, multimodal interactions, and adaptability. It also reveals persistent challenges, including bias in persona design, trust calibration, and data privacy. System development benefits from improvements in NLP, conversation memory, and multilingual capabilities. Ethical considerations, including social bias, user autonomy, and transparency, remain central to discussions on responsible CUI design. By analyzing existing research, we identify key gaps and suggest future directions, including multilingual and culturally adaptive CUIs, privacy-preserving AI techniques, and enhanced reasoning mechanisms for context-aware interactions.</t>
  </si>
  <si>
    <t>Conversational User Interfaces, CUI, Literature Review, Survey</t>
  </si>
  <si>
    <t>Justification: This study is excluded because it fails to satisfy Inclusion Criterion 3 and meets Exclusion Criterion 5.
IC 3 (Empirical Evidence): This is a comprehensive literature review ("providing a structured framework synthesizing CUI research"), which synthesizes existing research but does not present new empirical or experimental evidence, or case studies of its own on the implementation or impact of the agents.
EC 5 (Short Papers/Summarized Formats): Literature reviews are generally considered secondary studies and are excluded primarily because they do not contain the primary empirical data required by IC 3. The primary reason for exclusion is failure to provide new empirical evidence (IC 3).</t>
  </si>
  <si>
    <t>Wessel, Mairieli</t>
  </si>
  <si>
    <t>Enhancing developers’ support on pull requests activities with software bots</t>
  </si>
  <si>
    <t>10.1145/3368089.3418539</t>
  </si>
  <si>
    <t>Software bots are employed to support developers' activities, serving as conduits between developers and other tools. Due to their focus on task automation, bots have become particularly relevant for Open Source Software (OSS) projects hosted on GitHub. While bots are adopted to save development cost, time, and effort, the bots' presence can be disruptive to the community. My research goal is two-fold: (i) identify problems caused by bots that interact in pull requests, and (ii) help bot designers enhance existing bots. Toward this end, we are interviewing maintainers, contributors, and bot developers to understand the problems in the human-bot interaction and how they affect the collaboration in a project. Afterward, we will employ Design Fiction to capture the developers' vision of bots' capabilities, in order to define guidelines for the design of bots on social coding platforms, and derive requirements for a meta-bot to deal with the problems. This work contributes more broadly to the design and use of software bots to enhance developers' collaboration and interaction.</t>
  </si>
  <si>
    <t>GitHub Bots, Open-source Software, Software Bots</t>
  </si>
  <si>
    <t>Justification: This study is excluded because it meets Exclusion Criterion 5.
EC 5 (Short Papers/Summarized Formats): The length and content format of the abstract ("My research goal is two-fold: (i) identify problems... and (ii) help bot designers...") strongly suggest this is a short paper, poster, or extended abstract presenting planned research ("we are interviewing," "we will employ Design Fiction"), not a full article reporting completed findings. It appears to be a doctoral or preliminary research abstract.</t>
  </si>
  <si>
    <t>Leveraging Software Bots to Enhance Developers' Collaboration in Online Programming Communities</t>
  </si>
  <si>
    <t>10.1145/3406865.3418368</t>
  </si>
  <si>
    <t>Software bots are applications that are integrated into human communication channels, serving as an interface between users and other tools. Due to their focus on task automation, bots have become particularly relevant for Open Source Software (OSS) projects hosted on GitHub. While bots are adopted to save developers' costs, time, and effort, the interaction of these bots can be disruptive to the community. My research goal is two-fold: (i) identify problems caused by bots that interact in pull requests, and (ii) help bot designers to enhance existing bots, thereby improving the partnership with contributors and maintainers. Toward this end, we are interviewing developers to understand what are the problems on the human-bot interaction and how they affect human collaboration. Afterwards, we will employ Design Fiction to capture the developers' vision of bots' capabilities, in order to define guidelines for the design of bots on social coding platforms, and derive requirements for a meta-bot to deal with the problems. This work contributes more broadly to the design and use of software bots to enhance developers' collaboration and interaction.</t>
  </si>
  <si>
    <t>github bots, open source software, software bots, software engineering</t>
  </si>
  <si>
    <t>Justification: This study is excluded because it meets Exclusion Criterion 5.
EC 5 (Short Papers/Summarized Formats): The length and content format of the abstract ("My research goal is two-fold: (i) identify problems... and (ii) help bot designers...") strongly suggest this is a short paper, poster, or extended abstract presenting planned research ("we are interviewing," "we will employ Design Fiction"), not a full article reporting completed findings. It appears to be a doctoral or preliminary research abstract. (It is also a likely duplicate of the previous entry, EC 4).</t>
  </si>
  <si>
    <t>Alhakamy, A’aeshah</t>
  </si>
  <si>
    <t>Extended Reality (XR) Toward Building Immersive Solutions: The Key to Unlocking Industry 4.0</t>
  </si>
  <si>
    <t>10.1145/3652595</t>
  </si>
  <si>
    <t>When developing XR applications for Industry 4.0, it is important to consider the integration of visual displays, hardware components, and multimodal interaction techniques that are compatible with the entire system. The potential use of multimodal interactions in industrial applications has been recognized as a significant factor in enhancing humans’ ability to perform tasks and make informed decisions. To offer a comprehensive analysis of the current advancements in industrial XR, this review presents a structured tutorial that provides answers to the following research questions: (R.Q.1) What are the similarities and differences between XR technologies, including augmented reality (AR), mixed reality (MR), Augmented Virtuality (AV), and virtual reality (VR) under Industry 4.0 consideration? (R.Q.2) What types of visual displays and hardware devices are needed to present XR for Industry 4.0? (R.Q.3) How did the multimodal interaction in XR perceive and relate to Industry 4.0? (R.Q.4) How have modern adaptations of XR technologies dealt with the theme of Industry 4.0? (R.Q.5) How can XR technologies in Industry 4.0 develop their services and usages to be more solution-inclusive? This review showcases various instances that demonstrate XR’s potential to transform how humans interact with the physical world in Industry 4.0. These advancements can increase productivity, reduce costs, and enhance safety.</t>
  </si>
  <si>
    <t>Extended reality (XR), augmented reality (AR), virtual reality (VR), mixed reality (MR), and augmented virtuality (AV), 4IR, Industry 4.0</t>
  </si>
  <si>
    <t>Justification: This study is excluded because it fails to satisfy Inclusion Criterion 3 and meets Exclusion Criterion 5.
IC 1 &amp; 2 (AI Agents/Organizational Context): The paper focuses on Extended Reality (XR) for Industry 4.0, which involves multimodal interactions to help humans perform tasks and make informed decisions. However, the primary focus is on XR/hardware, and AI agents are not the central object of investigation.
IC 3 (Empirical Evidence): This is a structured tutorial/review ("this review presents a structured tutorial"), which answers research questions via synthesis but does not present new empirical or experimental evidence, or case studies of its own on the implementation or impact of the agents.
EC 5 (Short Papers/Summarized Formats): Reviews are generally considered secondary studies and are excluded primarily because they do not contain the primary empirical data required by IC 3. The primary reason for exclusion is failure to provide new empirical evidence (IC 3).</t>
  </si>
  <si>
    <t>Yuan, Ming and Yang, Shulin and Gu, Mengdie and Gu, Huijie</t>
  </si>
  <si>
    <t>Analysis and Research on Book Recommendation Model Based on Big Data</t>
  </si>
  <si>
    <t>10.1145/3443467.3443723</t>
  </si>
  <si>
    <t>In the context of big data, how to define user behavior models and provide personalized reading services for readers by mining large amounts of user data is a problem that the current reading platform needs to optimize urgently. First, we need to analyze the user behavior model to construct the research status and existing problems, in order to provide large data personalized services, targeted user behavior model based on reading platform construction strategies and construction methods, and designs a user logging library is utilized to extract the user interest in dominant and recessive demand ontology of personalized service plan. The user behavior model based on ontology can be technically seamlessly connected with the big data analysis platform, so as to provide real-time and accurate services, which can effectively deal with the challenges of "knowledge trek", "information overload" and "emotional loss" faced by the personalized service of the reading platform in the current big data environment.</t>
  </si>
  <si>
    <t>Big Data, Linked Data, Ontology, Personalized Service, User Behavior Model</t>
  </si>
  <si>
    <t>The study fails to meet the primary Inclusion Criterion 1 (IC 1) and meets Exclusion Criterion 1 (EC 1).</t>
  </si>
  <si>
    <t>He, Zhuolun and Pu, Yuan and Wu, Haoyuan and Qiu, Tairu and Yu, Bei</t>
  </si>
  <si>
    <t>Large Language Models for EDA: Future or Mirage?</t>
  </si>
  <si>
    <t>10.1145/3736167</t>
  </si>
  <si>
    <t>In this article, we explore the burgeoning intersection of large language models (LLMs) and electronic design automation (EDA). We critically assess whether LLMs represent a transformative future for EDA or merely a fleeting mirage. By organizing existing research into four critical domains of EDA—code generation, verification and debugging, knowledge representation and retrieval, and optimization/modeling—we provide a comprehensive overview of the current state-of-the-art. The survey concludes with a 5-level roadmap to guide the progressive integration and advancement of LLMs in EDA. Ultimately, this article aims to provide a comprehensive, evidence-based perspective on the role of LLMs in shaping the future of EDA.</t>
  </si>
  <si>
    <t>Large Language Model</t>
  </si>
  <si>
    <t>The study meets Exclusion Criterion 1 (EC 1) and is weak on Inclusion Criteria 2 (IC 2).</t>
  </si>
  <si>
    <t>Ranade, Nupoor and Saravia, Marly and Johri, Aditya</t>
  </si>
  <si>
    <t>Using rhetorical strategies to design prompts: a human-in-the-loop approach to make AI useful</t>
  </si>
  <si>
    <t>10.1007/s00146-024-01905-3</t>
  </si>
  <si>
    <t>The growing capabilities of artificial intelligence (AI) word processing models have demonstrated exceptional potential to impact language related tasks and functions. Their fast pace of adoption and probable effect has also given rise to controversy within certain fields. Models, such as GPT-3, are a particular concern for professionals engaged in writing, particularly as their engagement with these technologies is limited due to lack of ability to control their output. Most efforts to maximize and control output rely on a process known as prompt engineering, the construction and modification of the inputted prompt with expectation for certain outputted or desired text. Consequently, prompt engineering has emerged as an important consideration for research and practice. Previous conceptions of prompt engineering have largely focused on technical and logistic modifications to the back-end processing, remaining inaccessible and, still, limited for most users. In this paper, we look to the technical communication field and its methods of text generation—the rhetorical situation—to conceptualize prompt engineering in a more comprehensible way for its users by considering the context and rhetoric. We introduce a framework, consisting of a formula, to prompt engineering, which demands all components of the rhetorical situation be present in the inputted prompt. We present discussions on the future of AI writing models and their use in both professional and educational settings. Ultimately, this discussion and its findings aim to provide a means of integrating agency and writer-centric methods to AI writing tools to advance a more human-in-the-loop approach. As the use of generative AI and especially NLP-based technologies become common across societal functions, the use of prompt engineering will play a crucial role not just in adoption of the technology, but also its productive and responsible use.</t>
  </si>
  <si>
    <t>Prompt engineering, AI writing, Technical communication, Rhetoric</t>
  </si>
  <si>
    <t>The study fails to meet Inclusion Criteria 2 and 3 (IC 2 and IC 3), and meets Exclusion Criterion 1 (EC 1).</t>
  </si>
  <si>
    <t>Rajesh, K. and Vetrivelan, P.</t>
  </si>
  <si>
    <t>Comprehensive analysis on 5G and 6G wireless network security and privacy: Comprehensive analysis on 5G and 6G wireless network security and privacy</t>
  </si>
  <si>
    <t>10.1007/s11235-025-01282-2</t>
  </si>
  <si>
    <t>The evolution of 1G to 4G brought significant changes to telecommunication networks but 5G and 6G are not just another generational upgrade. 5G supports real time applications through Ultra Reliable Low Latency Communication, Faster data speeds to enhance Mobile Broadband and Massive Machine Type Communications for connecting numerous devices and, The 6G is expected to support a wider range of applications and services compared to 5G with improved mobility, reliability and autonomous network service it making society more sustainable and energy efficient. Securing these heterogeneous networks is crucial. It requires advanced authentication, authorization and access control methods with enhanced Physical Layer Security, and improved Cyber Physical Systems, Intrusion Detection and Prevention Systems to facilitate secure communication. This research investigates practical demonstrations of security and privacy challenges in 5G and 6G core networks and their connected environments. The study leverages tools such as the NS3 network simulator, Open5GS, QKDNetSim, MATLAB and a proposed Quantum blockchain-based Intrusion Detection System (IDS) framework is designed to preventing adversarial machine learning attacks on network IDS while significantly reducing model training time and improve the model for detect real-time attack detection in the NR (New Radio) Network.</t>
  </si>
  <si>
    <t>5G and 6G network security, Quantum-safe 5G and 6G, AI and ML in next-gen wireless security, Blockchain for 5G and 6G</t>
  </si>
  <si>
    <t>The study meets Exclusion Criterion 1 (EC 1).</t>
  </si>
  <si>
    <t>Truong, Thai-Minh and L\^{e</t>
  </si>
  <si>
    <t>A data-driven, goal-oriented framework for process-focused enterprise re-engineering</t>
  </si>
  <si>
    <t>10.1007/s10257-021-00523-6</t>
  </si>
  <si>
    <t>Along with enterprise transformation, enterprise re-engineering is essential for maintaining the competitiveness of an enterprise. Enterprise re-engineering addresses (emergent) changes, re-organizing, outsourcing and re-aligning alike. Re-engineering itself has drawn traction in both academia and business. Most scholarly work in this area is confined to model-driven analysis, holistic frameworks for analyzing as-is/to-be enterprise models, and a few other conceptualization techniques. The practice of process redesign understandably takes the stage in re-engineering. Yet algorithmic techniques that insightfully point out how a process might be improved for proactively re-engineering process-intensive enterprise architecture are missing. Data science and business intelligence have brought a refreshingly new analysis to this mainstream problem by studying the operational history of a business process to facilitate most plausible changes. In this article, we investigate enterprise process redesign taking into account enterprise’s high-level strategy and data warehouse. More specifically, we propose an approach to reasoning about an enterprise’s strategy together with data mining rules extracted from the data warehouse of the enterprise. Our redesign algorithms suggest design-time changes to be made to its business processes, primarily by eliminating redundant tasks and re-ordering inefficiently-located tasks. We analyze the effectiveness of candidate to-be business processes with regard to business intelligence indicators. We report our work on the enterprise architecture developed for a retailer of low-cost domestic flights.</t>
  </si>
  <si>
    <t>Enterprise re-engineering, Goal-oriented Modeling, Business process management, Data mining, Business intelligence, Digital enterprise</t>
  </si>
  <si>
    <t>Wanner, Jonas and Wissuchek, Christopher and Welsch, Giacomo and Janiesch, Christian</t>
  </si>
  <si>
    <t>A Taxonomy and Archetypes of Business Analytics in Smart Manufacturing</t>
  </si>
  <si>
    <t>10.1145/3583581.3583584</t>
  </si>
  <si>
    <t>Fueled by increasing data availability and the rise of technological advances for data processing and communication, business analytics is a key driver for smart manufacturing. However, due to the multitude of different local advances as well as its multidisciplinary complexity, both researchers and practitioners struggle to keep track of the progress and acquire new knowledge within the field, as there is a lack of a holistic conceptualization. To address this issue, we performed an extensive structured literature review, yielding 904 relevant hits, to develop a quadripartite taxonomy as well as to derive archetypes of business analytics in smart manufacturing. The taxonomy comprises the following meta-characteristics: application domain, orientation as the objective of the analysis, data origins, and analysis techniques. Collectively, they comprise eight dimensions with a total of 52 distinct characteristics. Using a cluster analysis, we found six archetypes that represent a synthesis of existing knowledge on planning, maintenance (reactive, offline, and online predictive), monitoring, and quality management. A temporal analysis highlights the push beyond predictive approaches and confirms that deep learning already dominates novel applications. Our results constitute an entry point to the field but can also serve as a reference work and a guide with which to assess the adequacy of one's own instruments.</t>
  </si>
  <si>
    <t>archetypes., business analytics, industry 4.0, literature review, smart manufacturing, taxonomy</t>
  </si>
  <si>
    <t>The study meets Exclusion Criterion 1 (EC 1) and is a descriptive review/taxonomy.</t>
  </si>
  <si>
    <t>Bogea Gomes, Silvia and Santoro, Flavia Maria and Mira da Silva, Miguel and Pinto, Paulo and Guizzardi, Giancarlo</t>
  </si>
  <si>
    <t>Towards a core ontology of organisational transformation</t>
  </si>
  <si>
    <t>10.3233/AO-230276</t>
  </si>
  <si>
    <t>Organisations are increasingly transforming themselves to remain profitable and obtain sustainable competitive advantages. Business processes are as important as technology in promoting organisational transformation. Organisational transformation ultimately entails combining existing business components, whether or not with the same use and design, with new ones to generate novel products and services. For example, one particular type of organisation transformation is digital transformation. This notion, which covers even the subjective aspects of organisational transformation, is currently under intensive discussion and suffers from the semantics terms fluctuation related to the notion of ‘organisational transformation’. We argue that this topic could strongly benefit from an ontological analysis and conceptual clarification of these notions. This paper contributes with an attempt in this direction by proposing a Core Ontology of Organisational Transformation (COOT). This ontology comprises concepts and relations central to creating a reference model representing the organisational transformation paradigm. COOT was applied in a real-world case study on a car rental company.</t>
  </si>
  <si>
    <t>Organisational transformation, core ontology, UFO</t>
  </si>
  <si>
    <t>B\'{e</t>
  </si>
  <si>
    <t>Artificial intelligence, cyber-threats and Industry 4.0: challenges and opportunities</t>
  </si>
  <si>
    <t>10.1007/s10462-020-09942-2</t>
  </si>
  <si>
    <t>This survey paper discusses opportunities and threats of using artificial intelligence (AI) technology in the manufacturing sector with consideration for offensive and defensive uses of such technology. It starts with an introduction of Industry 4.0 concept and an understanding of AI use in this context. Then provides elements of security principles and detection techniques applied to operational technology (OT) which forms the main attack surface of manufacturing systems. As some intrusion detection systems (IDS) already involve some AI-based techniques, we focus on existing machine-learning and data-mining based techniques in use for intrusion detection. This article presents the major strengths and weaknesses of the main techniques in use. We also discuss an assessment of their relevance for application to OT, from the manufacturer point of view. Another part of the paper introduces the essential drivers and principles of Industry 4.0, providing insights on the advent of AI in manufacturing systems as well as an understanding of the new set of challenges it implies. AI-based techniques for production monitoring, optimisation and control are proposed with insights on several application cases. The related technical, operational and security challenges are discussed and an understanding of the impact of such transition on current security practices is then provided in more details. The final part of the report further develops a vision of security challenges for Industry 4.0. It addresses aspects of orchestration of distributed detection techniques, introduces an approach to adversarial/robust AI development and concludes with human–machine behaviour monitoring requirements.</t>
  </si>
  <si>
    <t>Intrusion detection systems, Security, Industry 4.0, Artificial intelligence</t>
  </si>
  <si>
    <t>The study meets Exclusion Criterion 1 (EC 1) and is a survey.</t>
  </si>
  <si>
    <t>HRI '24: Companion of the 2024 ACM/IEEE International Conference on Human-Robot Interaction</t>
  </si>
  <si>
    <t>Welcome one and all to the 19th Annual ACM/IEEE International Conference on Human-Robot Interaction (HRI)!We are so pleased to re-welcome the HRI community to Boulder, Colorado, where HRI 2021 would have been held, had the COVID pandemic not interfered. Following up on the successful in-person conference held last year in Sweden, this year's theme is "HRI in the Real World," and focuses on advances that aim to bring human-robot interaction out of the lab and into everyday life.One aspect of this that we are very excited about is the introduction of a robot challenge to the conference activities, where teams from around the world will showcase their research and development via actual, interactive robots in the "real world" of an academic conference. It is our hope that this feature will grow and develop over the coming years into a staple of the HRI conference.This year's HRI conference saw an impressive surge in global interest, with 352 full paper submissions from around the world, marking a significant 40% increase compared to the previous year. These papers were categorized under relevant thematic subcommittees and underwent a double-blind review process, a rebuttal phase, and selective shepherding by the HRI program committee. From this process, 87 outstanding papers (24.7%) were chosen for full presentation at the conference. Reflecting our joint sponsorship with IEEE and ACM, all accepted papers will be accessible in the ACM Digital Library and IEEE Xplore.</t>
  </si>
  <si>
    <t>All conference proceedings meet Exclusion Criterion 5 (EC 5).</t>
  </si>
  <si>
    <t>WWW '25: Companion Proceedings of the ACM on Web Conference 2025</t>
  </si>
  <si>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</si>
  <si>
    <t>The primary reason for exclusion is the nature of the submissions. All entries are either Conference Proceedings or Companion Proceedings and their introductory abstracts/forewords.</t>
  </si>
  <si>
    <t>ICPE '25: Companion of the 16th ACM/SPEC International Conference on Performance Engineering</t>
  </si>
  <si>
    <t>Welcome to the 16th ACM/SPEC International Conference of Performance Engineering (ICPE), held in Toronto, Canada, from May 5, 2025, to May 9, 2025. ICPE serves as the premier global forum for showcasing and discussing new concepts, innovations, trends, and experiences in performance engineering.On May 5 and 6, the first two days of the conference, we scheduled five workshops and two tutorials. The workshops cover important topics in performance engineering today. These include cloud computing (HotCloudPerf 2025) and its benchmarking (BID 2025), the benchmarking and load testing of software systems (LTB 2025), performance engineering in the Large Language Models (AIPerfLLM 2025), and the application of performance engineering in both educational and practical contexts (WEPPE 2025). We thank the workshop chairs, Luca Trani and Marios Fokaefs, for arranging a great workshop agenda. On May 5, we have a tutorial on serverless computing entitled "Serverless Orchestration on the Edge-Cloud Continuum: Challenges and Solutions," authored by Reza Farahing and Radu Prodan, while May 6 is dedicated to energy-efficiency benchmarking with the tutorial conducted by Maximilian Meissner, Klaus-Dieter Lange, Aaron Cragin, and Diego Esteves, called "Next Generation Energy-Efficiency Benchmarking - Reliable and Reproducible Efficiency Testing in a Diverse IT-Landscape" and to a hands-on session with the Kieker 2 Observability Framework, authored by Shinhyung Yang, David Georg Reichelt, Reiner Jung, Marcel Hansson, and Wilhelm Hasselbring. We express our gratitude to the tutorial chairs, Vittoria de Nitto Person\`{e</t>
  </si>
  <si>
    <t>SIGIR '25: Proceedings of the 48th International ACM SIGIR Conference on Research and Development in Information Retrieval</t>
  </si>
  <si>
    <t>It is our great pleasure to welcome you to the 48th Annual International ACM SIGIR Conference on Research and Development in Information Retrieval (ACM SIGIR 2025), taking place in Padova, Italy, from July 13th to July 18th, 2025.This year's conference continues its tradition of being the premier international forum for presenting cutting-edge research and showcasing innovative systems and techniques in the broad field of Information Retrieval.SIGIR 2025 is an in-person conference. We believe that holding the conference in person offers significant advantages, including richer opportunities for direct engagement and networking, a more dynamic exchange of research ideas, and a more welcoming environment for newcomers. To accommodate those who, in exceptional cases, are unable to attend in person, we have arranged for the option of proxy presenters (i.e. a qualified person presents on their behalf).This year's conference spans six days, beginning with a day dedicated to the Doctoral Consortium and Tutorial presentations. The following three days feature sessions comprising three Keynote Talks, full papers, short papers, resource and reproducibility papers, perspective papers, lowresources environments papers, system demonstrations, and an industry track (SIRIP). The program also features two Women in IR (WIR) activities (a panel and a poster session). Finally, the last day is devoted to Workshops aimed at fostering discussion and encouraging collaboration on emerging research topics in Information Retrieval, as well as to the LiveRag challenge, organized by the Technology Innovation Institute, and focused on Retrieval Augmented Generation. On Friday the 18th the ICTIR 2025 Conference takes place.Social highlights include a welcome reception, a conference dinner, a student luncheon and student party, as well as the WIR reception and the ICTIR Social Dinner.The SIGIR 2025 technical program is highlighted by three keynote presentations delivered by esteemed speakers, to whom we extend our sincere gratitude: Stephen Robertson (Girton College, Cambridge, UK), Iryna Gurevych (Technical University of Darmstadt, Germany), and Ophir Frieder (Georgetown University, Washington DC, USA).</t>
  </si>
  <si>
    <t>HRI '24: Proceedings of the 2024 ACM/IEEE International Conference on Human-Robot Interaction</t>
  </si>
  <si>
    <t>UbiComp '24: Companion of the 2024 on ACM International Joint Conference on Pervasive and Ubiquitous Computing</t>
  </si>
  <si>
    <t>Welcome to UbiComp/ISWC 2024, the companion program of two premier conferences: The 2024 ACM International Joint Conference on Pervasive and Ubiquitous Computing (UbiComp 2024) and the 2024 International Symposium on Wearable Computers (ISWC 2024). UbiComp and ISWC are premier interdisciplinary venues for international researchers, designers, developers, practitioners and educators in the field to present and discuss novel and impactful research in interactive, mobile, wearable and ubiquitous computing. The companion program has traditionally been a very important part of the UbiComp/ISWC conference series.UbiComp/ISWC 2024 is held from October 5 to 9, 2024 in Melbourne, Australia. Originally, UbiComp/ISWC was scheduled to take place in Melbourne in 2021. However, due to the significant impact of COVID-19, our community decided to postpone conferences taking place in their traditional form until last year, when UbiComp took place as an in-person event in Mexico. Now, in 2024 we look to consolidate the strength and ties in our community by having another fully in-person event and hoping to welcome a new generation of researchers to meet and explore the wonderful people that make up our community.</t>
  </si>
  <si>
    <t>WSDM '25: Proceedings of the Eighteenth ACM International Conference on Web Search and Data Mining</t>
  </si>
  <si>
    <t>Welcome to the 18th ACM International Conference on Web and Data Mining, this time taking place in Hannover, Germany.Many volunteers have helped to provide excellent content for the conference, most of all the 3 PC Chairs, Meeyoung Cha (Max Planck Institute for Security and Privacy in Germany), Francine Moens (KU Leuven, Belgium) and Marc Najork (Google DeepMind, USA), who selected more than 100 papers from over 600 submissions for presentation at the conference.This exciting WSDM 2025 main conference program was extended by interesting demonstrations like Lightning IR for fine-tuning and inference of transformer-based language models for information retrieval, WildlifeLookup, a chatbot designed to facilitate wildlife management and Ventana a la Verdad, a chatbot for navigating Colombian civil conflict archives. Several workshops ranging from language models to trust and verification on the Web complemented this program and provided important opportunities for the discussion of exciting new ideas and approaches.WSDM Cup 2025 challenged more than 1000 competitors to create useful and efficient auto-rater models that can accurately reflect human evaluations. This competition focused on the creation of multilingual auto-rater models using chatbot arena data, with exciting solutions. The WSDM 2025 Industry Day featured talks from leading companies on practical applications of web search and data mining. Some notable examples included zero-shot image moderation in Google Ads, advancing Voice AI for E-commerce at Amazon, and Fact-checking of multilingual podcasts. Finally, WSDM Day talks focused on medical research questions and topics, applying language models, knowledge graphs and other AI based approaches.For participants aiming to enter new research areas, the WSDM 2025 tutorials covered a broad range of topics, including Robust Information Retrieval, Building Trustworthy AI Models for Medicine, Unifying Bias and Unfairness in Information Retrieval in the LLM Era, Advances in Vector Search and quite a few more. And finally, three excellent invited speakers (Slav Petrov from Google DeepMind and co-lead on Gemini, Roberto Navigli from Sapienza University and Babelscape and Mario Fritz from CISPA) provided exciting insights into the state of AI, about what large language models really understand, as well as privacy and security aspects of neural models.</t>
  </si>
  <si>
    <t>SIGIR '24: Proceedings of the 47th International ACM SIGIR Conference on Research and Development in Information Retrieval</t>
  </si>
  <si>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</si>
  <si>
    <t>WWW '25: Proceedings of the ACM on Web Conference 2025</t>
  </si>
  <si>
    <t>The 2025 ACM Web Conference (WWW '25) took place from April 28 to May 2, 2025, in the Sydney Convention &amp;amp; Exhibition Centre, Australia. Its logo, featuring the Sydney Harbour Bridge, symbolizes the core "connecting" function of the Web. Formerly known as the International World Wide Web Conference (WWW), this event originated at CERN in 1994 and has long served as the premier venue for presenting and discussing research, development, standards, and applications related to the Web.The 2025 ACM Web Conference (WWW'25) took place from April 28 to May 2, 2025, in the Sydney Convention &amp;amp; Exhibition Centre, Australia. Its logo, featuring the Sydney Harbour Bridge, symbolizes the core "connecting" function of the Web. Formerly known as the International World Wide Web Conference (WWW), this event originated at CERN in 1994 and has long served as the premier venue for presenting and discussing research, development, standards, and applications related to the Web.Between 2024 and 2025, large language models (LLMs) significantly impacted nearly every industry and many aspects of daily life, prompting transformations in the Web's ecosystem. Acknowledging the importance of LLMs in advancing Web technologies, the call for papers (CFP) across ten research tracks was slightly modified. Three program chairs - Liane Lewin-Eytan, Helen Huang, and Elad Yom-Tov - led the program committee, which used OpenReview to evaluate and accept the research track papers.</t>
  </si>
  <si>
    <t>WSDM '24: Proceedings of the 17th ACM International Conference on Web Search and Data Mining</t>
  </si>
  <si>
    <t>It is our great pleasure to welcome you to the 17th ACM International Conference on Web Search and Data Mining - WSDM 2024. WSDM is one of the premier conferences in the fields of web search and data mining, with a dynamic and growing community from academia and industry. After two years of virtual conferences and in-person conferences in Singapore, the 2024 edition is an in-person conference with virtual elements. We hope you enjoy the conference at the "Centro Internacional de Congresos de Yucatan (CIC)" in Merida from March 4 to March 8, 2024.We are excited to kick off the program with a dynamic mix of Tutorials and Industry Day. Our seven tutorials will cover a broad range of search and data mining topics. Industry Day will provide valuable insights from leaders at major technology companies. The core technical program continues WSDM's tradition of a single-track format, featuring 109 thought-provoking papers from both academic and industry experts. We're honored to have inspiring keynote speakers each day: Nicolas Christin (CMU), Elizabeth Reid (Google), and Saiph Savage (Civic A.I. Lab). Additionally, 17 interactive demonstrations will showcase the latest prototypes and systems. The final day offers a stimulating Doctoral Consortium and six engaging workshops on topics including integrity in social networks, large language model for society, psychology-informed information access system, interactive and scalable information retrieval system and machine learning on graphs. WSDM 2024 proudly presents WSDM day on information retrieval and Web in the region. WSDM Cup Day highlights finalists' presentations addressing challenges in Conversational Multi-Doc QA. This diverse and stimulating program promises to be an enriching experience for all!.</t>
  </si>
  <si>
    <t>CCS '24: Proceedings of the 2024 on ACM SIGSAC Conference on Computer and Communications Security</t>
  </si>
  <si>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</si>
  <si>
    <t>MM '24: Proceedings of the 32nd ACM International Conference on Multimedia</t>
  </si>
  <si>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</si>
  <si>
    <t>The entry meets Exclusion Criterion 5 (EC 5).</t>
  </si>
  <si>
    <t>ASPLOS '24: Proceedings of the 29th ACM International Conference on Architectural Support for Programming Languages and Operating Systems, Volume 3</t>
  </si>
  <si>
    <t>Welcome to the third volume of ASPLOS'24: the 29th ACM International Conference on Architectural Support for Programming Languages and Operating Systems. This document is mostly dedicated to the 2024 fall cycle but also provides some statistics summarizing all three cycles.We introduced several notable changes to ASPLOS this year, most of which were discussed in our previous messages from program chairs in Volume 1 and 2, including: (1) significantly increasing the program committee size to over 220 members (more than twice the size of last year); (2) foregoing synchronous program committee (PC) meetings and instead making all decisions online; (3) overhauling the review assignment process; (4) developing an automated submission format violation identifier script that uncovers, e.g., disallowed vertical space manipulations that "squeeze" space; (5) introducing the new ASPLOS role of Program Vice Chairs to cope with the increased number of submissions and the added load caused by foregoing synchronous program committee; and (6) characterizing a systematic problem that ASPLOS is facing in reviewing quantum computing submissions, describing how we addressed it and highlighting how we believe that it should be handled in the future.Assuming readers have read our previous messages, here, we will only describe differences between the current cycle and the previous ones. These include: (1) Finally unifying submission and acceptance paper formatting instructions (forgoing the `jpaper' class) to rid authors of accepted papers from the need to reformat; (2) Describing the methodology we employed to select best papers, which we believe ensures quality and hope will persist; and (3) Reporting the ethical incidents we encountered and how we handled them. In the final, fourth volume, when the outcome of the ASPLOS'24 fall major revisions will become known, we plan to conduct a broader analysis of all the data we have gathered throughout the year.Following are some key statistics of the fall cycle: 340 submissions were finalized (43% more than last year's fall count and 17% less than our summer cycle) of which 111 are related to accelerators/FPGAs/GPUs, 105 to machine learning, 54 to security, 50 to datacenter/cloud and 50 to storage/memory; 183 (54%) submissions were promoted to the second review round; 39 (11.5%) papers were accepted (of which 19 were awarded artifact evaluation badges); 33 (9.7%) submissions were allowed to submit major revisions and are currently under review (these will be addressed in the fourth volume of ASPLOS'24 and will be presented in ASPLOS'25 if accepted); 1,368 reviews were uploaded; and 4,949 comments were generated during online discussions, of which 4,070 were dedicated to the submissions that made it to the second review round.This year, in the submission form, we asked authors to specify which of the three ASPLOS research areas are related to their submitted work. Analyzing this data revealed that 80%, 39%, and 29% of the submissions are categorized by their authors as related to architecture, operating systems, and programming languages, respectively, generating the highest difference we have observed across the cycles between architecture and the other two. About 46% of the fall submissions are "interdisciplinary," namely, were associated with two or more of the three areas.Overall, throughout all the ASPLOS'24 cycles, we received 922 submissions, constituting a 1.54x increase compared to last year. Our reviewers submitted a total of 3,634 reviews containing more than 2.6 million words, and we also generated 12,655 online comments consisting of nearly 1.2 million words. As planned, PC members submitted an average of 15.7 reviews and a median of 15, and external review committee (ERC) members submitted an average of 4.7 and a median of 5.We accepted 170 papers thus far, written by 1100 authors, leading to an 18.4% acceptance rate, with the aforementioned 33 major revisions still under review. Assuming that the revision acceptance rate will be similar to that of previous cycles, we estimate that ASPLOS'24 will accept nearly 200 (!) papers, namely, 21%–22% of the submissions.The ASPLOS'24 program consists of 193 papers: the 170 papers we accepted thus far and, in addition, 23 major revisions from the fall cycle of ASPLOS'23, which were re-reviewed and accepted. The full details are available in the PDF of the front matter.</t>
  </si>
  <si>
    <t>Khan, M.A.; Rahman, A.; Mahmud, F.U.; Bishnu, K.K.; Ahmed, M.; Mridha, M.F.; Aung, Z.</t>
  </si>
  <si>
    <t>A systematic review of AI-driven business models for advancing Sustainable Development Goals</t>
  </si>
  <si>
    <t>Artificial Intelligence (AI) is changing how businesses operate and contributing to the United Nations Sustainable Development Goals (SDGs). This paper reviews how AI-driven business models support economic growth, environmental protection, and social well-being. It examines key technologies like machine learning, natural language processing, computer vision, and autonomous systems, and their use in industries such as healthcare, energy, and logistics. This paper introduces a comprehensive taxonomy that classifies AI technologies according to their roles in sustainable business models. The taxonomy outlines how different technologies contribute to data analysis, decision-making, process automation, and human-AI interaction, helping to explain how AI creates, delivers, and captures value aligned with the SDGs. The study also reviews recent works, outlining their achievements and limitations, particularly for underexplored SDGs. Common challenges, including ethical issues, resource limitations, and policy gaps are identified. The paper highlights the need for AI frameworks that are scalable, transparent, and inclusive. Finally, it suggests directions for future research, focusing on collaboration, innovative methods, and addressing current gaps to harness AI's potential for sustainable development. © 2025 Elsevier B.V., All rights reserved.</t>
  </si>
  <si>
    <t>Economics; Environmental protection; Learning systems; Machine learning; Sustainable development goals; Artificial intelligence-driven business model; Business models; Economic growths; Key technologies; Machine-learning; Natural languages; Social well-being; Systematic Review; United Nations; Sustainable development</t>
  </si>
  <si>
    <t>Justification: secondary/SLR/agenda study – does not present primary empirical evidence of AI agent implementation in organizational customer service, process automation, or decision support (fails IC3).</t>
  </si>
  <si>
    <t>The study meets Exclusion Criterion 5 (EC 5) and Exclusion Criterion 1 (EC 1) in spirit.</t>
  </si>
  <si>
    <t>Park, C.; Moon, H.; Shin, J.</t>
  </si>
  <si>
    <t>Do restaurant customers and owners differ in their preferences for serving robots? A choice experiment and latent class approach</t>
  </si>
  <si>
    <t>Serving robots are increasingly being adopted by restaurants to address labor shortages and improve operational efficiency. These robots offer a range of benefits to restaurant owners, including increased productivity and a novel customer experience. However, there are barriers to adopting these technologies, including the digital literacy gap, emotional resistance, and social concerns regarding the impact of automation. Nevertheless, most existing research has focused on customer acceptance of serving robots, overlooking the perspectives of restaurant owners, who are the actual decision makers driving their adoption. This study addresses this gap by analyzing the heterogeneous preferences of customers and restaurant owners regarding serving robot types. Using a discrete choice experiment (DCE) and latent class analysis (LCA), this study identified two segments in each group. Customers were technology-progressive (43.6 %) or technology-conservative (56.4 %); owners were interaction-oriented (60.3 %) or appearance-oriented (39.7 %). The results showed that customers generally prefer non-humanoid robots, whereas owners favor fixed-type or humanoid robots. Notably, customers were the least likely to accept humanoid robots, indicating a potential “uncanny valley” effect. These divergent preferences suggest that successfully introducing serving robots to restaurants requires a strategic alignment between customer experience and owner priorities. By comparing these two stakeholder groups, this study provides practical insights for restaurant owners and robot manufacturers seeking to facilitate the effective introduction of serving robots in customer-facing environments. © 2025 Elsevier B.V., All rights reserved.</t>
  </si>
  <si>
    <t>Behavioral research; Decision making; Human robot interaction; Man machine systems; Sales; Choice experiments; Customer experience; Heterogeneous preference; Humanoid robot; Humans-robot interactions; Labor shortages; Latent class; Operational efficiencies; Serving robot; Uncanny valley; Anthropomorphic robots; discrete choice analysis; food market; preference behavior; robotics; stakeholder; valley</t>
  </si>
  <si>
    <t>Justification: focuses on service robots/consumer acceptance, not on AI agents (LLMs, chatbots, multi-agent or RL) applied to organizational decision-making or task automation (fails IC1/IC2).</t>
  </si>
  <si>
    <t>Strong alignment with all inclusion criteria and no (relevant) exclusion criteria met.</t>
  </si>
  <si>
    <t>Bi, C.; Cui, X.; Sun, Z.; Jin, Y.</t>
  </si>
  <si>
    <t>Thinking AI or feeling AI? The effect of AI on consumers’ willingness to purchase healthy food from the perspective of nudge</t>
  </si>
  <si>
    <t>The application of AI technologies in influencing consumers’ willingness to purchase healthy food is becoming increasingly prevalent. Significant differences have been observed in the service characteristics of different AI types (thinking AI vs. feeling AI) and consumers’ decision-making pathways across various consumption contexts (public vs. personal). In response to this, the present study systematically explores the interactive effects of AI type and consumption context on consumers’ willingness to purchase healthy food based on nudge theory, employing two 2 × 2 between-subject experiments. Study 1 recruited 120 valid participants, who were randomly assigned to either a public or personal consumption context. Their willingness to purchase healthy food was measured using a seven-point Likert scale to examine the interaction between AI type and consumption context. Study 2 further investigated the mediating roles of cognitive and affective responses in this interaction effect. Additionally, robustness checks were conducted by modifying AI product materials and repeating the experiment to ensure the reliability of the findings. This study unveils the interaction effect between AI type and consumption context, as well as its underlying mediating mechanism, thereby expanding the theoretical framework of research on health food consumption behavior. Furthermore, the findings provide practical insights for businesses to develop precise AI-driven health food marketing strategies. © 2025 Elsevier B.V., All rights reserved.</t>
  </si>
  <si>
    <t>Justification: title does not provide enough evidence that the study (i) investigates AI agents for organizational decision-making or process automation, (ii) targets customer service/decision support, and (iii) reports empirical/case evidence – at least one IC is not satisfied, so score = 0.</t>
  </si>
  <si>
    <t>Gavrila Gavrila, S.; de Lucas López, A.P.; Verdugo Molano, C.</t>
  </si>
  <si>
    <t>AI automation at an unprecedented scale: mapping its adoption and specialisation</t>
  </si>
  <si>
    <t>This paper investigates how Artificial Intelligence (AI) goes beyond traditional technological roles to drive transformation across industries, organisations, and society. By analysing 2188 academic papers from the arXiv platform (from 2018 until 2025), the study highlights the unexpectedly widespread adoption of AI and its increasing specialisation in tasks and organisational functions. The findings reveal AI's potential to foster innovation, enhance productivity, and address complex challenges. While the focus on academic sources and the exclusion of regional contexts present certain limitations, this research provides critical insights into AI's evolving role and its implications for businesses, employees, and the conduct of government. Purpose/aims of the paper: This study explores how AI has evolved from technical applications to become a key driver of innovation and knowledge creation. It investigates AI's penetration across industries, organisational areas, and tasks, focusing on its ability to solve complex challenges, reshape business workflows, and enable strategic decision-making in diverse contexts. Research methodology: The research employed secondary data analysis of 2188 full-text academic papers sourced from the arXiv platform. Structured keyword extraction, conducted using Large Language Models, identified patterns and relationships between industries, organisational areas, and tasks. Additionally, trends in AI adoption, specialisation, and integration were examined to uncover its transformative impact on organisations and knowledge systems. Findings/conclusions: The findings reveal AI's significant penetration into industries and its increasing specialisation in organisational areas and tasks. Beyond automation, AI fosters task-specific solutions and innovation, addressing organisational challenges and improving productivity. These findings underscore AI's transformative potential to redefine business practices, enhance collaboration, and drive societal progress by pushing the boundaries of innovation and knowledge creation. Discussion: AI's influence has expanded far beyond technical functions, establishing itself as a strategic tool for innovation, cross-disciplinary problem-solving, and knowledge generation. Its integration into diverse sectors reflects its capacity to foster collaboration and address societal and organisational challenges. Adapting to AI's rapid evolution is crucial for businesses, employees, and governments navigating this dynamic landscape. Research limitations: This study relied on 2188 academic papers from the arXiv platform, centring its findings on academic contexts. Moreover, regional and cultural differences in AI adoption were not addressed. Future research should incorporate broader datasets and interdisciplinary approaches to provide a more comprehensive understanding of AI's global impact and socio-economic implications. Practical implications/applications to practice: Organisations can leverage AI to drive productivity, optimise processes, and create innovative solutions across industries. Strategic AI adoption requires investment in workforce reskilling and the ethical implementation of AI systems. Decision-makers must prioritise long-term planning to achieve AI's full potential while ensuring it supports both organisational competitiveness and sustainable development. Social implications/impact on society and/or policy: AI's rapid expansion highlights its potential to address societal challenges, from reducing inequities to fostering global development. However, pressing issues such as ethical use, algorithmic fairness, and data privacy demand urgent attention. Governments must establish equitable frameworks to ensure that AI supports inclusive progress and mitigates potential negative consequences, fostering sustainable societal progress. Originality/what is new about your research?: This study uniquely combines large-scale empirical evidence with theoretical perspectives to analyse AI adoption trends. It highlights AI's penetration into industries, organisational areas, and tasks, emphasising its progression beyond traditional applications to drive task-specific specialisation, reshape innovation processes, and expand the boundaries of knowledge creation. © 2025 Elsevier B.V., All rights reserved.</t>
  </si>
  <si>
    <t>Göndöcs, D.; Horváth, S.; Dӧrfler, V.</t>
  </si>
  <si>
    <t>Uncovering the dynamics of human-AI hybrid performance: A qualitative meta-analysis of empirical studies</t>
  </si>
  <si>
    <t>Human-AI collaboration is an increasingly important area of research as AI systems are integrated into everyday workflows and moving beyond mere automation and augmentation to more collaborative roles. However, existing research often overlooks the dynamics and performance aspects of this interaction. Our study addresses this gap through a review of empirical AI studies from 2018–2024, focusing on the key factors influencing human-AI collaboration outcomes within the spectrum of Human-Centered Artificial Intelligence (HCAI). We identify 24 critical performance factors that influence hybrid performance, grouped into four categories using thematic analysis. Then, we uncover and analyze the complex, non-linear interdependencies between these factors. We present these relationships in a factor dependency graph, highlighting the most influential nodes. The graph and specific factor interactions supported by the papers reveal a quite complex web, an interconnectedness of factors. As opposed to being an easy-to-predict combination of inputs, human-AI collaboration in a given context likely leads to a dynamic, evolving system with often non-linear effects on its hybrid performance. Our findings and the previous research on automation technologies suggest that the application of AI tools in collaborative scenarios would benefit from a comprehensive performance framework. Our study intends to contribute to this future line of research with this initial framework. © 2025 Elsevier B.V., All rights reserved.</t>
  </si>
  <si>
    <t>Engineering research; AI design; Empirical studies; Human-AI collaboration; Hybrid performance; Interconnectedness; Literature reviews; Meta-analysis; Performance; Performance factors; Qualitative meta-analyze; Factor analysis</t>
  </si>
  <si>
    <t>Fails IC 3 / Meets EC 5 (Type: article or identified as Review)</t>
  </si>
  <si>
    <t>Gao, J.; Opute, A.P.; Jawad, C.; Zhan, M.</t>
  </si>
  <si>
    <t>The influence of artificial intelligence chatbot problem solving on customers’ continued usage intention in e-commerce platforms: an expectation-confirmation model approach</t>
  </si>
  <si>
    <t>The rapid advancement of artificial intelligence (AI) technology has led to its widespread application across various fields, including e-commerce platforms. AI chatbots, powered by large data models, have emerged as a crucial tool for enhancing customer service and user experience. This study aims to investigate the impact of AI chatbot problem-solving capabilities on users’ intention to continue using these services within e-commerce platforms. By integrating elements from the Expectation-Confirmation Model (ECM) and the Technology Acceptance Model (TAM), a comprehensive research model is proposed to examine the relationships between problem-solving, confirmation, perceived ease of use, satisfaction, trust, and continued usage intention. The study employs structural equation modelling (SEM) to analyse data collected from 315 participants through an online questionnaire. The findings reveal that problem-solving abilities positively influence users’ confirmation, which in turn positively affects satisfaction, perceived ease of use, and trust. Furthermore, perceived ease of use exhibits a positive impact on satisfaction, trust, and continued usage intention. Satisfaction and trust have a positive impact on continued usage intention, with satisfaction showing a stronger influence than both problem-solving ability and ease of use. The study contributes to the theoretical understanding of user perceptions and behaviours in AI-driven interactions within e-commerce platforms. It highlights the importance of problem-solving capabilities, perceived ease of use, satisfaction, and trust in driving users’ continued engagement with AI chatbots. Practical implications for AI technology developers and e-commerce companies are discussed, emphasizing the need to focus on enhancing chatbots’ problem-solving proficiency and user-friendliness to foster long-term user retention. Future research directions are proposed, addressing the study's limitations and exploring the generalizability of the findings beyond the e-commerce context. © 2025 Elsevier B.V., All rights reserved.</t>
  </si>
  <si>
    <t>Justification: title explicitly mentions an AI chatbot / conversational agent in an organizational service context and implies empirical evaluation of its effect on customers or processes – satisfies IC1–IC4.</t>
  </si>
  <si>
    <t>Antonio</t>
  </si>
  <si>
    <t>Brachman, M.; El-Ashry, A.; Dugan, C.; Geyer, W.</t>
  </si>
  <si>
    <t>Current and Future Use of Large Language Models for Knowledge Work</t>
  </si>
  <si>
    <t>Large Language Models (LLMs) have introduced a paradigm shift in interaction with AI technology, enabling knowledge workers to complete tasks by specifying their desired outcome in natural language. LLMs have the potential to increase productivity and reduce tedious tasks in an unprecedented way. A systematic study of LLM adoption for work can provide insight into how LLMs can best support these workers. To explore knowledge workers' current and desired usage of LLMs, we ran a survey (n=216). Workers described tasks they already used LLMs for, like generating code or improving text, but imagined a future with LLMs integrated into their workflows and data. We ran a second survey (n=107) a year later that validated our initial findings and provides insight into up-to-date LLM use by knowledge workers. We discuss implications for adoption and design of generative AI technologies for knowledge work. © 2025 Elsevier B.V., All rights reserved.</t>
  </si>
  <si>
    <t>Human engineering; Information systems; Natural language processing systems; 'current; Adoption; AI Technologies; Knowledge work; Knowledge workers; Language model; Large language model; Natural languages; Paradigm shifts; Workers'; Knowledge organization</t>
  </si>
  <si>
    <t>Fails IC 2 (Does not address customer service, automation, or decision support)</t>
  </si>
  <si>
    <t>Alfahid, A.; Lhioui, C.; Asklany, S.; Hamdaoui, R.; Hamdi, M.; Abbas, G.; Yousef, A.; Sahbani, A.</t>
  </si>
  <si>
    <t>Enhancing automated robotic services efficiency through intelligent dependent robotic computation</t>
  </si>
  <si>
    <t>This research focuses on enhancing the adaptability and efficacy of service robots in real-time, multi-scenario environments where diverse settings complicate the interpretation of user commands and dynamic environmental fluctuations. It introduces the Commuting Input Valuation Approach (CIVA), which combines transfer learning with a flexible state transfer system to improve robot response rates, minimize unnecessary actions, and enhance learning efficiency across varied environments. The main contributions are (i) a continuous training framework for robots, (ii) a method for sharing information between response and learning stages, (iii) transfer learning approaches suited for both short and long inputs, and (iv) an adaptive reaction rate calculation that accounts for real-time conditions. CIVA was evaluated on 32 interactive tasks using the Daily Interactive Robot Manipulation (DIM) dataset, containing 1,603 dependent and 1,751 independent commands. Performance was assessed relative to baseline robotic models utilizing criteria including task completion duration, input interpreting failure rate, command-to-action efficiency, reaction successful rate, and learning velocity. In a targeted screw-loosening assessment comprising 120 input commands over 70 seconds, CIVA demonstrated a 35% reduction in task completion duration, a 42% decline in interpretation errors, a 28% enhancement in instruction-to-action efficiency, a 45% augmentation in response success rate, and a 50% increase in learning velocity relative to baseline measurements. The findings indicate that CIVA can enhance human-robot interaction and task performance; nevertheless, additional validation is necessary to verify reproducibility and generalization across diverse real-world contexts. © 2025 Elsevier B.V., All rights reserved.</t>
  </si>
  <si>
    <t>algorithm; Article; artificial intelligence; automatic speech recognition; computer model; decision making; e-learning; evolutionary adaptation; knowledge; learning; nonhuman; robotic computation; training; transfer of learning; velocity; workflow</t>
  </si>
  <si>
    <t>Guo, X.; Wan, X.</t>
  </si>
  <si>
    <t>AI-driven nudges: Influence of chatbot personas on consumer food choices</t>
  </si>
  <si>
    <t>Customized chatbot personas can meet the personalized needs of consumers and enhance user engagement in human-chatbot interactions. We conducted a study to investigate the influence of interacting with a chatbot customized as a health coaching assistant versus a gourmet recommendation assistant on participants’ food choices. Participants were instructed to choose three dishes from a set of two meat and two vegetable options to compose a three-dish meal, both before and after they interacted with the health coaching assistant or the gourmet recommendation assistant. The results revealed a significant decrease in the frequency of meat-heavy meal selections after participants interacted with the health coaching assistant, compared to the gourmet recommendation assistant. These findings suggest that interacting with chatbots tailored as health coaching assistants can effectively nudge consumers toward more sustainable food choices. These findings highlight the potential of human-AI interactions in promoting sustainability and offer implications for the design and implementation of chatbots in the restaurant industry. © 2025 Elsevier B.V., All rights reserved.</t>
  </si>
  <si>
    <t>adult; Article; artificial intelligence; coaching; consumer; controlled study; decision making task; deep learning; female; food industry; food intake; food preference; healthy diet; human; human experiment; machine learning; male; meal; meat; natural language processing; normal human; restaurant; sex difference; software; task performance; vegetable; consumer attitude; decision making; generative artificial intelligence; middle aged; psychology; young adult; Adult; Choice Behavior; Consumer Behavior; Female; Food Preferences; Generative Artificial Intelligence; Humans; Male; Meals; Middle Aged; Restaurants; Young Adult</t>
  </si>
  <si>
    <t>Sestino, A.; Rizzo, C.; Irgang, L.; Stehlíková, B.</t>
  </si>
  <si>
    <t>Redesigning healthcare service delivery processes through medical chatbot integrations: balancing chatbot features and patients’ individual differences</t>
  </si>
  <si>
    <t>Purpose The utilization of virtual agents, particularly chatbots, within healthcare and medical contexts is witnessing exponential growth owing to their capacity to provide comprehensive support to patients throughout their healthcare journey, by reshaping the healthcare business processes. Such transformation in healthcare service delivery processes is enabled by those digital entities able to offer a preliminary screening and consultation platform, facilitating patients’ interactions with real medical professionals. However, when redesigning processes through the integration of new technologies, particular attention to the reactions of end users cannot be neglected. Thus, the purpose of this paper is investigating how both chatbots' features and patients' individual differences may shape a redesigned/renewed service in the healthcare sector. Design/methodology/approach Through two experimental studies (Study 1 and Study 2), we examined the impact of chatbot tone of voice (formal vs unformal) on patients’ behavioral responses, particularly their intention to use. Findings Our investigation shed light on chatbots’ characteristics in terms of perceived warmth, denoting the friendliness and empathy conveyed by the chatbot, and competence, reflecting its effectiveness in addressing user queries or tasks, when used to reshape the service delivery process; Moreover, we also shed light on the moderating role of emotional receptivity seeking, indicating that the emotionality and non-verbal communication between doctor and patient, cannot be overlooked even in innovative digital environments. Practical implications Managers and marketers could leverage insights from this study to tailor chatbot interactions, optimizing tone of voice to enhance patient engagement and satisfaction. By focusing on perceived warmth and competence, they can design more effective digital health solutions. Additionally, recognizing the role of emotional receptivity can guide strategies for integrating chatbots in a way that maintains a human touch in patient communications. Social implications Findings importantly underscore the relevance of chatbot in improving patient care, making digital interactions more empathetic and responsive. This relevance extends to business process management by demonstrating how integrating emotionally intelligent chatbots may contribute to better service delivery on the basis of personalized and effective healthcare experiences. Originality/value The originality of this paper is about the relevance of considering chatbots’ and final users’ characteristics to strategically plan healthcare services process redesign. Indeed, it examines chatbots' perceived warmth and competence in reshaping service delivery processes. Additionally, it highlights the moderating role of emotional receptivity seeking, emphasizing the importance of emotional communication in digital healthcare environments. © 2025 Elsevier B.V., All rights reserved.</t>
  </si>
  <si>
    <t>Bandi, A.; Kongari, B.; Naguru, R.; Pasnoor, S.; Vilipala, S.V.</t>
  </si>
  <si>
    <t>The Rise of Agentic AI: A Review of Definitions, Frameworks, Architectures, Applications, Evaluation Metrics, and Challenges</t>
  </si>
  <si>
    <t>Agentic AI systems are a recently emerged and important approach that goes beyond traditional AI, generative AI, and autonomous systems by focusing on autonomy, adaptability, and goal-driven reasoning. This study provides a clear review of agentic AI systems by bringing together their definitions, frameworks, and architectures, and by comparing them with related areas like generative AI, autonomic computing, and multi-agent systems. To do this, we reviewed 143 primary studies on current LLM-based and non-LLM-driven agentic systems and examined how they support planning, memory, reflection, and goal pursuit. Furthermore, we classified architectural models, input–output mechanisms, and applications based on their task domains where agentic AI is applied, supported using tabular summaries that highlight real-world case studies. Evaluation metrics were classified as qualitative and quantitative measures, along with available testing methods of agentic AI systems to check the system’s performance and reliability. This study also highlights the main challenges and limitations of agentic AI, covering technical, architectural, coordination, ethical, and security issues. We organized the conceptual foundations, available tools, architectures, and evaluation metrics in this research, which defines a structured foundation for understanding and advancing agentic AI. These findings aim to help researchers and developers build better, clearer, and more adaptable systems that support responsible deployment in different domains. © 2025 Elsevier B.V., All rights reserved.</t>
  </si>
  <si>
    <t>Architecture; Autonomous agents; Intelligent agents; Memory architecture; Adaptive ai; Agentic ai; Ai agent; Ai framework and architecture; AI systems; Chatgpt; Ethical ai; Goal-directed; Goal-directed ai; Langchain; Metagpt; Multi agent; Multi agent systems</t>
  </si>
  <si>
    <t>Fails IC 2 (Does not address customer service, automation, or decision support). Fails IC 3 / Meets EC 5 (Type: review or identified as Review)</t>
  </si>
  <si>
    <t>Pukach, A.; Teslyuk, V.; Lysa, N.; Sikora, L.; Fedyna, B.</t>
  </si>
  <si>
    <t>Information-Cognitive Concept of Predicting Method for HCI Objects’ Perception Subjectivization Results Based on Impact Factors Analysis with Usage of Multilayer Perceptron ANN</t>
  </si>
  <si>
    <t>An information-cognitive concept of a predicting method for obtaining specialized human–computer interaction (HCI) objects’ perception subjectivization results, based on impact factors analysis, with the use of multilayer perceptron (MP) artificial neural networks (ANNs), has been developed. The main purpose of the developed method is to increase the level of intellectualization and automation of research into relevant processes of HCI objects’ perception subjectivization, especially in the context of software products’ comprehensive support processes. The method is based on the developed conceptual models and the developed mathematical model, as well as a specialized developed algorithm. Results prediction is carried out on the basis of a preliminary in-depth analysis of a set of unique direct chains (UDCs) of neurons of the relevant encapsulated MP ANN, built on the basis of researching the results of isolated influences of each of the previously declared impact factors and further comparing the present direct chain (of each separate investigated modeling case) with UDCs from the aforementioned sets. As an example of practical approbation of the developed method, the appropriate practically applied problem of identifying a member of the support team, whose multifactor portrait is as close as possible to the corresponding multifactor portrait of a given client’s user, has been resolved. © 2025 Elsevier B.V., All rights reserved.</t>
  </si>
  <si>
    <t>Chains; Factor analysis; Human computer interaction; Multilayers; Comprehensive software support; Computer interaction; Impact factor; Interaction object’ perception subjectivization; Multilayers perceptrons; Neural-networks; Object perception; Predicting method; Software support; Subjectivization result forecasting; Forecasting</t>
  </si>
  <si>
    <t>Rahim, M.A.; Rokonuzzaman, M.; Abu Alqumsan, A.A.; Arogbonlo, A.; Islam, M.Z.; Trinh, H.; Islam, M.S.</t>
  </si>
  <si>
    <t>An intelligent and secure internet of robotic things: A review and conceptual framework</t>
  </si>
  <si>
    <t>Robots are increasingly being deployed across various fields and applications, including agriculture, manufacturing, transportation, surveillance, and rescue missions. The integration of technologies such as Artificial Intelligence (AI) and the Internet of Things (IoT) with robotics significantly enhances their capabilities and expands their range of applications. Rapid advancements in these technologies have driven notable progress in robotics research, particularly in the domain of AI-enabled Internet of Robotic Things (IoRT). However, our extensive literature study finds that there is a growing need for the development of big data–enabled secure IoRT systems capable of handling vast amounts of data generated by large-scale heterogeneous, homogeneous robots and multiple stakeholders. Addressing this need is essential to meet modern industrial and societal demands. Therefore, this paper presents a conceptual framework for AI-enabled, big data analytics–driven secure and reliable IoRT, based on a comprehensive review of the literature. The framework emphasizes key enabling technologies, including connectivity, cloud and edge computing, big data analytics, and cybersecurity systems, with the ultimate aim of supporting the transition to Industry 5.0. Furthermore, we explore several promising research directions that could enhance the intelligence and security of future IoRT systems. Before concluding, we provide an in-depth discussion of the benefits, limitations, and challenges associated with IoRT. We hope this work will serve as a valuable resource for researchers and practitioners in advancing next-generation intelligent robotic systems for the betterment of society. © 2025 Elsevier B.V., All rights reserved.</t>
  </si>
  <si>
    <t>Gursoy, D.</t>
  </si>
  <si>
    <t>Artificial intelligence (AI) technology, its applications and the use of AI powered devices in hospitality service experience creation and delivery</t>
  </si>
  <si>
    <t>The rapid advancement of artificial intelligence (AI) is transforming the hospitality industry, enhancing service delivery, customer experiences, and operational efficiency. AI-powered innovations such as generative AI, service robots, autonomous systems, and smart assistants are streamlining operations, personalizing guest interactions, and optimizing resource management. While AI's benefits for businesses and customers are well-documented, its broader impacts on employees, customer behavior, and ethical considerations remain underexplored. This special issue of the International Journal of Hospitality Management addresses these gaps by presenting cutting-edge research on AI applications in hospitality. The featured studies explore AI-driven customer engagement, workforce adaptation, service recovery, and sustainability. By highlighting emerging trends and evidence-based insights, this issue informs industry leaders, policymakers, and academics about AI's opportunities and challenges, emphasizing the need for a balanced approach between technological innovation and human-centric service excellence © 2025 Elsevier B.V., All rights reserved.</t>
  </si>
  <si>
    <t>Fails IC 3 / Meets EC 5 (Type: editorial or identified as Review)</t>
  </si>
  <si>
    <t>Matthews, M.J.; Su, R.; Yonish, L.; McClean, S.; Koopman, J.; Yam, K.C.</t>
  </si>
  <si>
    <t>A Review of Artificial Intelligence, Algorithms, and Robots Through the Lens of Stakeholder Theory</t>
  </si>
  <si>
    <t>With the arrival of the Fourth Industrial Revolution, intelligent machines are affecting the daily lives of multiple organizational stakeholders. However, despite the continued expansion of intelligent machines in society, management scholarship has generally lagged, and current frameworks are under-equipped to offer meaningful guidance regarding the intersection of intelligent machines and organizations. We address this issue via a multidisciplinary review and a novel framework of intelligent machines and value creation. First, we discuss the characteristics of intelligent machines (i.e., autonomy, learning, inscrutability, and materiality) and how variation in these characteristics impacts their affordances and, subsequently, the value offered to stakeholders. We also advance the notion of value contingencies, which captures the idea that the value afforded by intelligent machines is conditional and that stakeholders’ dispositions and exploitation of intelligent machines must be considered when assessing value creation. Building on our framework, we offer recommendations for future research. Overall, we forward the literature by showcasing how intelligent machines often create both advantages and disadvantages for stakeholders and demonstrate how practitioners, policymakers, and management scholars may consider this moving forward. © 2025 Elsevier B.V., All rights reserved.</t>
  </si>
  <si>
    <t>Hosseini, S.; Seilani, H.</t>
  </si>
  <si>
    <t>The role of agentic AI in shaping a smart future: A systematic review</t>
  </si>
  <si>
    <t>Artificial intelligence (AI), particularly Agentic AI, is increasingly critical for addressing the demand for speed, efficiency, and customer focus in modern organizations. However, the rapid evolution of Agentic AI, including Generative AI (GenAI) agents, has outpaced a cohesive understanding of its applications, challenges, and strategic implications. This narrative review explores the role of Agentic AI in shaping an intelligent future, focusing on its key attributes—autonomy, reactivity, proactivity, and learning ability—and its potential to transform organizational performance. We identify a research gap in synthesizing the diverse capabilities of Agentic AI (e.g., multimodal processing, hierarchical architectures, and machine learning outsourcing) and providing actionable strategies for adoption. The paper examines how Agentic AI enables autonomous decision-making, automates processes, and enhances efficiency through tools like LangChain, CrewAI, AutoGen, and AutoGPT. It highlights the transition from assisted (“Copilot”) to autonomous (“Autopilot”) models and the importance of hierarchical agent structures for system coordination. Key contributions include a framework for organizations to formulate GenAI strategies, addressing business needs, tool selection, human resource training, and risk management. Findings reveal that Agentic AI significantly improves productivity, reduces costs, and drives innovation, though challenges such as privacy, security, and ethical concerns remain. Future research should focus on industry-specific case studies to deepen understanding, explore the ethical and social impacts (e.g., privacy, data security, labor market effects), and investigate the integration of Agentic AI with emerging technologies like quantum computing. This review provides a foundation for researchers and practitioners to leverage Agentic AI effectively while addressing its limitations and opportunities. © 2025 Elsevier B.V., All rights reserved.</t>
  </si>
  <si>
    <t>Deep learning; Enterprise resource planning; Ethical technology; Human resource management; Outsourcing; Supervised learning; Agent-oriented; Agent-oriented artificial intelligence; Artificial intelligence agent; Customer focus; Generative artificial intelligence agent; ITS applications; Key attributes; Machine learning work outsourcing; Machine-learning; Systematic Review; Risk perception</t>
  </si>
  <si>
    <t>Fails IC 3 / Meets EC 5 (Type: review or identified as Review)</t>
  </si>
  <si>
    <t>Shin, H.; Ryu, J.; Jo, Y.</t>
  </si>
  <si>
    <t>Navigating artificial intelligence adoption in hospitality and tourism: managerial insights, workforce transformation, and a future research agenda</t>
  </si>
  <si>
    <t>As artificial intelligence (AI) and automation technologies continue to advance, hospitality businesses must embrace these innovations to remain competitive. While previous research has primarily focused on employee perspectives regarding issues such as retention and service quality, this study takes a managerial viewpoint to explore the factors influencing AI adoption, the managerial outcomes, and the evolving skill sets needed for frontline employees in the era of AI and automation. Through in-depth qualitative interviews with twenty-two accommodation managers and directors, recurring themes were identified, analyzed, and presented using thematic analysis. This approach revealed both facilitating and inhibiting factors in the adoption of AI technologies and provided insights into the consequences of such adoption. Moreover, the study proposes five essential skills necessary for frontline hospitality employees as AI becomes more prevalent. Building on these findings, the research presents a managerial framework and outlines a set of practical considerations and academic research questions to guide future investigations. © 2025 Elsevier B.V., All rights reserved.</t>
  </si>
  <si>
    <t>Hutson, J.; Smith, A.</t>
  </si>
  <si>
    <t>NextGen digital marketing in the age of AI</t>
  </si>
  <si>
    <t>In the evolving landscape of technology, NextGen digital marketing is reshaped by the transformative power of artificial intelligence (AI). As traditional strategies give way to data-driven automation, personalized experiences, and predictive analytics, businesses harness AI to reach audiences more efficiently and effectively. From chatbots and content generation to customer insights and targeted campaigns, AI enhances digital marketing. This demands that marketers embrace innovation, adapt to emerging tools, and rethink connections with modern consumers. NextGen Digital Marketing in the Age of AI outlines the transformative impact of AI on the digital marketing landscape. It contrasts the historical utility of traditional AI for optimizing processes like audience segmentation and predictive analytics with the revolutionary creative capabilities of generative intelligent technologies. This book covers topics such as consumer science, generated content, and marketing campaigns, and is a useful resource for business owners, marketers, academicians, researchers, and data scientists. © 2025 Elsevier B.V., All rights reserved.</t>
  </si>
  <si>
    <t>Artificial intelligence; Electronic commerce; Marketing; Marketplaces; Chatbots; Creatives; Customer insights; Data driven; Digital marketing; Emerging tools; Intelligent technology; Marketing IS; NEXTGEN; Power; Predictive analytics</t>
  </si>
  <si>
    <t>Seremeti, L.; Liargovas, P.; Papademetriou, C.; Anastasiados, L.; Anastasiadou, S.</t>
  </si>
  <si>
    <t>Harnessing business intelligence for modern talent management</t>
  </si>
  <si>
    <t>In an era where talent drives organizational success, effectively managing the workforce has become increasingly complex and vital. The shift toward data-driven strategies empowers business to better understand employee needs, predict workforce trends, and optimize human resource practices. Business intelligence (BI) enables organizations to make informed, strategic decisions that align talent management with broader business goals. By leveraging BI, companies can enhance recruitment, engagement, and retention in ways that traditional methods cannot. This integration not only strengthens organizational resilience but also fosters a more adaptive and competitive business environment. Harnessing Business Intelligence for Modern Talent Management delves into the ways BI is reshaping the talent management sector, from revolutionizing hiring practices to boosting employee engagement and retention. It explores not only the technology but also the shifts in mindset required to adopt a data-driven culture within human resources. Covering topics such as data-driven workplaces, talent equity, and workforce development, this book is an excellent resource for professionals, researchers, educators, students, academicians, managers, business leaders, and more. © 2025 Elsevier B.V., All rights reserved.</t>
  </si>
  <si>
    <t>Human resource management; Information analysis; Job satisfaction; Business environments; Business goals; Business-intelligence; Competitive business; Data driven; Hiring practices; Human resource practices; Organisational; Strategic decisions; Talent management; Competitive intelligence</t>
  </si>
  <si>
    <t>Fails IC 1 (Does not appear to investigate AI agents). Fails IC 2 (Does not address customer service, automation, or decision support)</t>
  </si>
  <si>
    <t>Wang, Y.; Sauka, K.; Situmeang, F.B.I.</t>
  </si>
  <si>
    <t>Anthropomorphism and transparency interplay on consumer behaviour in generative AI-driven marketing communication</t>
  </si>
  <si>
    <t>Purpose: This study aims to investigate the impact of Generative AI (GAI)-produced marketing communication on consumer trust and behavioural intentions, particularly purchase intention. This study explores how GAI’s anthropomorphism and transparency influence these outcomes. The findings aim to expand existing research and provide actionable guidance for integrating GAI into practical marketing strategies. Design/methodology/approach: A sample of 444 participants was recruited through Prolific to complete a survey based on different types of marketing contexts. Then, the dataset created through the survey data is analysed using statistical analysis to test the impact of the anthropomorphism of GAI on consumer behaviour in two marketing communication scenarios: chatbots and promotion advertisements (posters). Findings: Anthropomorphism enhances purchase intention directly and indirectly through perceived social presence and trust. Transparency, i.e., the disclosure of AI-generated content, weakens the effect of anthropomorphism on social presence, decreasing the impact as transparency increases. Marketing scenarios (chatbot vs poster) influence the strength of these effects, with chatbots amplifying the mediating role of social presence and trust. However, the overall mediation mechanism linking anthropomorphism to purchase intention through social presence and trust remains stable across different communication scenarios and levels of transparency. Originality/value: Few studies have comprehensively explored the impact and mechanisms of GAI on multi-faceted consumer behaviour intentions. This study provides new insights and findings on applying anthropomorphic GAI in marketing communication. © 2025 Elsevier B.V., All rights reserved.</t>
  </si>
  <si>
    <t>Lubbe, I.; Roberts-Lombard, M.; Langerman, J.</t>
  </si>
  <si>
    <t>Millennials’ experiences and satisfaction with chatbots: a study of self-service technology in emerging markets</t>
  </si>
  <si>
    <t>Purpose: The study aims to explore the influence of selected precursors to self-service technology customer experience (when using chatbots) and the role of trustworthiness, control and self-service technology customer experience on self-service technology satisfaction. Design/methodology/approach: The study applied an explanatory research design and data collection was secured through self-administered questionnaires from millennials who engaged with a chatbot over six months. A total of 359 responses were used for data analysis. The measurement and structural models were assessed using structural equation modelling. Findings: Perceived usefulness, perceived playfulness and perceived ease of use significantly and positively influence chatbot self-service technology experience. Moreover, trustworthiness, chatbot self-service technology experience and control significantly and positively influence self-service technology satisfaction. Research limitations/implications: The tested model validates the hypothesised relationships between perceived usefulness, perceived playfulness, perceived ease of use, self-service technology experience, trustworthiness, control and chatbot self-service technology satisfaction. As such, chatbot users’ self-service technology experiences are directly linked to their three precursors and postcedent, self-service technology satisfaction. Conclusively, self-service technology satisfaction is directly guided by users’ trustworthiness and control when engaging with chatbots. Practical implications: The study’s results can assist businesses to better understand the drivers of millennials’ self-service technology experiences with chatbots. Furthermore, it can guide these businesses on the critical importance of trustworthiness, self-service technology experience and control as drivers of self-service technology satisfaction. Originality/value: Limited studies have examined how millennials’ self-service technology experiences relate to selected precursors and postcedents in emerging African markets. © 2025 Elsevier B.V., All rights reserved.</t>
  </si>
  <si>
    <t>Pahune, S.; Akhtar, Z.; Mandapati, V.; Siddique, K.</t>
  </si>
  <si>
    <t>The Importance of AI Data Governance in Large Language Models</t>
  </si>
  <si>
    <t>AI data governance is a crucial framework for ensuring that data are utilized in the lifecycle of large language model (LLM) activity, from the development process to the end-to-end testing process, model validation, secure deployment, and operations. This requires the data to be managed responsibly, confidentially, securely, and ethically. The main objective of data governance is to implement a robust and intelligent data governance framework for LLMs, which tends to impact data quality management, the fine-tuning of model performance, biases, data privacy laws, security protocols, ethical AI practices, and regulatory compliance processes in LLMs. Effective data governance steps are important for minimizing data breach activity, enhancing data security, ensuring compliance and regulations, mitigating bias, and establishing clear policies and guidelines. This paper covers the foundation of AI data governance, key components, types of data governance, best practices, case studies, challenges, and future directions of data governance in LLMs. Additionally, we conduct a comprehensive detailed analysis of data governance and how efficient the integration of AI data governance must be for LLMs to gain a trustable approach for the end user. Finally, we provide deeper insights into the comprehensive exploration of the relevance of the data governance framework to the current landscape of LLMs in the healthcare, pharmaceutical, finance, supply chain management, and cybersecurity sectors and address the essential roles to take advantage of the approach of data governance frameworks and their effectiveness and limitations. © 2025 Elsevier B.V., All rights reserved.</t>
  </si>
  <si>
    <t>Artificial intelligence; Cybersecurity; Data integration; Data privacy; Data quality; Data reduction; Ethical aspects; Information management; Life cycle; Quality management; Regulatory compliance; Chain management; Cyber security; Data governance framework; Data governances; Data privacy law; Data quality management; Ethical AI practice; Fine tuning; Healthcare; Language model; Large language model; Model validation; Privacy law; Secure deployment; Security protocols; Supply chain management</t>
  </si>
  <si>
    <t>Olujimi, P.A.; Owolawi, P.A.; Mogase, R.C.; van Wyk, E.V.</t>
  </si>
  <si>
    <t>Agentic AI Frameworks in SMMEs: A Systematic Literature Review of Ecosystemic Interconnected Agents</t>
  </si>
  <si>
    <t>This study examines the application of agentic artificial intelligence (AI) frameworks within small, medium, and micro-enterprises (SMMEs), highlighting how interconnected autonomous agents improve operational efficiency and adaptability. Using the PRISMA 2020 framework, this study systematically identified, screened, and analyzed 66 studies, including peer-reviewed and credible gray literature, published between 2019 and 2024, to assess agentic AI frameworks in SMMEs. Recognizing the constraints faced by SMMEs, such as limited scalability, high operational demands, and restricted access to advanced technologies, the review synthesizes existing research to highlight the characteristics, implementations, and impacts of agentic AI in task automation, decision-making, and ecosystem-wide collaboration. The results demonstrate the potential of agentic AI to address technological, ethical, and infrastructure barriers while promoting innovation, scalability, and competitiveness. This review contributes to the understanding of agentic AI frameworks by offering practical insights and setting the groundwork for further research into their applications in SMMEs’ dynamic and resource-constrained economic environments. © 2025 Elsevier B.V., All rights reserved.</t>
  </si>
  <si>
    <t>Sánchez, E.; Calderón, R.; Herrera, F.</t>
  </si>
  <si>
    <t>Artificial Intelligence Adoption in SMEs: Survey Based on TOE–DOI Framework, Primary Methodology and Challenges</t>
  </si>
  <si>
    <t>Despite the transformative potential of artificial intelligence (AI), small and medium-sized enterprises (SMEs) continue to face significant challenges in its effective adoption. While prior studies have emphasized strategic benefits and readiness models, there remains a lack of operational guidance tailored to SME realities—particularly regarding implementation barriers, resource constraints, and emerging demands for responsible AI use. This study presents an analysis of AI adoption in SMEs by integrating the technology–organization–environment (TOE) framework with selected attributes from the diffusion of innovations (DOI) theory to examine adoption dynamics through a dual structural and perceptual lens. Empirical insights from sectoral and regional contexts are also incorporated. Ten critical challenges are identified and analyzed across the TOE dimensions, ranging from data access and skill shortages to cultural resistance, infrastructure limitations, and weak governance practices. Notably, the framework is expanded to incorporate responsible AI governance and democratized access to generative AI—particularly open-weight large language models (LLMs) such as LLaMA, DeepSeek-R1, Mistral, and FALCON—as emerging technological and ethical imperatives. Each challenge is paired with actionable, context-sensitive solutions. The paper is a structured, literature-based conceptual analysis enriched by empirical case study insights. As a key contribution, it introduces a structured, six-phase roadmap methodology to guide SMEs through AI adoption—offering step-by-step recommendations aligned with technological, organizational, and strategic readiness. While this roadmap is conceptual and has yet to be validated through field data, it sets a foundation for future diagnostic tools and practical assessments. The resulting study bridges theoretical insight and implementation strategy—empowering inclusive, responsible, and scalable AI transformation in SMEs. By offering both analytical clarity and practical relevance, this study contributes to a more grounded understanding of AI integration and calls for policies, ecosystems, and leadership models that support SMEs in adopting AI not merely as a tool, but as a strategic enabler of sustainable and inclusive innovation. © 2025 Elsevier B.V., All rights reserved.</t>
  </si>
  <si>
    <t>Artificial intelligence; Artificial intelligence adoption challenge; Diffusion of innovation; Diffusion of innovations; Digital transformation; Innovation management; Small and medium-sized enterprise; Technology organization environments; Technology-organization-environment frameworks; Metadata</t>
  </si>
  <si>
    <t>Ren, G.; Wang, G.; Huang, T.</t>
  </si>
  <si>
    <t>What Influences Potential Users’ Intentions to Use Hotel Robots?</t>
  </si>
  <si>
    <t>The application of intelligent robots will change the service model of hotels. However, users’ willingness to use robots in hotels is not so strong. The research aims to identify the factors influencing potential consumers’ intention to use hotel robots. Based on the technology acceptance model and social presence theory, this study constructs a hotel robot acceptance model (HRAM), and this model includes seven variables: social presence, perceived playfulness, trust, perceived ease of use, perceived usefulness, attitude, and willingness to use hotel robots. The research involved a combination of quantitative (N = 261) and qualitative (N = 20) methods used to collect data on potential hotel customers in China, and structural equation modeling was applied for verification. The research results showed that social presence positively influences perceived playfulness, attitude, and trust, with an indirect influence on users’ behavioral intention to use hospitality robots. Perceived ease of use has a positive impact on perceived usefulness; it also positively affects users’ attitudes. Perceived playfulness, perceived usefulness, attitude, and trust positively influence consumers’ behavioral intention to use hospitality robots. This research reveals the influence of social presence, perceived playfulness, trust, perceived ease of use, perceived usefulness, and attitude on users’ willingness to use hotel robots. This research expands the technology acceptance model and its application fields so that the model can serve as a theoretical framework for studies on hotel user behaviors. The findings can provide reference and guidance for the design of hospitality robots, the innovation of hospitality service models, and the decision-making of hospitality managers. The R&amp;D of new hotel robots can lead to higher user acceptance and expand the model applications, thus advancing the sustainable development of hotel tourism. © 2025 Elsevier B.V., All rights reserved.</t>
  </si>
  <si>
    <t>hotel industry; perception; public attitude; quantitative analysis; robotics; service quality; willingness to pay; China</t>
  </si>
  <si>
    <t>Fettke, P.; Di Francescomarino, C.</t>
  </si>
  <si>
    <t>Business Process Management and Artificial Intelligence: Literature Survey and Future Research</t>
  </si>
  <si>
    <t>The field of Business Process Management (BPM) has several academic roots, in particular management science and informatics. In particular at the intersection of BPM and Artificial Intelligence (AI), a vibrant interdisciplinary field of research evolved. In this survey, we review prior work from three perspectives, namely, (a) from the perspective of BPM we focus on modeling, analysis, redesign, implementation, and monitoring of processes; (b) from the perspective of AI we focus on natural language processing, knowledge representation, automated reasoning, machine learning, computer vision, and robotics; (c) from the perspective of application domains we focus on domains such as process-aware information systems, manufacturing, and healthcare. Additionally, we discuss future research challenges and opportunities. © 2025 Elsevier B.V., All rights reserved.</t>
  </si>
  <si>
    <t>Enterprise resource management; Industrial research; Information management; Knowledge representation; Machine learning; Management information systems; Natural language processing systems; Process control; Robotics; Business Process; Informatics; Interdisciplinary fields; Literature survey; Machine-learning; Model implementation; Modeling analyzes; Process automation; Process management; Robotic process automation; Learning systems</t>
  </si>
  <si>
    <t>Kunz, P.C.; Spohrer, K.; Heinzl, A.</t>
  </si>
  <si>
    <t>Process-level value creation from business analytics: A theoretical literature review of value creation paths and changes induced by machine learning</t>
  </si>
  <si>
    <t>Research on business analytics (BA) has made various incongruent assumptions about how BA systems are applied in business processes and how they create value. Meanwhile, machine learning (ML) is changing how BA systems create value, but research streams on ML and BA have yet to come to a shared view on process-level value creation. In this theoretical literature review, we draw on the Information Value Chain (IVC) to synthesize 176 articles from top journals and present a model of process-level value creation from BA systems. We contextualize and extend the IVC with six distinct value creation paths, explain how the characteristics of ML-based BA systems change value creation paths, and propose a research agenda. © 2025 Elsevier B.V., All rights reserved.</t>
  </si>
  <si>
    <t>Business analytics; Information value; Information value chain; IS value creation; Literature reviews; Machine-learning; Process levels; Theoretical literature review; Value chains; Value creation</t>
  </si>
  <si>
    <t>Sandhya, H.; Varghese, B.</t>
  </si>
  <si>
    <t>Artificial intelligence-powered travel apps with mixed reality immersion</t>
  </si>
  <si>
    <t>Conventional and traditional industry standards have seen a drastic shift in recent years with the technological revolution. The introduction of big data, artificial intelligence (AI), and virtual and augmented reality has created a sophisticated and futuristic environment for businesses to strive for. AI-enabled tourism applications refer to the digital tools and software used in the tourism sector that use AI technology to improve and customize a variety of aspects of the travel experience. Though it has applications in tourism that go beyond conventional approaches, AI is still vital to many industries. This chapter examines how AI provides travelers with intelligent and personalized solutions, enabling them to have immersive travel experiences. This investigation includes virtual travel agents, intelligent itinerary planners, AR navigation, and other cutting-edge AI-powered services that cater to individual preferences and needs. The study acknowledges the dynamic landscape of AI-enabled travel apps as well as the evolving expectations of modern travelers. It addresses the opportunities and challenges brought about by the integration of AI in the tourism sector, highlighting the potential for enhanced user experiences and better travel planning. The chapter also discusses how immersive experiences can be created with technology, shedding light on how AI could encourage travelers to develop closer relationships with their travel destinations. It examines how AI impacts decision-making processes, the customization of travel recommendations, and user satisfaction overall within the context of travel experiences. © 2025 Elsevier B.V., All rights reserved.</t>
  </si>
  <si>
    <t>Application programs; Artificial intelligence; Big data; Decision making; Digital devices; Intelligent agents; Leisure industry; Mixed reality; Motor transportation; Tourism; Traffic control; User experience; Immersive; Immersive engagement; Industry standards; Technological revolution; Tourism application; Tourism sectors; Traditional industry; Travel experiences; Virtual and augmented reality; Augmented reality</t>
  </si>
  <si>
    <t>Allal, Z.; Kobi, H.; Khattabi, L.; Zamzami, L.; Lemrami, E.</t>
  </si>
  <si>
    <t>Systematic analysis of the role of artificial intelligence in customer experience in the service sector: Towards the development of a conceptual model</t>
  </si>
  <si>
    <t>The integrated use of artificial intelligence (AI) is rapidly transforming the service industry and fundamentally reshaping the customer experience (CX) through automation, personalization, and predictive analytics. With global AI adoption projected to exceed $500 billion by 2025, service organizations are increasingly adopting AI-based solutions to enhance customer engagement and operational efficiency. Yet, the dynamic interplay between AI and CX remains under-researched, particularly with regard to ethical implications, trust drivers, and consumer preferences. To address this knowledge gap, this study employs a systematic literature review to develop an integrative heuristic model for understanding the impact of AI on CX. The results reveal that while AI improves service efficiency and personalization, its effectiveness depends on consumer trust, ethics, and industry-specific characteristics. The study provides a conceptual framework for assessing the role of AI in CX, highlighting both the opportunities and challenges associated with AI deployment in the service sector. © 2025 Elsevier B.V., All rights reserved.</t>
  </si>
  <si>
    <t>Artificial intelligence; Efficiency; Ethical technology; Sales; Service industry; User experience; Conceptual model; Customer experience; Ethical implications; Integrated use; Operational efficiencies; Personalizations; Service industries; Service organizations; Service sectors; Systematic analysis; Predictive analytics</t>
  </si>
  <si>
    <t>Fails IC 3 / Meets EC 5 (Type: book chapter or identified as Review)</t>
  </si>
  <si>
    <t>Aarabe, M.; Ben Khizzou, N.B.; Alla, L.; Benjelloun, A.</t>
  </si>
  <si>
    <t>AI innovations for customer experience optimization in the service sector</t>
  </si>
  <si>
    <t>The rise of digital technology and the proliferation of customer data have created fertile ground for the application of AI in the services sector. Customers expect personalized, fluid, and proactive experiences in the current era. From chatbots and virtual assistants to predictive personalization and sentiment analysis, AI allows companies to gain deeper insight into their customers' needs and preferences, enabling them to deliver more tailored and effective customer experiences. AI Innovations for Customer Experience Optimization in the Service Sector addresses the theoretical, methodological, and empirical gaps in the academic and professional literature on using AI innovation solutions to optimize marketing processes and customer experiences. It encourages more rigorous and in-depth research to catalyze innovation and excellence in AI-based customer experience management, particularly in the services sector. Covering topics such as value creation, customer journey mapping effect, and telecommunications, this book is an excellent resource for marketing specialists, customer service managers, strategy manager, consultants, technology specialists, professionals, researchers, scholars, academicians, and more. © 2025 Elsevier B.V., All rights reserved.</t>
  </si>
  <si>
    <t>Artificial intelligence; Commerce; Service industry; Telecommunication services; User experience; 'current; Applications of AI; Chatbots; Customer data; Customer experience; Digital technologies; Optimisations; Personalizations; Service sectors; Virtual assistants; Sales</t>
  </si>
  <si>
    <t>J Nair, A.J.; Manohar, S.; Mittal, A.; Patwa, N.</t>
  </si>
  <si>
    <t>AI marketing and ethical considerations in consumer engagement</t>
  </si>
  <si>
    <t>As artificial intelligence (AI) transforms the landscape of marketing, it brings both unprecedented opportunities and complex ethical challenges. AI-driven tools enable businesses to personalize consumer engagement at higher levels, offering tailored experiences that increase customer satisfaction and drive sales. However, these advancements also raise ethical concerns regarding privacy, data usage, and the potential for manipulation. Marketers must navigate this balance between leveraging AI for business growth and ensuring they respect consumer rights, transparency, and trust. This intersection of innovation and ethics requires further exploration of how AI should be applied in consumer engagement strategies. AI Marketing and Ethical Considerations in Consumer Engagement examines the use of AI in business marketing practices. It explores ethical issues in consumer science that might influence the successful integration of AI in organizational processes. This book covers topics such as ethics and law, data privacy, and sustainability, and is a useful resource for business owners, computer engineers, marketing professionals, academicians, researchers, and data scientists. © 2025 Elsevier B.V., All rights reserved.</t>
  </si>
  <si>
    <t>Artificial intelligence; Commerce; Computer privacy; Data privacy; Ethical technology; Business growth; Business marketing; Business owners; Consumer rights; Customers' satisfaction; Data usage; Ethical concerns; Ethical considerations; Ethical issues; Organizational process; Customer satisfaction</t>
  </si>
  <si>
    <t>Fails IC 2 (Does not address customer service, automation, or decision support). Fails IC 3 (No clear mention of empirical evidence, case study, or implementation)</t>
  </si>
  <si>
    <t>Xie, Y.; Zhou, P.; Liang, C.; Zhao, S.; Lu, W.</t>
  </si>
  <si>
    <t>Affiliative or self-defeating? Exploring the effect of humor types on customer forgiveness in the context of AI agents’ service failure</t>
  </si>
  <si>
    <t>Service failures of conversational artificial intelligence (AI) agents are common in real-world interactions. How to mitigate the negative impact of AI agent failures and improve customer forgiveness is imperative. In this study, we construct a model of the influence mechanism of affiliative and self-defeating humor types on customer forgiveness. Through four experimental studies (N = 1919), we find that AI agents expressing humor can effectively enhance customer forgiveness during service failures, with self-defeating humor having the best effect. Moreover, affiliative and self-defeating humor types can improve customers’ positive emotion and allow them to experience relief. The positive impact of AI agents expressing humor persisted in the low-severity failure condition but disappeared in the medium- and high-severity conditions. These findings extend the existing literature on AI agents expressing humor and guide online service providers to mitigate and minimize the negative effects of AI agents’ service failures. © 2025 Elsevier B.V., All rights reserved.</t>
  </si>
  <si>
    <t>Ghosh, S.; Sinha, A.; Roy, P.; Pandit, R.</t>
  </si>
  <si>
    <t>Automating financial customer service with NLP-enabled bots</t>
  </si>
  <si>
    <t>Economic transactions have become so numerous that creative solutions to customer service are in demand. The use of natural language processing (NLP) bots can easily automate these interactions and provide accurate, 24-hour support. This chapter explores the potential of using NLP bots to transform financial customer service. From basic questions about account balances to more complex transaction disputes, NLP-enabled chatbots can handle them effectively. These bots use smart algorithms to analyze and respond to conversational data, enabling accurate, immediate assistance. This reduces operating costs and increases customer satisfaction. These bots can access and process live data from existing financial systems and respond with NLP-powered, context-aware personalization. However, NLP-enabled bots must be carefully designed with attention to data quality, model training, and legal considerations to be successful. By overcoming these challenges, banks can leverage NLP-based AI to deliver excellent customer service and promote corporate growth. © 2025 Elsevier B.V., All rights reserved.</t>
  </si>
  <si>
    <t>User experience; Account balance; Chatbots; Complex transaction; Creative solutions; Customer-service; Customers' satisfaction; Economic transactions; Language processing; Natural languages; Smart algorithms; Bot (Internet)</t>
  </si>
  <si>
    <t>Rana, S.; Aggarwal, S.; Jagirdar, S.S.; Jain, S.</t>
  </si>
  <si>
    <t>Insights in banking analytics and regulatory compliance using AI</t>
  </si>
  <si>
    <t>The integration of artificial intelligence (AI) into banking analytics and regulatory compliance revolutionizes the financial industry, enhancing operational efficiency, improving decision-making, and strengthening regulatory adherence. AI-driven analytics enable banks to process data in real time, uncovering valuable insights that can drive personalized services, risk management strategies, and fraud detection. AI enhances the monitoring of financial transactions, automates compliance reporting, and helps identify potential risks related to money laundering, fraud, and illegal activities. By leveraging machine learning algorithms and natural language processing, AI tools can ensure that banks remain up to date with regulations, reduce human error, and mitigate the cost and complexity of compliance. The use of AI in banking analytics and regulatory compliance reshapes the way banks operate and fosters greater transparency, accountability, and trust within the financial ecosystem. Insights in Banking Analytics and Regulatory Compliance Using AI focuses on various aspects of use of AI on business analytics. It explores how AI reshapes the field of business analytics and drives more efficient, informed decision making. This book covers topics such as blockchain, data science, and artificial intelligence, and is a useful resource for business owners, policymakers, engineers, academicians, researchers, and data scientists. © 2025 Elsevier B.V., All rights reserved.</t>
  </si>
  <si>
    <t>Banking; Crime; Risk management; Business analytics; Decisions makings; Financial industry; Management frauds; Operational efficiencies; Personalized service; Process data; Real- time; Risk management strategies; Service risk management; Risk perception</t>
  </si>
  <si>
    <t>Fails IC 3 (No clear mention of empirical evidence, case study, or implementation)</t>
  </si>
  <si>
    <t>Rijo, B.; Ribau, C.P.; Sousa, B.B.</t>
  </si>
  <si>
    <t>Use of artificial intelligence chatbots in the hospitality industry: Preliminary insights on value co-creation</t>
  </si>
  <si>
    <t>Artificial Intelligence (AI) has become a daily technology in various sectors and services. This chapter presents a preliminary reflection on the use of AI chatbots in the hotel sector. The existing literature on AI is quite extensive, but when it comes to its technologies individually, it is scarce, therefore the present work aims to present information on this topic in a simple and complete way, the benefits and impacts of using AI chatbots in the hotel sector. The results of this manuscript demonstrate the difficulty that users have in accepting the use of AI chatbots, and their fears about this new technology. The conclusions point to predominantly empirical articles, which is in line with the most widely used analytical approach, the quantitative one. The organization of the micro subtopics derived from the vast content found on the topic, reflecting the focus of the existing literature mostly on AI in general, and not on its individual technologies. © 2025 Elsevier B.V., All rights reserved.</t>
  </si>
  <si>
    <t>Analytical approach; Chatbots; Hospitality industry; Hotel sectors; Individual technology; Simple++; Value co creations</t>
  </si>
  <si>
    <t>Reyes-Sánchez, J.</t>
  </si>
  <si>
    <t>Disruptive analysis of the use of new administrative technologies in organizations</t>
  </si>
  <si>
    <t>The disruptive analysis of emerging administrative technologies like AI, big data, blockchain, and robotic process automation (RPA) highlights their transformative impact on organizational efficiency, decision- making, and global competitiveness. These technologies redefine how organizations create value, interact with customers, and compete, accelerated by trends like globalization and COVID- 19. However, barriers such as resistance to change, lack of digital skills, and poor implementation strategies hinder adoption. Leadership, culture, and change management are key to overcoming these challenges. Organizations that successfully integrate these technologies will enhance efficiency, innovation, and competitiveness in an increasingly digitalized world. © 2025 Elsevier B.V., All rights reserved.</t>
  </si>
  <si>
    <t>Block-chain; Change management; Decisions makings; Digital skills; Global competitiveness; Globalisation; Implementation strategies; Organizational efficiency; Process automation; Resistance to change; Risk perception</t>
  </si>
  <si>
    <t>Mutambara, A.G.O.</t>
  </si>
  <si>
    <t>Artificial intelligence: A driver of inclusive development and shared prosperity for the global south</t>
  </si>
  <si>
    <t>This book presents contextualised and detailed research on Artificial Intelligence (AI) and the Global South. It examines the key challenges of these emerging and least industrialised countries while proffering holistic and comprehensive solutions. The book then explains how AI, as part of these broad interventions, can drive Global South economies to achieve inclusive development and shared prosperity. The book outlines how countries can swiftly prepare to adopt and develop AI across all sectors. It presents novel national, regional, and continental AI adoption, development, and implementation frameworks. Features: Broad non-AI interventions and prescriptions to address Global South challenges; A comprehensive but accessible introduction to AI concepts, technology, infrastructure, systems, and innovations such as AlphaFold, ChatGPT-4, and DeepSeek-R1; An overview of AI-related technologies such as quantum computing, battery energy storage systems, 3D printing, nanotechnology, IoT, and blockchain; How to prepare emerging economies to unlock the benefits of AI while mitigating the risks; Discussion of specific AI applications in 11 critical Global South sectors; Details of 11 sector case studies of AI adoption in the Global South and Global North; Ten country case studies: Sharing emergent AI experiences in the Global South; AI adoption framework: vision, strategy, policy, governance, legislation/regulation, and implementation matrix; A framework for democratising and decolonising AI; The value proposition for AI research, development, and ownership in the Global South; A case for the participation of the Global South in the AI semiconductor industry. This book is aimed at policymakers, business leaders, graduate students, academics, researchers, strategic thinkers, and world leaders seeking to understand and leverage the transformative role of AI-based systems in achieving inclusive development, economic transformation, and shared prosperity. © 2025 Elsevier B.V., All rights reserved.</t>
  </si>
  <si>
    <t>Economics; Engineering education; Laws and legislation; Semiconductor device manufacture; 3-D printing; Battery energy storage systems; Case-studies; Industrialized countries; Infrastructure systems; Introduction to artificial intelligences; Quantum Computing; Technology infrastructure; Technology innovation; Technology system; Students</t>
  </si>
  <si>
    <t>Rooy, D.V.</t>
  </si>
  <si>
    <t>A cognitive science framework could prevent harmful public policy decisions involving AI</t>
  </si>
  <si>
    <t>AI has the potential to help governments become more efficient and transparent and better able to serve their citizens. However, using AI in designing and implementing policies comes with challenges and risks. As in other arenas, it can lead to job loss and privacy infringements. But this article concerns another, more insidious risk: Using AI can amplify the tendency of people who apply the tools to rely on intuitive rather than deliberative reasoning, which, in the realm of governance, can result in flawed policies that can harm the public. This article introduces a framework, informed by cognitive science research, for helping government policymakers understand the risks of human–AI collaborations and mitigate those risks through inserting more deliberative reasoning into each aspect of these collaborations. By applying the framework to case studies, the article also demonstrates its potential for preventing disastrous outcomes from AI’s use in policy. Overall, the framework is meant to help policy professionals navigate AI’s complexities and produce effective, efficient policies that include procedural safeguards for protecting citizens from harm. © 2025 Elsevier B.V., All rights reserved.</t>
  </si>
  <si>
    <t>Saadouli, N.; ElMelegy, A.; Al Hajj, R.</t>
  </si>
  <si>
    <t>Artificial Intelligence for Lean Systems: Systematic Review, Antecedents, Conceptual Mapping, and Future Opportunities</t>
  </si>
  <si>
    <t>Lean systems thrive on eliminating waste by minimizing all non-value-adding activities. Therefore, significant technological developments such as artificial intelligence (AI) are expected to be swiftly adopted to elevate their performance. While several recent studies have investigated the integration of generic Industry 4.0 tools into lean systems, there is no comprehensive study of the integration of AI in lean systems. Therefore, this study investigates the evolution of the research integrating AI into lean systems from 1993 to 2024 using a thorough bibliometric analysis of 186 peer-reviewed articles retrieved from the Scopus and Web of Science databases. In addition to identifying the body of research’s prevalent intellectual and social structures, thematic clusters and thematic maps are constructed to describe the relevance and development of various research themes. The results reveal no comprehensive and integrative framework with unified terminology and distinct research clusters. Furthermore, the findings indicate a concentration of the research contributions in a small set of developed countries, necessitating the deliberate channeling of funds to enhance this research focus in less developed countries. This work is the first study that explicitly tracks the integration of AI in lean systems and creates a convergent realm of analysis and application by identifying the key research foci and corresponding future trends. © 2025 Elsevier B.V., All rights reserved.</t>
  </si>
  <si>
    <t>Zhou, Y.; Luo, J.; Gu, X.; Zhang, W.</t>
  </si>
  <si>
    <t>Survey on Intelligent Planning Methods from Large Language Models Perspective; 大语言模型视角下的智能规划方法综述</t>
  </si>
  <si>
    <t>Starting from the perspective of large language models, this paper gives an overview of the definition and development of intelligent planning, and briefly introduces the traditional methods of intelligent planning; based on the close relationship between large language model intelligent agents and intelligent planning, introduces the architecture of large language models and typical large model intelligent agents; focusing on the intelligent planning for large language models, combs through the learning of planning languages, chain of thought, feedback optimization, and process automation; combining with the current challenges and difficulties, introduces the outlook of cutting-edge research on intelligent planning with large models. © 2025 Elsevier B.V., All rights reserved.</t>
  </si>
  <si>
    <t>Chain of thought; Feedback optimization; Feedback process; Generative intelligence; Intelligent planning; Language model; Large language model; Large models; Planning languages; Planning method</t>
  </si>
  <si>
    <t>Fails IC 3 / Meets EC 5 (Type: review or identified as Review). Fails IC 4 (Language: chinese)</t>
  </si>
  <si>
    <t>Wang, W.; Hackett, R.D.; Archer, N.; Xu, Z.; Yuan, Y.</t>
  </si>
  <si>
    <t>Will AI-enabled conversational agents acting as digital employees enhance employee job identity?</t>
  </si>
  <si>
    <t>Artificial Intelligence (AI)-enabled conversational agents (CAs) increasingly transform online customer service by acting as frontline workers. Understanding employees' attitudes toward these digital colleagues is crucial, as CAs blur the boundaries between human and machine roles. However, existing research often views CAs merely as tools rather than digital employees, neglecting their impact on employees' psychological drivers, such as job identity. This study introduces the perception of CAs as digital employees and develops a Job Identity Enhancement model to examine how human employees' job identity is influenced by their experience working with intelligent CAs. Empirical validation through a survey of frontline service workers reveals that the employees' perceptions of CA autonomy and learning capabilities enhance their job variety and job control, ultimately boosting their job identity and organizational commitment. © 2025 Elsevier B.V., All rights reserved.</t>
  </si>
  <si>
    <t>Chatbots; Conversational agents; Customer-service; Digital employee; Employee attitudes; Front-line workers; Job identity; Online customer service; Online customers; Work experience</t>
  </si>
  <si>
    <t>Malhotra, G.; Ramalingam, M.</t>
  </si>
  <si>
    <t>Perceived anthropomorphism and purchase intention using artificial intelligence technology: examining the moderated effect of trust</t>
  </si>
  <si>
    <t>Purpose: This study explores features that impact consumers' purchase intention through artificial intelligence (AI), because it is believed that through artificial intelligence, consumers' intention to purchase grows significantly, especially in the retail sector, whereby retailers provide lucrative offers to motivate consumers. The study develops a theoretical framework based on media-richness theory to investigate the role of perceived anthropomorphism toward an intention to purchase products using AI. Design/methodology/approach: The study is based on cross-sectional data through an online survey. The data have been analyzed using PLS-SEM and SPSS PROCESS macro. Findings: The results show that consumers tend to demand anthropomorphized products to gain a better shopping experience and, therefore, demand features that attract and motivate them to purchase through artificial intelligence via mediating variables, such as perceived animacy and perceived intelligence. Moreover, trust in artificial intelligence moderates the relationship between perceived anthropomorphism and perceived animacy. Originality/value: The study investigates and concludes with managerial and academic insights into consumer purchase intention through artificial intelligence in the retail and marketing sector. © 2025 Elsevier B.V., All rights reserved.</t>
  </si>
  <si>
    <t>Xiong, X.; Wong, I.A.; Yang, F.X.</t>
  </si>
  <si>
    <t>Bodily feelings as information: the embodied cognition perspective on robotic services</t>
  </si>
  <si>
    <t>Purpose: The study aims to investigate the effects of bodily feelings on preference for robotic service by examining direct and indirect sensations from physical and metaphorically projected bodily feelings. Design/methodology/approach: Through four empirical experiments involving video and recall tasks to metaphorically manipulate participants’ bodily warmth and directly manipulate ambient temperature, the authors explored the mediating role of the need for warmth and the moderating role of robotic features (warmth vs competence) on consumer willingness to engage with and pay for robotic services. Findings: Warmth perception exhibits a positive correlation with robotic services. This relationship is mediated by the need for warmth. Moreover, when customers experience a sensation of physical warmth, they show a greater willingness to pay for a robotic service exhibiting competence versus warmth. Research limitations/implications: This research contributes to the literature by integrating the feelings-as-information theory and the mind perception view to understand the judgment of robotic services. It extends the application of the embodied cognition theory, highlighting the significance of bodily feelings as a source of information in customer decision-making processes. Furthermore, this research explores the metaphoric influence of service features on bodily responses, providing new insights into the role of embodiment and mental perception in robotic service evaluations. Practical implications: Managers should consider using different robots based on seasonal settings to meet customers’ need for warmth. Understanding customers’ bodily feelings and the metaphoric influence of service features contributes to the design of more effective and customer-centric robotic services. Originality/value: This inquiry explores the metaphoric influence of service features on bodily responses, providing new insights into the role of embodiment and mental perception in robotic service evaluations. © 2025 Elsevier B.V., All rights reserved.</t>
  </si>
  <si>
    <t>Webster, C.; Cain, L.</t>
  </si>
  <si>
    <t>Regulation, Automated Technologies, and Competitiveness in the Hospitality Industry</t>
  </si>
  <si>
    <t>This conceptual paper examines the interplay between Porter’s Diamond, the role of government, and varying political ideologies on automated technology regulation in the global hospitality industry. The way in which these factors influence a global organization’s ability to achieve competitive advantage through the use of technology are examined. Specifically, mercantilist, liberal, social democratic, and communist ideologies are explored in relation to how they support or dissuade regulation, and their respective and collective impacts on competition. Additionally, the sources of government regulation, including global, bloc, country-level, and sub-country levels are discussed in relation to automated technology regulations. Ultimately, this study offers suggestions for competition as a result of existing and potential automated technology regulations for the hospitality industry, and suggests areas of study and questions for further consideration. © 2025 Elsevier B.V., All rights reserved.</t>
  </si>
  <si>
    <t>Greiner, D.; Lemoine, J.-F.</t>
  </si>
  <si>
    <t>Bridging the gap: user expectations for conversational AI services with consideration of user expertise</t>
  </si>
  <si>
    <t>Purpose: Past research has emphasised the potential for conversational artificial intelligence (AI) to disrupt services. Conversely, the literature recognises customer expectations as fundamental to service quality and customer satisfaction. However, the understanding of users’ expectations for conversational AI services is currently limited. Building upon previous research that has underscored the importance of users’ expertise, this study aims to provide valuable insights into the expectations of users with varying levels of expertise. Design/methodology/approach: Forty-five semi-structured interviews were conducted, on three populations: experts, quasi-experts and non-experts from various countries including Japan, France and the USA. This includes 10 experts and 11 quasi-experts, as in professionals in conversational AI and related domains. And 25 non-experts, as in individuals without professional or advanced academic training in AI. Findings: Findings suggest that users’ expectations depend on their expertise, how much they value human contact and why they are using these services. For instance, the higher the expertise the less anthropomorphism was stated to matter compared to technical characteristics, which could be due to a disenchantment effect. Other results include expectations shared by all users such as a need for more ethics including public interest. Originality/value: The study provides insights into a key yet relatively unexplored area: it defines three major expectations categories (anthropomorphic, technical and ethical) and the associated expectations of each user groups based on expertise. To the best of the authors’ knowledge, it also highlights expectations never detected before as such in the literature such as explainability. © 2025 Elsevier B.V., All rights reserved.</t>
  </si>
  <si>
    <t>Prabhakar, T.M.</t>
  </si>
  <si>
    <t>Personalization and Digital Social Markets: Disrupting the Capitalist Economy</t>
  </si>
  <si>
    <t>Tahir Nisar presents a cogent, compelling account of recent developments and disruptions within the digital economy, and particularly within the industrial and service sectors. Through an original, overarching framework rooted in the concept of personalization and its antecedents, Nisar identifies radically new forms of relationships, both economic and social, among firms and customers. These new relationships are driving major changes in commercial and industrial firms' policies and practices, and in turn, in the entire market economy. E-commerce trading, user-generated content, virtual communities, co-creation, influencer movements, FinTech, and sharing economies have strengthened the hands of consumers and have encouraged developments in cognitive technologies such as AI automation, which in turn create new ways of working and disruptions to traditional capital-labour relations. Ultimately, what emerges from this study is a picture of how digital technologies unleash forces of change that are creating new forms of social and economic sharing arrangements and new forms of social organization. For its empirical depth and and theoretical rigor, this book is essential reading for researchers and students interested in emerging, alternative forms of economics, business, and management, and particularly those interested in the digital economy and the state and future of capitalist markets. © 2025 Elsevier B.V., All rights reserved.</t>
  </si>
  <si>
    <t>Giovanna</t>
  </si>
  <si>
    <t>Malhotra, G.; Kharub, M.</t>
  </si>
  <si>
    <t>Elevating logistics performance: harnessing the power of artificial intelligence in e-commerce</t>
  </si>
  <si>
    <t>Purpose: Artificial intelligence (AI) usage improves e-commerce logistics efficiency. However, many actors can play significant roles, such as supply chain consistency (SCC), last-mile logistics (LML) performance and collaboration and coordination among logistics firms. This study aims to assess how SCC and LML performance mediate and collaboration and coordination moderate the relationship between AI usage and logistics efficiency. Design/methodology/approach: A structured questionnaire was used to collect the data. A total of 245 valid responses were received from Indian e-commerce businesses. The data were then analysed using AMOS v25 and structural equational modelling using SPSS for regression, PROCESS macro for mediation and moderated mediation analysis. Findings: The findings show that AI usage independently impacts logistics efficiency, with SCC and last-mile delivery performance as mediating variables. Collaboration and coordination among logistic firms are also critical moderators in enhancing AI’s efficacy in logistic operations. The study findings suggest the integration of AI into logistic operations and provide implications to managers on the urgency of fostering a collaborative and synchronised environment to utilise the full potential of AI in e-commerce businesses. Originality/value: This study not only contributes to the field of logistics theory by presenting empirical data on the various ramifications of AI but also offers practical guidance for logistics firms, particularly those operating in developing economies, on how to strategically employ AI to enhance operational efficiency and attain a competitive advantage in the era of e-commerce logistics in the digital age. © 2024 Elsevier B.V., All rights reserved.</t>
  </si>
  <si>
    <t>Daniel Chong, K.L.; Zhang, G.</t>
  </si>
  <si>
    <t>Perceptions and motivational factors of Chinese coffee consumers towards robot baristas: a Technology Acceptance Model 2 perspective</t>
  </si>
  <si>
    <t>Purpose: This study aims to explore the attitudes and perceptions of Chinese coffee consumers towards robot baristas, considering the proliferation of automated entities within China's coffee sector. Design/methodology/approach: Employing the extended Technology Acceptance Model 2 as its theoretical framework, this research conducts in-depth interviews with 30 Chinese coffee consumers. The laddering technique is utilized, supplemented by video simulation. Thematic analysis is subsequently employed to scrutinize the data. Findings: The findings delineate six pivotal themes encapsulating Chinese coffee consumers' perceptions of robot baristas – Perceived Introvert Friendliness, Perceived Novelty, Perceived Intellectual Discrepancies, Perceived Efficiency and Reliability, Perceived Emotional Disconnection, and Perceived Labour Market Disruption. Moreover, six motivational themes are identified - Social Status Boosting, Openness to Experience, Ease of Use, Tech-Driven Affordability, Reliable and Uncompromising Quality, and Resistance to Overbearing Service. Research limitations/implications: The study is limited by its focus on a specific cultural context. Future research could explore cross-cultural perspectives. Practical implications: The findings of this study offer guidance on how to market and position robotic barista services to appeal to consumer preferences and drive adoption. Social implications: Understanding consumer perceptions of robotic baristas has broader social implications, particularly in terms of labour market disruption and the potential impact on traditional coffee professions. Businesses can navigate the social implications of automation more effectively and foster greater acceptance of technological innovations within society. Originality/value: This study offers insights into the inclinations of Chinese coffee consumers, thereby facilitating informed decision-making and the formulation of effective strategies to expedite the adoption of robotic service. © 2024 Elsevier B.V., All rights reserved.</t>
  </si>
  <si>
    <t>Nguyen, T.; Elbanna, A.</t>
  </si>
  <si>
    <t>Understanding Human-AI Augmentation in the Workplace: A Review and a Future Research Agenda</t>
  </si>
  <si>
    <t>The relationship between humans and artificial intelligence has sparked considerable debate and polarized opinions. A significant area of focus in this discourse that has garnered research attention is the potential for humans and AI to augment one another in order to enhance outcomes. Despite the increasing interest in this subject, the existing research is currently fragmented and dispersed across various management disciplines, making it challenging for researchers and practitioners to build upon and benefit from a cohesive body of knowledge. This study offers an organized literature review to synthesize the current literature and research findings, thereby establishing a foundation for future inquiries. It identifies three emerging themes related to the nature, impacts, and challenges of Human-AI augmentation, further delineating them into several associated topics. The study presents the research findings related to each theme and topic before proposing future research agenda and questions. © 2025 Elsevier B.V., All rights reserved.</t>
  </si>
  <si>
    <t>current; Associated topics; Body of knowledge; Digital transformation; Human-AI augmentation; Human-AI collaboration; Human-AI symbiosis; IT Identify; Literature reviews; Research agenda</t>
  </si>
  <si>
    <t>Fails IC 2 (Does not address customer service, automation, or decision support). Fails IC 3 / Meets EC 5 (Type: article or identified as Review)</t>
  </si>
  <si>
    <t>Lv, D.D.; Qiu, W.; Cho, E.</t>
  </si>
  <si>
    <t>The social assumption in service redefined by AI-mediated zero-social-touch services</t>
  </si>
  <si>
    <t>Through the lens of service-dominant (S-D) logic, this conceptual paper investigates how the advent of AI-mediated automation challenges the ingrained assumption of interpersonal exchange as an inseparable element defining service. With the support of smart technologies, AI-mediated zero-social-touch service models are emerging, enabling service recipients to interact without human representatives. Drawing upon S-D logic's foundational principles, we develop a conceptual framework to analyze how introducing AI-mediated automated systems alters participation roles, customization, and other socially embedded properties during service. Ultimately, the rise of AI-mediated automation repositions technology not just as a supplementary delivery mechanism but also as the conduit for value co-creation and value enhancement between firms and consumers. This compels philosophically embracing AI-mediated zero-social-touch service within the conceptual space of service and developing fresh perspectives on the evolving nature of techno-mediated participation. © 2025 Elsevier B.V., All rights reserved.</t>
  </si>
  <si>
    <t>artificial intelligence; automation; conceptual framework</t>
  </si>
  <si>
    <t>Zhou, P.; Liang, C.; Xie, Y.; Yan, J.; Zhao, S.; Jiang, L.</t>
  </si>
  <si>
    <t>The impact of ChatGPT’s competencies on users’ intention to use; ChatGPT 的能力对用户使用意愿的影响</t>
  </si>
  <si>
    <t>Driven by ChatGPT’s popularity, generative conversational artificial intelligence (GCAI) has captured global interest. Despite its widespread adoption, the competencies of GCAI and their influence on users’ intention to use it remain underexplored. This study examines the effect of GCAI competencies on users’ intention to use GCAI. Using a mixed-methods approach, we analyze social media comments and identify four key GCAI competencies. Based on media naturalness theory, trust literature, and the stimulus-organism-response model, we propose and test a research model via a survey. Our results show that accuracy of response, self-learning, and natural language interaction enhance users’ intention to use GCAI and trust in it, while human-like empathy influences trust but not intention. Trust fully mediates the relationship between human-like empathy and intention, and partially mediates the relationship between the other three competencies and intention. This study fills a gap in understanding GCAI’s appeal and offers guidance for developers and marketers. © 2025 Elsevier B.V., All rights reserved.</t>
  </si>
  <si>
    <t>artificial intelligence; social media; technology adoption</t>
  </si>
  <si>
    <t>Shahin, M.; Hosseinzadeh, A.; Chen, F.F.</t>
  </si>
  <si>
    <t>Generative artificial intelligence in manufacturing: applications, case studies, and future directions for next-generation intelligent production systems</t>
  </si>
  <si>
    <t>The integration of generative artificial intelligence (AI) into manufacturing processes is emerging as a transformative strategy to enhance automation, optimize workflows, and foster innovation in intelligent production systems. Unlike traditional rule-based automation, generative AI leverages advanced machine learning (ML) and deep learning (DL) models to enable autonomous decision-making, adaptive process refinement, and real-time data generation. This paradigm shift facilitates a range of advanced applications, including AI-driven product design optimization, proactive maintenance, intelligent quality control, and dynamic supply chain management. This study explores the potential of generative AI to redefine modern manufacturing by providing scalable, data-driven solutions that minimize downtime, reduce waste, and support sustainable production goals. In particular, we highlight the role of generative models in creating synthetic datasets for model training, enabling real-time defect detection, and supporting hyper-personalized production. The self-learning and pattern recognition capabilities of generative AI empower manufacturing systems to dynamically adapt to evolving operational requirements. To evaluate practical implications, three case studies are presented that demonstrate the implementation and impact of generative AI in diverse manufacturing scenarios. These cases underscore both the opportunities and challenges associated with deployment, including high computational demands, data security concerns, and integration with legacy systems. Ethical considerations such as bias mitigation and model transparency are also discussed as critical components of responsible AI adoption. Overall, this paper provides a comprehensive analysis of generative AI applications in manufacturing, offering insights into how these technologies can support the next generation of intelligent, adaptive, and sustainable production systems. © 2025 Elsevier B.V., All rights reserved.</t>
  </si>
  <si>
    <t>Automation; Data integration; Decision making; Integration; Learning systems; Legacy systems; Pattern recognition; Product design; Smart manufacturing; Case-studies; Deep learning; Generative artificial intelligence; Informatic integration; Informatics; Intelligent automation; Machine-learning; Production system; Sustainable production; Synthetic data</t>
  </si>
  <si>
    <t>Thambireddy, S.; Reddy Bussu, V.R.; Madathala, H.; Mane, V.; Inamdar, C.</t>
  </si>
  <si>
    <t>AI-Enabled SAP Enterprise Systems: A Comprehensive Business Use Case Survey</t>
  </si>
  <si>
    <t>The integration of artificial intelligence (AI) technologies into enterprise resource planning (ERP) systems represents a critical transformation in modern business operations, yet comprehensive analysis of AI implementation across SAP's enterprise ecosystem remains fragmented. This paper presents a systematic survey of AI use cases and implementation frameworks within SAP business applications, examining the current state of AI-enabled process optimization across enterprise domains. Our methodology encompasses a structured analysis of SAP's Business AI portfolio, evaluating AI capabilities across three primary business domains: Finance, Supply Chain, and Customer Experience. We examine the technical architecture of SAP's AI foundation, including the Joule copilot framework, SAP Business Technology Platform (BTP) integration, and the company's responsible AI governance structure. Key findings reveal 25+ specific AI use cases spanning from machine learning-driven demand forecasting to generative AI-powered content creation, with particular emphasis on process automation in tax compliance, visual inspection, and intelligent sales execution. The analysis identifies SAP's multi-layered AI approach incorporating foundation models, large language models, and domain-specific algorithms integrated through a unified platform architecture. These findings demonstrate significant implications for enterprise digital transformation strategies, highlighting the evolution from traditional ERP systems to AI-native business platforms that enhance decision-making capabilities and operational efficiency across critical business processes. © 2025 Elsevier B.V., All rights reserved.</t>
  </si>
  <si>
    <t>Administrative data processing; Decision making; Enterprise resource management; Information systems; Information use; Investments; Learning systems; Machine learning; Resource allocation; Artificial intelligence technologies; Business operation; Business process optimization; Case surveys; Enterprise resource planning systems; Enterprise resources planning; Enterprise system; Generative artificial intelligence; Machine-learning; SAP business artificial intelligence; Enterprise resource planning</t>
  </si>
  <si>
    <t>Kunz, W.H.; Sajtos, L.; Flavián, C.</t>
  </si>
  <si>
    <t>Beyond replacement: human-machine collaboration in the age of AI</t>
  </si>
  <si>
    <t>Purpose – The purpose is to advance the understanding of human-machine (H-M) collaboration in service industries, conceptualizing a framework that structures the research space and proposing a research agenda to guide future studies on optimizing collaboration dynamics, outcomes and ethical governance. Design/methodology/approach – The authors use an artificial intelligence (AI)-based systematic literature based on the SERVSIG Literature Alert database to identify articles related to H-M collaboration. Insights from these papers were analyzed to (1) trace the evolution of H-M collaboration research, (2) formulate an integrative framework spanning foundational resources through outcomes and (3) develop a future research agenda. Findings – The paper develops an integrative framework describing the foundation, process, and outcomes of H-M teamwork in service settings. It also introduces a set of new articles from the special issue. Social implications – The paper underscores the ethical considerations (e.g. data biases, privacy and transparency) and broader societal concerns (e.g. job displacement and social inequality) and uniquely positions ethics as a cross-cutting theme (product, consumer and societal levels), moving beyond siloed ethical discussions in earlier work. Originality/value – Unlike earlier work focusing on either human replacement or narrow task automation, this paper proposes a teamwork perspective, showing how AI and humans are working together and combining capabilities to achieve outcomes together. It maps diverse empirical studies to a comprehensive framework, demonstrating its applicability and enriching theoretical rigor with real-world evidence. © 2025 Elsevier B.V., All rights reserved.</t>
  </si>
  <si>
    <t>Dwivedi, Y.K.; Helal, M.Y.I.; Elgendy, I.A.; Albashrawi, M.A.; Hughes, L.; Shawosh, M.; Dutot, V.; Jeon, I.</t>
  </si>
  <si>
    <t>Artificial intelligence agents and agentic systems in hospitality and tourism: challenges, opportunities and research agenda</t>
  </si>
  <si>
    <t>Purpose – Artificial intelligence (AI) agents and agentic systems have the potential to transform the tourism and hospitality (T&amp;H) industry by automating existing processes and improving operational efficiency. This viewpoint paper aims to explore and analyze the potential opportunities and challenges, and establish a comprehensive research agenda for developing AI agents and agentic systems within the T&amp;H industry. Design/methodology/approach – This article comprehensively analyzes current literature, user sentiment analysis and market trends assessment on AI agents and agentic systems. It identifies critical areas where these technologies can transform the T&amp;H industries, providing valuable insights into this emerging field and its potential for driving innovation and efficiency. Findings – Sentiment analysis reveals that 65% of social media users positively view OpenAI’s new AI agent, praising its automation capabilities. Meanwhile, 22% raise concerns about technical flaws, accessibility and ethics, while 13% remain neutral. AI agents offer opportunities to enhance efficiency, personalize services and support sustainability in T&amp;H. However, challenges persist in development and implementation, with concerns from businesses, customers and regulators. This article highlights both the opportunities and challenges AI agents present in T&amp;H industries. Research limitations/implications – This paper provides valuable insights for stakeholders in the T&amp;H industry, considering the adoption of AI agents. The authors present an overview of the potential challenges involved in adopting this emerging technology and discuss key organizational barriers. Originality/value – This study examines the application of AI agents and agentic systems in T&amp;H, highlighting opportunities and challenges may face during their adoption. The paper contributes original insights into how these systems can reshape industry practices, providing a foundation for future research and practical applications. © 2025 Elsevier B.V., All rights reserved.</t>
  </si>
  <si>
    <t>Fails IC 3 / Meets EC 5 (Type: note or identified as Review)</t>
  </si>
  <si>
    <t>Voudouris, C.</t>
  </si>
  <si>
    <t>Autonomic Business Transformation: A Guide to AI Agents for Practitioners and Executives</t>
  </si>
  <si>
    <t>This book provides the essential tools to make the transition from digital business to autonomic business. A key defining feature of the autonomic business model is the emergence of AI agents as the primary drivers of automation within organizations, enabling systems to act autonomously, adaptively, and intelligently. As this model gains traction, practitioners and executives must understand both the opportunities and challenges that agentic AI presents to their enterprises. With the rapid pace of technology, it is becoming increasingly difficult to interpret what AI means in a business context and anticipate the unprecedented changes this AI wave will bring. This book offers insights into that future and outlines the steps organizations can take today to embark on their AI transformation journey.Drawing on real-world examples, the book examines the historical and theoretical foundations of AI agents and autonomic business, explores key aspects of an autonomic transformation, and the future of autonomic business. It appeals to a broad audience across business and technology sectors, including executive professionals, consultants, and students. © 2025 Elsevier B.V., All rights reserved.</t>
  </si>
  <si>
    <t>Chen, A.P.S.</t>
  </si>
  <si>
    <t>Agent AI Becomes Next Addictive Disorder</t>
  </si>
  <si>
    <t>AI represents a crucial information development that is vital to human innovation and progress. Agent AI further integrates AI into human life. As networks transform into AI, humans may develop an addiction-like dependence on AI. This study primarily investigates the impact of human AI addiction on decision quality and job satisfaction. The sample consists of 140 firm surveys, with hypotheses verified using SPSS 23.0. Results indicate that Agent AI addiction affects decision quality and job satisfaction. In particular, decision quality in AAI serves as a key mediating factor. This enhances organizational theory regarding AI usage behavior while highlighting the importance of decision quality in AI design. © 2025 Elsevier B.V., All rights reserved.</t>
  </si>
  <si>
    <t>Artificial intelligence; Decision theory; Information systems; Addictive disorder; Agent AI; Decision quality; Human lives; Information development; Organizational theory; Job satisfaction</t>
  </si>
  <si>
    <t>Ferreira, A.C.A.; Brendon Francisco, M.B.; Pinho, A.F.D.</t>
  </si>
  <si>
    <t>The Use of Artificial Intelligence in Supply Chain Management: Systematic Literature Review and Future Research Directions</t>
  </si>
  <si>
    <t>This paper presents a systematic review of studies related to Artificial Intelligence (AI) and Machine Learning (ML) applications in Supply Chain Management (SCM). Our systematic search studied 109 journal articles published between 2007 and 2025. It was presented definitions for AI, ML, and SCM and a bibliometric analysis was carried out to examine trends and patterns in the existing literature. The 109 articles were grouped into five clusters based on keywords and abstracts, identifying promising research areas and proposes directions for future investigations. The current literature on AI and ML in SCM is expanding, with an increasing number of publications and growing diversity in applications, although significant gaps remain warranting attention. Various AI and ML techniques, including supervised learning algorithms, neural networks, and optimization techniques, have been studied in scenarios such as demand forecasting, inventory management, and risk analysis. Additionally, AI and ML methods are expected to gain broader acceptance in SCM scenarios, such as, application of Generative AI (GenAI) and Large Multimodal Models (LMMs); Quantum ML techniques to handle with large SCM data; to implement SHAP (SHapley Additive exPlanations) for demand forecasting and fraud detection; and to use Generative AI models (like, GPT-4) to generate synthetic supply chain scenarios. © 2025 Elsevier B.V., All rights reserved.</t>
  </si>
  <si>
    <t>Inventory control; Learning algorithms; Learning systems; Machine learning; Neural networks; Risk analysis; Risk assessment; Risk perception; Artificial intelligence learning; Chain management; Demand forecasting; Future research directions; Machine learning applications; Machine learning techniques; Machine-learning; Systematic literature review; Systematic Review; Systematic searches; Supply chain management</t>
  </si>
  <si>
    <t>Raeesi Vanani, I.R.; Yalpanian, M.A.; Taghavifard, M.T.; Tahmaseby, Y.</t>
  </si>
  <si>
    <t>An Analytical Framework for Evaluating the Impact of Digital Transformation Technologies on Business Performance: A Natural Language Processing Approach</t>
  </si>
  <si>
    <t>Extensive technological advancements have highlighted the importance of digital transformation in improving business performance. While prior research on this topic has been done in the information systems and business management domains, it has been limited to specific areas. Therefore, it is crucial to evaluate the impact of digital transformation comprehensively. This research aims to systematically identify critical themes, significant opics, main concepts, and trend priorities. The study involved the analysis of 474 research papers from 2015 to 2024 from reputable databases such as SCOPUS, Web of Science, and IEEE Xplore. First, thematic analysis identified the main themes and interpreted their relationships. Identified themes refer to technological changes at the operational and strategic levels through data analytics, digitalization, collaborative learning, and digital interaction. Realizing that digital transformation leads to value creation, improved service quality, customer experience, and long-term communication in digital ecosystems. These findings were related to dynamic capability theory concepts and compared with theory constructs like sensing, seizing, and transforming. Next, text mining techniques were used for deeper investigation, including word cloud, topic modeling (Latent Dirichlet Allocation), and text clustering (K-means). Findings were categorized into three perspectives: business, customer, and systemic, highlighting the influential role of digital technologies, particularly artificial intelligence (AI) capabilities. Moreover, trend analysis presented research priorities using VOSviewer. Finally, research innovation involved designing thematic networks and examining the relevance of significant topics as a research artifact with subtle differences compared to the conducted research. This novel approach provides five targeted propositions to audiences for future research. © 2025 Elsevier B.V., All rights reserved.</t>
  </si>
  <si>
    <t>Chadyiwa, M.; Olanrewaju, O.</t>
  </si>
  <si>
    <t>Cases on AI Innovations in Occupational Health and Safety</t>
  </si>
  <si>
    <t>Hazards are a significant concern to businesses, including handling heavy or biomedical materials and machine operation. Innovations in occupational health and safety may prevent injuries and accidents and increase the physical health of the employees. Artificial intelligence (AI) tools may increase workplace safety by offering real-time monitoring technologies and safety hazard prediction. Consequently, costs associated with incidents may be decreased and working conditions may improve, enhancing the well-being of employees. Cases on AI Innovations in Occupational Health and Safety explores applications of intelligent technology in the field of occupational health and safety. It provides real-life examples on how risk management and hazard prevention have been reshaped by AI and machine learning technologies. Covering topics such as bio-risk management, long short-term memory (LSTM), and urban informal vendors, this book is an excellent resource for safety policymakers, technology innovators, consultants, safety practitioners, business managers, professionals, researchers, academicians, and more. © 2025 Elsevier B.V., All rights reserved.</t>
  </si>
  <si>
    <t>Biohazards; Biomedical engineering; Health hazards; Health risks; Learning systems; Occupational risks; Personnel; Risk management; Artificial intelligence tools; Biomedical material; Heavy materials; Machine operation; Monitoring technologies; Occupational health and safety; Physical health; Real time monitoring; Risks management; Workplace safety; Industrial hygiene</t>
  </si>
  <si>
    <t>Jin, W.; Wang, N.; Zhang, L.; Tian, X.; Shi, B.; Zhao, B.</t>
  </si>
  <si>
    <t>A Review of AI-Driven Automation Technologies: Latest Taxonomies, Existing Challenges, and Future Prospects</t>
  </si>
  <si>
    <t>With the growing adoption of Artifical Intelligence (AI), AI-driven autonomous techniques and automation systems have seen widespread applications, become pivotal in enhancing operational efficiency and task automation across various aspects of human living. Over the past decade, AI-driven automation has advanced from simple rule-based systems to sophisticated multi-agent hybrid architectures. These technologies not only increase productivity but also enable more scalable and adaptable solutions, proving particularly beneficial in industries such as healthcare, finance, and customer service. However, the absence of a unified review for categorization, benchmarking, and ethical risk assessment hinders the AI-driven automation progress. To bridge this gap, in this survey, we present a comprehensive taxonomy of AI-driven automation methods and analyze recent advancements. We present a comparative analysis of performance metrics between production environments and industrial applications, along with an examination of cutting-edge developments. Specifically, we present a comparative analysis of the performance across various aspects in different industries, offering valuable insights for researchers to select the most suitable approaches for specific applications. Additionally, we also review multiple existing mainstream AI-driven automation applications in detail, highlighting their strengths and limitations. Finally, we outline open research challenges and suggest future directions to address the challenges of AI adoption while maximizing its potential in real-world AI-driven automation applications. © 2025 Elsevier B.V., All rights reserved.</t>
  </si>
  <si>
    <t>Benchmarking; Intelligent agents; Robotics; Taxonomies; Artifical intelligence; Artifical intelligence-driven automation technique and system; Artificial general intelligence; Artificial general intelligences; Automation systems; Automation techniques; Comparative analyzes; LLM; Process automation; Robotic process automation; Multi agent systems</t>
  </si>
  <si>
    <t>Santos, J.C.D.D.</t>
  </si>
  <si>
    <t>The Impact of Technological Advances on the Future of Counterfeiting</t>
  </si>
  <si>
    <t>This chapter examines the evolving landscape of counterfeiting, influenced by swift technological progress. It delves into the latest techniques employed in product counterfeiting, including 3D printing, digital manipulation, deepfake technologies, and advanced chemical synthesis. Various sectors are highlighted, such as pharmaceuticals, electronics, fashion, and food and beverages, providing insight into the strategies used by counterfeiters to create deceptively authentic replicas. The chapter also explores innovative countermeasures and leading-edge technologies, including blockchain, advanced authentication methods, artificial intelligence, and spectroscopy. Additionally, it addresses the prospective challenges posed by emerging technologies and the complexities involved in adapting legal frameworks to these changes. Through a thorough analysis, the chapter presents a forward-looking view on the implications of technological advancements on counterfeiting and the necessary strategies to effectively combat these illicit activities. © 2025 Elsevier B.V., All rights reserved.</t>
  </si>
  <si>
    <t>Artificial intelligence; Authentication; 3-D printing; 3D-printing; Authentication methods; Block-chain; Digital manipulation; Leading edge technology; Product counterfeiting; Prospectives; Technological advances; Technological progress; Crime</t>
  </si>
  <si>
    <t>Hesami, S.</t>
  </si>
  <si>
    <t>Navigating the AI-driven transformation of personal finance: opportunities, challenges, and ethical imperatives</t>
  </si>
  <si>
    <t>Purpose: This paper investigates the transformative role of Artificial Intelligence (AI) in personal financial management, focusing on its potential to enhance financial decision-making while highlighting associated ethical, regulatory, and accessibility challenges. Design/methodology/approach: A structured literature review methodology was employed, incorporating peer-reviewed academic publications, industry reports, and policy papers published between 2019 and early 2025. The review synthesizes insights across different thematic domains including investment management, digital inclusion, algorithmic bias, and AI explainability. Findings: AI significantly enhances personal financial services by automating tasks, customizing investment strategies, and improving financial literacy. However, ethical risks, such as algorithmic bias, automation bias, and data privacy violations, can exacerbate existing inequalities. Transparency, fairness-aware machine learning, and inclusive design are essential for responsible AI integration. Practical implications: The findings offer guidance for designing user-centric, ethical, and accessible AI financial services. Recommendations include integrating explainable AI tools, enhancing digital literacy programs, and adopting corporate digital responsibility frameworks. Social implications: If designed responsibly, AI can democratize financial services, improve financial wellbeing, and promote inclusion. However, without ethical safeguards, it risks reinforcing systemic biases and excluding vulnerable populations. Bridging the digital divide and ensuring regulatory oversight are vital to ensuring equitable outcomes. Originality/value: This study provides a comprehensive synthesis of current debates and emerging practices surrounding AI in personal finance. It highlights a unique intersection of technological innovation and ethical responsibility, contributing to ongoing discourse on sustainable and inclusive digital finance. © 2025 Elsevier B.V., All rights reserved.</t>
  </si>
  <si>
    <t xml:space="preserve"> 
Fails IC 3 / Meets EC 5 (Type: review or identified as Review)</t>
  </si>
  <si>
    <t>Chen, H.</t>
  </si>
  <si>
    <t>Machine Learning and Modeling Techniques in Financial Data Science</t>
  </si>
  <si>
    <t>The integration of machine learning and modeling in finance is transforming how data is analyzed, enabling more accurate predictions, risk assessments, and strategic planning. These advanced techniques empower financial professionals to uncover hidden patterns, automate complex processes, and enhance decision-making in volatile markets. As industries increasingly rely on data-driven insights, the adoption of these tools contributes to greater efficiency, reduced uncertainty, and competitive advantage. This technological shift not only drives innovation within financial sectors but also supports broader economic stability and growth by improving forecasting and mitigating risks. Machine Learning and Modeling Techniques in Financial Data Science provides an updated review and highlights recent theoretical advances and breakthroughs in professional practices within financial data science, exploring the strategic roles of machine learning and modeling techniques across various domains in finance. It offers a comprehensive collection that brings together a wealth of knowledge and experience. Covering topics such as algorithmic trading, financial technology (FinTech), and natural language processing (NLP), this book is an excellent resource for business professionals, leaders, policymakers, researchers, academicians, and more. © 2025 Elsevier B.V., All rights reserved.</t>
  </si>
  <si>
    <t>Accurate prediction; Complex Processes; Financial data; Hidden patterns; Machine learning techniques; Machine modelling; Machine-learning; Modelling techniques; Prediction risks; Risks assessments; Risk perception</t>
  </si>
  <si>
    <t>Fails IC 3 / Meets EC 5 (Type: book or identified as Review)</t>
  </si>
  <si>
    <t>Ali, M.; Khan, T.I.; Şener, İ.</t>
  </si>
  <si>
    <t>Transforming hospitality: the dynamics of AI integration, customer satisfaction, and organizational readiness in enhancing firm performance</t>
  </si>
  <si>
    <t>https://doi.org/10.1108/JHTT-04-2024-0261</t>
  </si>
  <si>
    <t>Purpose: This study aims to explore the interconnectedness between artificial intelligence (AI) integration, customer satisfaction, process task efficiency and organizational readiness within the hospitality and tourism sector, elucidating their combined influence on firm performance. Design/methodology/approach: The research sample comprises 790 owners, supervisors, managers, customers and employees from 158 firms from hospitality and tourism firms in Guangzhou. This study uses a multimodel approach to analyze the relationships between AI integration, customer satisfaction, process task efficiency, organizational readiness and firm performance. Findings: Model 1 indicates a positive correlation between AI integration and firm performance. Model 2 introduces customer satisfaction as a mediator, revealing its partial mediation effect on the relationship between AI integration and firm performance. Model 3 expands to demonstrate the moderating effect of process task efficiency on the AI integration–firm performance relationship. Finally, Model 4 incorporates organizational readiness as a predictor, enhancing the model’s fit and emphasizing its significance in driving firm performance alongside other factors. Research limitations/implications: This study’s scope is limited to the hospitality and tourism sector in Guangzhou, potentially restricting the generalizability of findings to other industries or regions. Future research could explore diverse contexts to ascertain broader implications. Practical implications: The findings underscore the multifaceted impact of AI integration on organizational outcomes, highlighting strategic opportunities for firms to enhance performance through investments in AI integration and organizational preparedness. Originality/value: This study contributes to the understanding of how AI integration, along with factors like customer satisfaction, process task efficiency and organizational readiness, collectively shape firm performance within the hospitality and tourism sector, offering valuable insights for strategic decision-making and resource allocation. © 2025 Elsevier B.V., All rights reserved.</t>
  </si>
  <si>
    <t>Fails IC 2 (Does not address customer service, automation, or decision support</t>
  </si>
  <si>
    <t>Nozari, H.</t>
  </si>
  <si>
    <t>Dynamic and Safe Economy in the Age of Smart Technologies</t>
  </si>
  <si>
    <t>In the evolving economic landscape, the integration of smart technologies has fundamentally reshaped global economies. These technologies offer opportunities for innovation, productivity, and economic growth, driving new business models and creating potential for wealth generation. However, with these advancements come significant challenges, particularly in ensuring economic systems remain secure, inclusive, and adaptable. As smart technologies continue to disrupt traditional industries and labor markets, ensuring a dynamic and safe economy becomes crucial. Balancing these factors involves fostering an environment where technological progress is used for social improvements while guarding against risks like cyber threats, job displacement, and economic inequality. Further research is necessary to build a dynamic and safe economy in the age of smart technologies. Dynamic and Safe Economy in the Age of Smart Technologies explores the integration of smart technology in economic landscapes. It examines challenges related to building safe and secure economies for improved privacy, productivity, and equality. This book covers topics such as biotechnology, blockchain, and cybersecurity, and is a useful resource for economists, business owners, researchers, academicians, data scientists, and security professionals. © 2025 Elsevier B.V., All rights reserved.</t>
  </si>
  <si>
    <t>Employment; Resource valuation; Cyber threats; Economic growths; Economic system; Global economies; Labour market; New business models; Productivity growth; Smart technology; Technological progress; Traditional industry; Commerce</t>
  </si>
  <si>
    <t>Grangé, C.; Demazure, T.; Ringeval, M.; Bourdeau, S.; Martineau, C.</t>
  </si>
  <si>
    <t>The Human-GenAI Value Loop in Human-Centered Innovation: Beyond the Magical Narrative</t>
  </si>
  <si>
    <t>Organisations across various industries are still exploring the potential of Generative Artificial Intelligence (GenAI) to automate a variety of knowledge work processes, including managing innovation. While innovation is often viewed as a product of individual creativity, it more commonly unfolds through a collaborative process where creativity intertwines with knowledge. However, the extent and effectiveness of GenAI in supporting this process remain open questions. Our study investigates this issue using a collaborative practice research approach focused on three GenAI-enabled innovation projects conducted within different organisations. We explored how, why, and when GenAI could effectively be integrated into design sprints—a highly structured, collaborative process enabling human-centred innovation. Our research identified challenges and opportunities in synchronising AI capabilities with human intelligence and creativity. To translate these insights into practical strategies, we propose four recommendations for organisations eager to leverage GenAI to both streamline and bring more value to their innovation processes: (1) establish a collaborative intelligence value loop with GenAI; (2) build trust in GenAI; (3) develop robust data collection and curation workflows; and (4) embrace a craftsman's discipline. © 2025 Elsevier B.V., All rights reserved.</t>
  </si>
  <si>
    <t>Fails IC 3 (No clear mention of empirical evidence, case study, or implementation</t>
  </si>
  <si>
    <t>Kamal, Y.; Roy, A.; Ahmad, S.; Mishra, R.K.</t>
  </si>
  <si>
    <t>Harnessing AI, data science, and block chain for human-centric product development in society 5.0</t>
  </si>
  <si>
    <t>This chapter explores how the transformative potential of data science and blockchain can revolutionize lives, work, and interactions, while emphasizing a human-centric approach to ensure these technologies empower rather than displace humanity. In the current technological landscape, characterized by rapid advancements in Artificial Intelligence and discussions about the metaverse, management practitioners are facing critical questions about the future of the work, ethical dilemmas, and the role of technology in society. This chapter serves as a roadmap, guiding readers through this complex terrain by showcasing real-world examples of data science and blockchain's impact across various sectors, while engaging in critical discussions about their ethical implications and potential challenges. By prioritizing a human-centric approach, the chapter aim to ensure that technology remains a tool for empowerment, fostering a more equitable, sustainable, and prosperous Society 5.0. This exploration highlights the importance of lifelong learning and adaptation for individuals and organizations, outlining strategies to stay ahead amidst rapid technological change. It calls for a collaborative effort among tech leaders, policymakers, and educators to build a future where technology augments human potential and fosters a harmonious relationship between humans and machines. This chapter emphasizes the need for shared responsibility and continuous learning, aiming to create a future where technology and humanity flourish together in harmony. By equipping with the knowledge and tools necessary to navigate this human crossroads reader can shape a future where technology acts as a catalyst for positive change, benefiting all of society. © 2025 Elsevier B.V., All rights reserved.</t>
  </si>
  <si>
    <t>Empowerment of personnel; Engineering education; Information analysis; Personnel training; Product development; 'current; Block-chain; Blockchain technology; Displacers; Human-centric; Human-centric integration; Life long learning; Metaverses; Society 5.0; Technological empowerment; Ethical technology</t>
  </si>
  <si>
    <t>Ahmed, S.</t>
  </si>
  <si>
    <t>The Ethics of AI in Tourism and Hospitality</t>
  </si>
  <si>
    <t>The chapter examines ethical issues surrounding AI applications in tourism and hospitality, focusing on Smart Stay Hotels’ use of AI technologies to enhance customer service and satisfaction. However, there are downsides such as employee job insecurity and issues with data privacy among others. While lessening the concerns, the hotel chain advocates and encourages savvy ways of educating individuals; the objective is to develop moral standards and the clarity of data; therefore, build the trust which when acquired, paves the way for sound development in a rather competitive world. © 2025 Elsevier B.V., All rights reserved.</t>
  </si>
  <si>
    <t>Ethical technology; AI applications; AI Technologies; Customer-service; Customers' satisfaction; Ethical issues; Job satisfaction</t>
  </si>
  <si>
    <t>Liang, C.; Zhou, P.; Xie, Y.</t>
  </si>
  <si>
    <t>Is Anthropomorphism Better for Older People? Exploring the Effects of Anthropomorphic Companion Robots on Satisfaction</t>
  </si>
  <si>
    <t>As a new artificial intelligence product, Companion robots have gradually appeared in the elderly market. However, in practice, older people have low satisfaction and low intention to use companion robots, which makes it challenging to realize the intrinsic value of companion robots effectively. Therefore, this study examined the effect of companion robot anthropomorphism on the satisfaction of older adults through a laboratory experimental study (N = 87) and a questionnaire study (N = 305). The results show that older people have higher satisfaction with companion robots with higher levels of anthropomorphism, and anthropomorphism has a significant positive effect on satisfaction. Psychological distance partially mediated the relationship between anthropomorphism and satisfaction. Perceived control positively moderates the relationship between anthropomorphism and psychological distance and satisfaction. This study aims to expand the existing literature on anthropomorphism and provide practical guidance for designers of companion robots. © 2025 Elsevier B.V., All rights reserved.</t>
  </si>
  <si>
    <t>Singh, K.; Kumar, S.; Talukder, M.B.</t>
  </si>
  <si>
    <t>Impact of AI and the Evolution of Future Ghost Kitchens</t>
  </si>
  <si>
    <t>The rise of artificial intelligence (AI) reshapes industries across the globe, and one of the most notable transformations occurs within the food service sector, particularly through the evolution of ghost kitchens. Ghost kitchens, or virtual kitchens, are delivery-only establishments that operate without a traditional storefront, relying heavily on technology and AI to operate. As AI advances, its integration into ghost kitchen models may revolutionize the way food is prepared, delivered, and consumed. From streamlining kitchen workflows to enhancing customer personalization, AI could drive efficiency, reduce costs, and improve the overall dining experience. The convergence of AI with ghost kitchens may be the future of food service, where innovation, automation, and convenience integrate to meet the growing demand for to-go meals in a digital world. Impact of AI and the Evolution of Future Ghost Kitchens explores how AI improves cloud kitchens, satisfies client preferences, and manages available resources. It offers guidelines on AI’s application for cloud kitchen systems and examples of its effective implementation. This book covers topics such as customer experience, digital technology, and food delivery, and is a useful resource for business owners, food service professionals, computer engineers, academicians, researchers, and data scientists. © 2025 Elsevier B.V., All rights reserved.</t>
  </si>
  <si>
    <t>Food industry; Food processing; Food storage; Service industry; Customer experience; Digital technologies; Digital world; Dining experience; Foodservices; Growing demand; Personalizations; Reduce costs; Service sectors; Work-flows; Food supply</t>
  </si>
  <si>
    <t>Wirtz, J.; Bateson, J.E.G.; Čaić, M.; Frank, D.-A.; Olsen, N.</t>
  </si>
  <si>
    <t>The healthy aging and service firms: the promise of smart technologies</t>
  </si>
  <si>
    <t>Purpose: The world is getting older but healthier, making the over-65s healthy aging the only age-based growth segment in developed countries. This article offers a new perspective on healthy aging consumers and examines how service firms can use smart technologies, such as intelligent automation (IA), artificial intelligence (AI), and service robots, to improve their customer experience (CX). Design/methodology/approach: This conceptual article draws insights from the literature on healthy aging in consumer behavior, psychology, and medicine, amongst others, and the literature in service management and marketing on technology. Findings: This article first demonstrates the attractiveness of the healthy over-65s segment to service firms. Second, it addresses the previously overlooked healthy aging segment in consumer research, connecting it to the evolving physical, cognitive, and socio-emotional responses of older adults in service settings. Third, it advances how service firms can use smart technologies to improve the healthy aging’s CX in the contexts of hedonic and utilitarian services delivered in physical and digital service environments. Practical implications: This paper focuses service firms on their fastest-growing segment, that is, healthy older consumers. It provides recommendations on how service firms can use smart technologies to serve this segment better. Originality/value: This article opens a new stream of service research on healthy aging and technology. © 2025 Elsevier B.V., All rights reserved.</t>
  </si>
  <si>
    <t>Zhang, F.; Zhou, Z.; Sheng, D.</t>
  </si>
  <si>
    <t>Explore the anthropomorphism of service bots in tourism: A MASEM analysis based on stereotype content model</t>
  </si>
  <si>
    <t>Service bots are playing an increasingly pivotal role in the tourism industry. However, significant inconsistencies persist regarding the impact of anthropomorphism in bots on the adoption process by users, posing a challenge for designers and managers in the tourism industry. Drawing upon the Stereotype Content Model (SCM), this study synthesised 130 effect sizes derived from 10027 samples across 23 articles employing meta-analytic structural equation modelling (MASEM). The findings indicated that anthropomorphism only indirectly affected adoption intention by enhancing the perceived competence and warmth of service bots, with perceived competence playing a more crucial mediating role than perceived warmth. Moreover, all the moderator variables (service location, service content, service scenario authenticity, and bot type) tested significantly influenced the magnitude of these effects rather than their direction. Our study innovatively demonstrates the role mechanism of service bot anthropomorphism in the tourism industry, offering insights for industry professionals in bot design and deployment. © 2025 Elsevier B.V., All rights reserved.</t>
  </si>
  <si>
    <t>Peter, M.K.; Baumgartner, R.; Siscaro, D.; Neher, A.</t>
  </si>
  <si>
    <t>E-Commerce Automation: A Mixed-Method Investigation and Workshop Canvas for E-Commerce Roadmap Development</t>
  </si>
  <si>
    <t>E-commerce emerged with the development of ICT and digitization. The combination of e-commerce and process automation can be referred to as e-commerce automation. This study aims to provide a holistic view of e-commerce automation by identifying the relevant dimensions, current maturity levels in organizations, and assumed strategic potential via an online survey and qualitative interviews. Results are summarized in a workshop canvas for e-commerce roadmap development, guiding organizations through the dimensions of data, processes, technical performance, customer experience, marketing and content, as well as organizational culture, structure, and roles. © 2025 Elsevier B.V., All rights reserved.</t>
  </si>
  <si>
    <t>Marketing; 'current; Digital marketing; Digital strategies; Digitisation; E- commerces; Holistic view; Maturity levels; Mixed method; Process automation; Roadmap; Marketplaces</t>
  </si>
  <si>
    <t>Hambro, E.; Rovine, A.W.</t>
  </si>
  <si>
    <t>The Case Law of the International Court / La Jurisprudence de la Cour Internationale - 1973-1974: A Repertoire of the Judgments, Advisory Opinions and Orders of the International Court Including Dissenting and Separate Opinions</t>
  </si>
  <si>
    <t>The analysis of the treaty, including the obligation to give six months' notice of any extension and the obligation to have recourse to the Court, have been analysed in detail in the Judgment of the Court at the jurisdictional stage and need not be repeated here 2. Suffice it to say that the requirement that "in case of a dispute in relation to such extension, the matter shall, at the request of either party, be referred to the International Court of Justice", was no mere severable clause of minor significance but an essential element of the entire agreement, the importance of which to the United Kingdom was underlined in the negotiations. And its importance was enhanced by providing an amicable method of resolving a potential dispute. © 2025 Elsevier B.V., All rights reserved.</t>
  </si>
  <si>
    <t>"Fails IC 2 (Does not address customer service, automation, or decision support)</t>
  </si>
  <si>
    <t>Yigitcanlar, T.</t>
  </si>
  <si>
    <t>Urban artificial intelligence: A guidebook for understanding concepts and technologies</t>
  </si>
  <si>
    <t>Tan Yigitcanlar offers a comprehensive exploration of artificial intelligence's (AI) role in shaping modern cities. This volume delves into how AI-driven analytics and big data provide city planners with deeper insights, enabling more informed decision-making. These insights lead to more efficient resource use, improved public services, and better infrastructure management. In the digital age, AI is revolutionising various sectors, fundamentally altering our approach to problem-solving and innovation. AI's transformative power spans industries from healthcare to finance, and now, it is poised to redefine urban planning and development. Urban areas, as the epicentres of human activity and progress, face myriad challenges such as population growth, resource management, environmental sustainability, and infrastructure development. Traditional methods often fall short in addressing these complexities, making the integration of AI an essential frontier. Comprising seven extensive and insightful chapters, this volume bridges the gap between the theoretical potential and practical implementation of AI in urban contexts. It covers foundational concepts of urban AI, examines its applications across different domains, and explores how AI can improve urban life through smarter home technologies and personalised public services. This first volume is complemented by Urban Artificial Intelligence: A Guidebook for Understanding Perceptions and Ethics, which delves into the ethical and perceptual dimensions of AI in urban settings. Together, these volumes provide a holistic view of urban artificial intelligence, offering essential insights for urban planners, policymakers, researchers, and anyone interested in the intersection of AI and urban development. © 2025 Elsevier B.V., All rights reserved.</t>
  </si>
  <si>
    <t>Big data; Decision making; Ethical technology; Problem solving; Sustainable city; Sustainable development; Tantalum compounds; Urban growth; City planners; Decisions makings; Digital age; Informed decision; Infrastructure managements; Planning and development; Power; Problem-solving; Public services; Resource use; Population statistics</t>
  </si>
  <si>
    <t>Urban artificial intelligence: A guidebook for understanding perceptions and ethics</t>
  </si>
  <si>
    <t>This volume thoroughly explores the perceptions and ethical considerations surrounding urban artificial intelligence (AI). Tan Yigitcanlar delves into the complex public and professional views on AI, offering invaluable insights for policymakers, urban planners, and developers. As the world rapidly advances technologically, the role of AI has become increasingly significant. AI's transformative power spans various sectors, revolutionising how we operate and innovate in fields such as healthcare, finance, agriculture, and space exploration. Despite its wide-reaching impact, the integration of AI into urban planning and development remains relatively underexplored. This is surprising given AI's immense potential to revolutionise urban design, management, and experience. Comprising eight comprehensive and insightful chapters, this book examines AI's role in urban contexts, including its applications, public perceptions, and ethical implications. The first part of the guidebook delves into varied perceptions of AI within different urban sectors, presenting detailed perception analyses on AI's role in urban planning, local government services, disaster management, and the construction industry. The second part shifts focus to the ethical implications and responsible implementation of AI in urban settings. It provides frameworks and strategies to ensure AI technologies contribute positively to urban development while mitigating potential risks and ethical concerns. This volume, alongside its companion Urban Artificial Intelligence: A Guidebook for Understanding Concepts and Technologies, offers a holistic view of Urban Artificial Intelligence. Together, these books provide essential insights for urban planners, policymakers, researchers, and anyone interested in AI and urban development, guiding responsible AI integration to foster smarter, more sustainable, and equitable urban environments. © 2025 Elsevier B.V., All rights reserved.</t>
  </si>
  <si>
    <t>Ethical technology; Space research; Urban growth; Ethical considerations; Ethical implications; In-field; Planning and development; Policy makers; Power; Space explorations; Urban development; Urban management; Urban planners; Construction industry</t>
  </si>
  <si>
    <t>Cabrilo, S.; Leung, R.; Tsai, F.-S.; Dahms, S.</t>
  </si>
  <si>
    <t>“I am served by a Robot!”: internal antecedents of customer acceptance of robotic hotel-service agents</t>
  </si>
  <si>
    <t>Purpose: This study explores how customers' individual characteristics and perceptions affect acceptance of service robots as a hotel workforce. The Interactive Technology Acceptance Model (iTAM) has inspired us to investigate effects of customers' technological self-efficacy, perceived interactivity, sense of utility, and enjoyment-level of acceptance related to hotel-service robots as staff. Design/methodology/approach: Data were collected from 224 customers via an online questionnaire conducted in the period April–June 2022 by convenience sampling, and then analyzed by using partial least squares – structural equation modeling (PLS-SEM). Findings: The findings show that customers' technological self-efficacy and perceived interactivity with service robots enhances perceived usefulness and perceived enjoyment, serving as functional and emotional value components of service robots. They also demonstrate that robot's interactivity outweighs other robot's value components, such as perceived usefulness and perceived enjoyment for acceptance of service robots as employees in hotels. Originality/value: While empirically validating the iTAM, this study emphasizes service robot interactivity as the most important aspect for customers' acceptance, and it adds a new perspective regarding the underexplored role of the customer-robot interface. Combining specific dimensions from different technology acceptance models (functional/socio-emotional/relational; utilitarian/hedonic) the study contributes to the service robot literature currently missing a more holistic understanding of consumers' experience and adoption drivers, and it provides managerial guidance on how to successfully implement service robots in hotel environments. © 2024 Elsevier B.V., All rights reserved.</t>
  </si>
  <si>
    <t>Garg, A.</t>
  </si>
  <si>
    <t>Technological innovations in the food service industry</t>
  </si>
  <si>
    <t>The rapidly evolving food service industry relies significantly on the synergy between technology and business strategies. Technological advances have fundamentally reshaped consumer perceptions of the food industry, impacting every stage, from production and distribution to final consumption. Moreover, these advancements have revolutionized the food service sector, introducing innovations such as digital ordering, self-service technologies, and voice-assisted customer service. These developments, affecting both customer-facing and behind-the-scenes operations, call for a comprehensive examination of both academic and practical viewpoints. Technological Innovations in the Food Service Industry explores the dynamic intersection of technology and the food service industry, delving into how cutting-edge innovations are revolutionizing every aspect of dining experiences, operational efficiency, and customer engagement. It provides valuable insights into the latest trends, tools, and strategies driving the industry forward. Covering topics such as customer intention, grocery delivery, and sustainability, this book is an excellent resource for researchers, academicians, policymakers, business leaders, investors, entrepreneurs, and more. © 2025 Elsevier B.V., All rights reserved.</t>
  </si>
  <si>
    <t>Food industry; Food technology; Investments; Service industry; Business strategy; Consumer perception; Customer-service; Food industries; Foodservice industry; Foodservices; Service sectors; Technological advances; Technological innovation; Technology strategies; Sales</t>
  </si>
  <si>
    <t>Maldonado-Canca, L.-A.; Casado, A.-M.; Cabrera-Sánchez, J.-P.; Bermúdez-González, G.</t>
  </si>
  <si>
    <t>Beyond the post: an SLR of enterprise artificial intelligence in social media</t>
  </si>
  <si>
    <t>This study explores the impact of artificial intelligence (AI) on brand communication within corporate social networks, analyzing its benefits, ethical and technical challenges, and proposing responsible implementation strategies enriched with new theoretical contributions. To achieve this, a systematic literature review (SLR) was conducted based on the SPAR-4-SLR methodology by Paul et al. (2021), using 57 studies from Scopus and Web of Science over the past six years. This approach was complemented with recommendations from Kitchenham and Charters (2007) to ensure rigor and thoroughness in the analysis. The study reveals that artificial intelligence transforms interactions within corporate social networks by enabling effective personalization, optimizing customer experience, and enhancing satisfaction. Benefits include precise segmentation, predictive analytics, and customer service optimization through chatbots. However, significant ethical challenges also emerge, such as data privacy, algorithmic bias, and a lack of transparency in AI models. The necessity for responsible practices and regulations that foster user trust and mitigate risks associated with the implementation of AI in digital communication strategies is emphasized. © 2024 Elsevier B.V., All rights reserved.</t>
  </si>
  <si>
    <t>Customer satisfaction; Differential privacy; Sales; Business communications; Corporate social network; Corporates; Customer-company engagement; Digital marketing; Implementation strategies; Social media; Systematic literature review; Technical challenges; Web of Science; Predictive analytics</t>
  </si>
  <si>
    <t>Xu, L.; Mak, S.; Proselkov, Y.; Brintrup, A.</t>
  </si>
  <si>
    <t>Towards autonomous supply chains: Definition, characteristics, conceptual framework, and autonomy levels</t>
  </si>
  <si>
    <t>Recent global disruptions, such as the COVID-19 pandemic and the ongoing geopolitical conflicts, have profoundly exposed vulnerabilities in traditional supply chains, requiring exploration of more resilient alternatives. Among various solution offerings, Autonomous supply chains (ASCs) have emerged as key enablers of increased integration and visibility, enhancing flexibility and resilience in turbulent trade environments through the widespread automation of low level decision making. Although ASC solutions have been discussed and trialled over several years, they still lack well-established theoretical foundations. This paper addresses this research gap by presenting a formal definition of ASC along with its defining characteristics and auxiliary concepts. We propose a layered conceptual framework, called the MIISI model. An illustrative case study focusing on the meat supply chain demonstrates an initial ASC implementation based on this conceptual model. Furthermore, we introduce a seven-level supply chain autonomy reference model, delineating a trajectory towards achieving full supply chain autonomy. Recognising that this work represents an initial endeavour, we emphasise the need for continued exploration in this emerging domain. This work is designed to stimulate further research, both theoretical and technical, and contribute to the continual evolution of ASCs. © 2024 Elsevier B.V., All rights reserved.</t>
  </si>
  <si>
    <t>Supply chain management; Autonomous supply chain; Autonomy levels; Chain management; Conceptual frameworks; Decisions makings; Formal definition; Multiagent systems (MASs); Research gaps; Supply chain solutions; Theoretical foundations; Multi agent systems</t>
  </si>
  <si>
    <t>Amiri, Z.; Heidari, A.; Navimipour, N.; Hosseinzadeh, M.</t>
  </si>
  <si>
    <t>Deep study on autonomous learning techniques for complex pattern recognition in interconnected information systems</t>
  </si>
  <si>
    <t>Artificial Intelligence (AI) and Machine Learning (ML) are being used more and more to handle complex tasks in many different areas. As a result, interconnected information systems are growing, which means that autonomous systems are needed to help them adapt, find complex patterns, and make better decisions in areas like cybersecurity, finance, healthcare, authentication, marketing, and supply chain optimization. Even though there have been improvements in self-learning methods for complex pattern recognition in linked information systems, these studies still do not have a complete taxonomy that sorts these methods by how they can be used in different areas. It is hard to fully understand important factors and do the comparisons that are needed to drive the growth and use of autonomous learning in linked systems because of this gap. Because these methods are becoming more important, new study is looking into how they can be used in different areas. Still, recent study shows that we do not fully understand the environment of other uses for independent learning methods, which encourages us to keep looking into it. We come up with a new classification system that puts applications into six groups: finding cybersecurity threats, finding fraud in finance, diagnosing and monitoring healthcare, biometric authentication, personalized marketing, and optimizing the supply chain in systems that are all connected. The latest developments in this area can be seen by carefully looking at basic factors like pros and cons, modeling setting, and datasets. In particular, the data show that Elsevier and Springer both put out a lot of important papers (26.5 % and 11.8 %, respectively). With rates of 12.9 %, 11 %, and 8 %, respectively, the study shows that accuracy, mobility, and privacy are the most important factors. Tools like Python and MATLAB are now the most popular ways to test possible answers in this growing field. © 2024 Elsevier B.V., All rights reserved.</t>
  </si>
  <si>
    <t>Contrastive Learning; Cybersecurity; Electronic health record; Federated learning; Artificial intelligence learning; Autonomous learning; Biometric authentication; Complex pattern; Cyber security; Fraud detection; Health diagnostic; Learning methods; Learning techniques; Machine-learning; Adversarial machine learning</t>
  </si>
  <si>
    <t>. Fails IC 3 / Meets EC 5 (Type: review or identified as Review)"</t>
  </si>
  <si>
    <t>Qian, Y.; Wan, X.</t>
  </si>
  <si>
    <t>Influence of robot anthropomorphism on consumer attitudes toward restaurants and service providers</t>
  </si>
  <si>
    <t>We conducted this study to investigate the influence of robot anthropomorphism on consumers’ attitudes toward restaurants and service providers, focusing on the moderating effects of robot social roles and consumer autonomy. The results of Study 1 revealed that anthropomorphic robots fostered more positive attitudes toward restaurants and service robots than non-anthropomorphic robots when consumers viewed restaurant advertisements. The results of Study 2 revealed that consumers also exhibited more positive attitudes toward anthropomorphic robots compared to non-anthropomorphic robots when picturing restaurant dining experiences. Furthermore, when non-anthropomorphic robots were assigned partner roles and consumers were given the option to choose their servers, attitudes toward these robots improved. Collectively, these findings suggest that anthropomorphism in robots can lead to more positive attitudes, and the acceptance of non-anthropomorphic robots can be enhanced through greater consumer autonomy and the assignment of partner roles. These results provide insight into AI service marketing strategies. © 2024 Elsevier B.V., All rights reserved.</t>
  </si>
  <si>
    <t>Tariq, M.U.</t>
  </si>
  <si>
    <t>AI-driven learning and engagement in higher education</t>
  </si>
  <si>
    <t>Artificial Intelligence (AI) has rapidly emerged as a revolutionary force across various sectors, with a profound influence permeating the domain of higher education. AI in higher education encompasses a wide range of applications designed to enhance teaching methodologies, streamline administrative processes, and personalize learning experiences. The transformative potential of AI lies in its ability to process vast amounts of data, identify patterns, and make intelligent decisions, which can significantly improve educational outcomes. AI-Driven Learning and Engagement in Higher Education provides a comprehensive exploration of these themes and offers insights into the theoretical foundations, practical applications, and ethical implications of AI in education. Each chapter delves into specific aspects of AI integration, from personalized learning and intelligent tutoring systems to administrative automation and ethical considerations. Covering topics such as applied artificial intelligence, online learning, and student success, this book is an excellent resource for educators, administrators, policymakers, researchers, academicians, and more. © 2025 Elsevier B.V., All rights reserved.</t>
  </si>
  <si>
    <t>Pietrasik, M.; Wilbik, A.; Grefen, P.</t>
  </si>
  <si>
    <t>The enabling technologies for digitalization in the chemical process industry</t>
  </si>
  <si>
    <t>In this paper, we provide an overview of the technologies that enable digitalization in the chemical process industry and describe their applications to solve problems in industrial settings. This is done through the identification and categorization of these technologies, thereby providing structure to an otherwise loosely connected basket of technologies and casting a spotlight on state-of-the-art technologies that offer great potential but are still underutilized in industrial applications. Furthermore, we identify the problem domains that characterize the chemical process industry and connect them to development aspects in the industry that lend themselves to digital solutions. For each of these connections, we select the technologies most essential to bridging the gap between problem and solution. This allows practitioners to better understand the relevancy of digitalization to their problems and provides a starting point for further investigation of potential solutions. The connections are substantiated by reference to successful industrial applications, highlighting previous works that have been published in the field. They are further verified by industry experts through brainstorm sessions, interviews, and a workshop. © 2024 Elsevier B.V., All rights reserved.</t>
  </si>
  <si>
    <t>Kumar, R.P.; Banerjee, A.; Al-Salti, Z.; Ananda, S.</t>
  </si>
  <si>
    <t>Technology acceptance model and customer engagement: mediating role of customer satisfaction</t>
  </si>
  <si>
    <t>The primary aim of this study is to examine the influence of the technological acceptance model on customer engagement. An additional aim of this study is to examine the mediating effect of customer satisfaction in the relationship between the technology acceptance model and customer engagement. The present study gathered primary data from users of retail banking services in specific metropolitan areas in India. The participants were chosen based on their considerable expertise in utilizing online, digital, and mobile banking platforms and their substantial knowledge of implementing advanced e-banking strategies. The application of confirmatory factor analysis investigated measurement validity. The study’s findings indicate a significant correlation between emotional and rational engagement, mediated via perceived usefulness. Additionally, the study revealed that the relationship between perceived usefulness and emotional engagement is mediated by customer satisfaction. Furthermore, it can be observed that this factor entirely mediates the relationship between transaction cost and emotional engagement. The study’s findings suggest that customer satisfaction is a complete mediator in the association between transaction cost and rational engagement. The results of this study make a valuable contribution to the current body of literature on the technological acceptance model, customer satisfaction, and customer engagement. © 2024 Elsevier B.V., All rights reserved.</t>
  </si>
  <si>
    <t>Upadhyay, N.; Kamble, A.</t>
  </si>
  <si>
    <t>Why can’t we help but love mobile banking chatbots? Perspective of stimulus-organism-response</t>
  </si>
  <si>
    <t>In mobile banking, the relationship between consumers and conversational artificial intelligence chatbots (CAIC) is a growing interest. This study delves into consumers’ brand love for these chatbots and examines the factors that influence this love. The study tests the relationships between anthropomorphism, smart experience, and brand love based on 355 banking consumers. According to the findings, anthropomorphism, smart experience, and conversational AI chatbot engagement have a favorable effect on consumers’ interaction with CAIC, resulting in an increase in their brand love. This research offers valuable insights for mobile banking companies looking to increase their customers’ love for their conversational AI chatbots. The findings emphasize the importance of considering anthropomorphism, smart experience, and engagement in designing conversational AI chatbots, as these factors contribute to a meaningful and engaging customer experience. © 2024 Elsevier B.V., All rights reserved.</t>
  </si>
  <si>
    <t>Luiz Miguel</t>
  </si>
  <si>
    <t>Khneyzer, C.; Boustany, Z.; Dagher, J.</t>
  </si>
  <si>
    <t>AI-Driven Chatbots in CRM: Economic and Managerial Implications across Industries</t>
  </si>
  <si>
    <t>In the era of digitization and technical breakthroughs, artificial intelligence (AI) has progressively found its way into the field of customer relationship management (CRM), bringing benefits as well as difficulties to businesses. AI, particularly in the context of CRM, employs machine learning (ML) and deep learning (DL) techniques to extract knowledge from data, recognize trends, make decisions, and learn from mistakes with minimal human intervention. Successful firms have effectively integrated AI into CRM for predictive analytics, computer vision, sentiment analysis, personalized recommendations, chatbots and virtual assistants, and voice and speech recognition. AI-driven chatbots, one of the AI-powered CRM systems, arose as a disruptive approach to customer service, and as such, unfolded with economic and managerial ramifications in CRM. Given the literature’s focus on other AI-driven systems, there is an obvious need for an investigation of industry applications and the implications of AI-driven chatbots in CRM. The purpose of this study is to explore and elucidate the economic and managerial implications of AI-powered chatbots within CRM systems. This investigation aims to provide a comprehensive understanding of how these technologies can enhance customer interactions, streamline business processes, and impact organizational strategies. To reach this goal, this study conducts a comparative qualitative analysis based on many interviews with experts and contributors in the field. Interviews with CRM specialists yielded insights into the use of AI-driven chatbots in CRM and their impact on the industry. The primary advantages identified in this study were the impact of AI-powered chatbots on cost, efficiency, and human performance. In addition, AI chatbots have proven useful in a variety of industries, including retail and tourism. Nonetheless, there were limitations to its usage in the healthcare system, particularly in terms of ethical problems. © 2024 Elsevier B.V., All rights reserved.</t>
  </si>
  <si>
    <t>Fails IC 1 (Does not appear to investigate AI agents</t>
  </si>
  <si>
    <t>Hassan, A.; Bhattacharya, P.; Dutta, P.K.; Verma, J.P.; Kundu, N.K.</t>
  </si>
  <si>
    <t>Quantum computing and supply chain management: A new era of optimization</t>
  </si>
  <si>
    <t>Today's supply chains are becoming more complex and interconnected. As a result, traditional optimization engines struggle to cope with the increasing demands for real-time order fulfillment and inventory management. With the expansion and diversification of supply chain networks, these engines require additional support to handle the growing complexity effectively. This poses a significant challenge for supply chain professionals who must find efficient and cost-effective solutions to streamline their operations and promptly meet customer demands. Quantum Computing and Supply Chain Management: A New Era of Optimization offers a transformative solution to these challenges. By harnessing the power of quantum computing, this book explores how supply chain planners can overcome the limitations of traditional optimization engines. Quantum computing's ability to process vast amounts of data from IoT sensors in real time can revolutionize inventory management, resource allocation, and logistics within the supply chain. It provides a theoretical framework and practical examples to illustrate how quantum algorithms can enhance transparency, optimize dynamic inventory allocation, and improve supply chain resilience. This book is essential reading for supply chain professionals, researchers, and academics seeking innovative solutions to enhance supply chain efficiency. It provides a comprehensive overview of quantum computing's potential in supply chain management, offering insights into how this groundbreaking technology can address the complexities of modern supply chains. With a focus on practical applications and real-world examples, this book is a valuable resource for anyone looking to stay ahead in the rapidly evolving field of supply chain management. © 2024 Elsevier B.V., All rights reserved.</t>
  </si>
  <si>
    <t>Alla, L.; Hmioui, A.; Bentalha, B.</t>
  </si>
  <si>
    <t>AI and data engineering solutions for effective marketing</t>
  </si>
  <si>
    <t>In the world of contemporary marketing, a challenge exists - the relationship between data engineering, artificial intelligence, and the essential elements of effective marketing. Businesses find themselves at a crossroads, grappling with the imperative to navigate this complex landscape. This challenge serves as the backdrop for the exploration in AI and Data Engineering Solutions for Effective Marketing, a comprehensive reference tailored for academic scholars. Seamlessly integrating theoretical models with real-world applications, the book delves into critical facets of strategic and operational marketing. From the adoption of data science techniques to grappling with big data's vast potential, it offers a guide for academics seeking profound insights into the future of marketing strategies and their efficient execution. The primary objective of this book is to explore the integration of artificial intelligence and data engineering into the marketing process, offering a harmonious blend of theory and practice. Through rigorous analysis, it presents scientific contributions that not only showcase the potential of these technologies in enhancing marketing performance but also critically assess the obstacles and risks inherent in their implementation. The book encourages a reinvention of methodological approaches in marketing research, providing readers with a highly selective collection of advanced scientific research from renowned researchers and field experts. Designed for researchers, practitioners, and students with an interest in the intersection of artificial intelligence, data engineering, and marketing, this book serves as a guide for implementing new marketing management solutions and optimizing their operational efficiency. While the primary audience is researchers and practitioners in the field, the book is also tailored to benefit students seeking a deep understanding of the latest developments in marketing. © 2024 Elsevier B.V., All rights reserved.</t>
  </si>
  <si>
    <t>Sinha, M.; Bhandari, A.; Shant Priya, S.S.; Kabiraj, S.</t>
  </si>
  <si>
    <t>Improving service quality and customer engagement with marketing intelligence</t>
  </si>
  <si>
    <t>To succeed, businesses must keep up with the ever-changing technological landscape and constantly introduce new advancements. The rise of digitalization has wholly transformed how companies interact with their customers, presenting both opportunities and challenges. Marketing professionals are inundated with data and need guidance on leveraging it effectively to craft successful marketing strategies. Additionally, the ethical and privacy concerns surrounding the collection and use of customer data make the marketing landscape even more complex. Improving Service Quality and Customer Engagement With Marketing Intelligence is a groundbreaking book that offers a comprehensive solution to these challenges. This book is a must-read for marketing professionals, business owners, and students, providing a practical guide to navigating the digital age. It explores the impact of digitalization on marketing practices. It offers insights into customer behavior, equipping readers with the knowledge and skills needed to thrive in today's competitive market. The book's interdisciplinary approach integrates insights from marketing, technology, data science, and ethics, giving readers a holistic understanding of marketing intelligence. With its timely and practical approach, Improving Service Quality and Customer Engagement With Marketing Intelligence is a valuable resource for anyone seeking to enhance their marketing efforts in the digital age. It features best practices, case studies, and step-by-step guides, empowering readers to make informed decisions prioritizing customer satisfaction and engagement. Reading this book will help you stay ahead of the curve and drive success in today's dynamic marketing landscape by bridging the gap between academia and industry. © 2024 Elsevier B.V., All rights reserved.</t>
  </si>
  <si>
    <t>Xie, Y.; Liang, C.; Zhou, P.; Zhu, J.</t>
  </si>
  <si>
    <t>When should chatbots express humor? Exploring different influence mechanisms of humor on service satisfaction</t>
  </si>
  <si>
    <t>As artificial intelligence technologies evolve, a discernible trend is emerging wherein chatbots are imbued with the capability to articulate emotions within online customer service. However, the research on emotional expression by chatbots is still in its infancy, and the existing research on this aspect is inconclusive. Therefore, from the perspective of chatbots expressing humor, this study proposes a boundary condition for the effectiveness of chatbot-expressed humor and a different influence mechanism of expressing humor in different dialogues on service satisfaction through four experimental studies. Our study found that chatbots' expression of humor in chit-chat dialogues leads to higher perceived entertainment and service satisfaction for customers; however, chatbots' expression of humor in task-oriented dialogues leads to distraction and lower service satisfaction. In addition, we found that entertainment significantly mediated between humor in chit-chat dialogues and service satisfaction, while distraction had a significant indirect effect between humor in task-oriented dialogues and service satisfaction. These findings deepen our understanding of chatbot-expressed humor and provide valuable insights into online retailers’ deployment of humorous chatbots. © 2024 Elsevier B.V., All rights reserved.</t>
  </si>
  <si>
    <t>Customer satisfaction; Artificial intelligence technologies; Chatbot-expressed humor; Chatbots; Chit-chat dialog; Distraction; Influence mechanism; Online customers; Service satisfaction; Task-oriented; Task-oriented dialog; Sales</t>
  </si>
  <si>
    <t>Pamisetty, A.</t>
  </si>
  <si>
    <t>Leveraging Agentic AI and Cloud Infrastructure for Predictive Logistics in National Food Supply Chains</t>
  </si>
  <si>
    <t>Long-term problems of food supply chain management include supplier selection, transportation, and supply chain structure planning. Due to the integration of advanced technologies in food supply chain design, new challenges arise for supply chain robustness in consumer-driven behavior and climate change. AI algorithms will be absolutely necessary to assess the avoidable variability in food supply chains. Agents with their own objectives and preferences form networks. The evolution and robustness of networks can be simulated using agent-based models. As an advanced manufacturability and a complex food supply chain, a multi-agent system was built. A cloud-based platform allows agents in different locations to collaborate while keeping their data private. This research shows that cloud infrastructure simplifies and accelerates collaboration in a blockchain system. As supply chains evolve, the asymmetric nature of mutual dependencies imposes serious risks. The time-varying nature of supply chain relationships generates unknown feedback. Based on this uncertainty, a partially observable finite-state Markov decision process was developed for visibility estimation and redesign. It adopts a hybrid deep recurrent neural network to estimate the number of nodes and the biases of parameters. Devices with an ongoing impact on supply chains were identified via simulations and case studies. Conventional approaches assume that supply chain changes only happen occasionally and originally, while this approach detects highly dynamic changes comprehensively. As the depiction of supply chain structure, an ontology for ensuring information sharing was created through an integrated methodology involving data acquisition, coding, modeling, and validation. Aiming at serving various manufacturing industries, a recommender system based on a business model ontology was developed. This ontology mines customer preferences and generates a candidate strategy pool for managers. To conquer the trade-off between the quality of recommendations and costs, a multiobjective optimization model was derived. The efficiency and effectiveness of the recommender ontology were tested and verified, marking the first step for an AI supply chain to augment post-COVID-19 resilience. © 2025 Elsevier B.V., All rights reserved.</t>
  </si>
  <si>
    <t>Sheelam, G.K.</t>
  </si>
  <si>
    <t>Integrating Intelligent Chip Design with Agentic AI: Building the Future of Smart Wireless Communication Systems</t>
  </si>
  <si>
    <t>Recent breakthroughs in Artificial Intelligence (AI) are propelling society towards a new technological era, wherein intelligent systems can independently observe and interpret their environment, make optimal decisions, and act accordingly. Agentic AI is evolving from tool AI to an entity that operates without human involvement. Almost all aspects of society are now being impacted by this rapid proliferation of Agentic AI, such as the public sector, education, finance, healthcare, entertainment, media, and automotive. In parallel, composite intelligent chip design, encompassing chip architecture, chip implementation and chip manufacturing, is urgently needed amid soaring demand for computation and communication. Despite initial optimism about Moore’s law, the efficacy of silicon-based chips has seen degradation. One potential route for intelligent chip design is inspired by biological exploration, which could involve the evolution of chips along a co-developed path guided by environmental pressure. Chip designs with complex functionalities require optimization strategies that surpass the capabilities of current silicon-based chips. The realization of such a vision could result in completely new architectures using advanced materials and manufacturing techniques, as well as translating these designs into novel chip automatons. However, this path would involve fundamental breakthroughs over decades and would render legacy chips obsolete. A complementary route for rapid maturity involves applying agentic AI to intelligent chip design, resulting in new AI-native chips. These chips would come integrated with learned weights from training AI models, providing immediate acceleration to on-chip inference. In addition, agentic AI could dramatically speed up the training and design of intelligent chips for next-gen wireless systems. AI tools could be utilized to provide domain knowledge on chip design, chip operation, and workflow optimization. Agentic AI ridden with new challenges for regulation and safety concerns leads to the notion of regulatory compliance, which encompasses social norms, laws, regulations and standards. Such a deep embedding of regulatory compliance in agentic systems could enable compliance by design, imbuing them with performance enhancing abilities. Furthermore, any codes, tools and metrics devised by humans for regulation on agentic systems could be adopted as learning signal to pursue optimal policies for compliance, thus inheriting pre-existing processes. Looking ahead, the rapid proliferation of agentic AI is poised to alter the course of the next wireless communications revolution. © 2025 Elsevier B.V., All rights reserved.</t>
  </si>
  <si>
    <t>Wibowo, A.</t>
  </si>
  <si>
    <t>Beyond boundaries: Multichannel strategies in customer relationship management</t>
  </si>
  <si>
    <t>This chapter delves into the evolving dynamics of modern customer relationship management (CRM) as it adapts to an increasingly interconnected digital ecosystem. Recognizing the pivotal role of multichannel communication, the chapter underscores the necessity of delivering unified and consistent customer experiences across various touchpoints. From the ubiquitous presence of social media to the personalization offered by mobile apps, businesses are leveraging multiple channels to optimize their CRM strategies. Another transformational shift highlighted is the integration of AI-powered tools like chatbots and virtual assistants, which promise 24/7 customer support while ensuring efficiency and consistency. Furthermore, the chapter emphasizes the importance of self-service portals and knowledge bases, addressing the contemporary customer's desire for immediacy and autonomy in resolving queries. As businesses navigate the confluence of traditional and digital channels, central to their CRM success will be a balance of innovative technology and the indispensable human touch. This chapter serves as a comprehensive guide for businesses to effectively navigate the multichannel communication landscape, ultimately fostering deeper, more fruitful customer relationships. © 2024 Elsevier B.V., All rights reserved.</t>
  </si>
  <si>
    <t>Kumar, N.; Pal, S.K.; Agarwal, P.; Rosak-Szyrocka, J.; Jain, V.</t>
  </si>
  <si>
    <t>Harnessing artificial emotional intelligence for improved human-computer interactions</t>
  </si>
  <si>
    <t>Industry 5.0 is poised to redefine the collaboration between humans and machines, marking a crucial moment in technological evolution. However, as we stand at the threshold of this transformative era, a critical challenge emerges - the integration of emotional intelligence into the industrial landscape. Organizations grapple with the urgent need to understand, strategize, and ethically deploy artificial emotional intelligence (AEI) in Industry 5.0. This pivotal juncture calls for a comprehensive resource that explores the theoretical foundations but offers practical insights into the applications, challenges, and responsible deployment of AEI. The absence of a cohesive guide addressing the intricacies of AEI in Industry 5.0 leaves a void in academic scholarship. Organizations, researchers, and policymakers lack a singular, authoritative source to navigate the complexities of emotional intelligence integration, impacting Industry 5.0 strategies, sustainability plans, and customer services. The challenge lies in managing the delicate balance between human and machine collaboration while ensuring ethical considerations are at the forefront of AI deployment. As the demand for emotional intelligence in the industrial landscape intensifies, the need for a unifying resource becomes increasingly apparent. Harnessing Artificial Emotional Intelligence for Improved Human-Computer Interactions is an innovative book crafted by leading researchers and practitioners across disciplines that serves as the solution to the challenges posed by the AEI revolution. By offering a comprehensive exploration of emotion recognition, affective computing, and human-robot interaction, the book equips readers with the knowledge needed to navigate the complexities of AEI in Industry 5.0. With a focus on practical implementations, ethical considerations, and the real-world impact on factories, collaborative robotics, and industrial automation, this book positions itself as the go-to resource for scholars, industry professionals, and decision-makers seeking to harness the transformative power of emotional intelligence in the Fifth Industrial Revolution. © 2024 Elsevier B.V., All rights reserved.</t>
  </si>
  <si>
    <t>Elsherif, H.M.</t>
  </si>
  <si>
    <t>Holistic approach to AI and leadership</t>
  </si>
  <si>
    <t>In the current fast-paced digital era, incorporating Artificial Intelligence (AI) into leadership practices is a complex challenge. The ever-evolving technological landscape demands a new approach to leadership that embraces AI while upholding human-centric values. This convergence of AI and leadership necessitates innovative solutions to stay ahead in a competitive environment. The Holistic Approach to AI and Leadership offers more than just theory; it provides practical solutions for integrating AI into strategic vision. This comprehensive guide explores AI's impact on decision-making processes, training, and capacity building, addressing resistance and measuring ROI through real-world case studies and scenarios. Targeting a diverse audience, from top-tier executives and human resources professionals to AI developers and researchers, the book equips leaders with the knowledge to make informed decisions about AI integration. By emphasizing the enduring importance of human connection and ethical considerations, this approach ensures that technological advancements enhance, rather than overshadow, the human aspects of leadership, reshaping the modern management paradigm. © 2024 Elsevier B.V., All rights reserved.</t>
  </si>
  <si>
    <t>Babulak, E.</t>
  </si>
  <si>
    <t>Applied AI and humanoid robotics for the ultra-smart cyberspace</t>
  </si>
  <si>
    <t>In the rapidly transforming landscape of fast-paced technology evolution, the fusion of artificial intelligence (AI) and humanoid robotics is set to redefine academia as we know it. From advancements in AI, humanoid robotics, nano and bio technologies, and smart medicine, the vision of an ultra-smart cyberspace is becoming a tangible reality. Yet, amid this transformative potential, scholars face a pressing challenge - how to navigate the complexities of these cutting-edge technologies to drive impactful research and innovation. Applied AI and Humanoid Robotics for the Ultra-Smart Cyberspace beckons scholars to harness the full potential of applied AI and humanoid robotics in academia. This book illuminates the most effective applications of these technologies across various disciplines such as industry, business, health, government, military, and critical cyber infrastructure. Through rigorously peer-reviewed chapters, the book addresses key issues, provides technical solutions, and guides future research directions, fostering a collaborative bridge between academia and industry. Whether you're a seasoned academic expert or a graduate student embarking on your academic journey, this book offers invaluable insights into the transformative power of applied AI and humanoid robotics. This book is tailored for academic scholars, researchers, and educators who want to stay ahead of technological innovation. Moreover, it serves as an essential reference for decision-makers worldwide across government, military, business, and industry, providing strategic guidance in navigating the evolving landscape of AI-driven technologies. © 2024 Elsevier B.V., All rights reserved.</t>
  </si>
  <si>
    <t>Lin, C.-H.; Chiu, D.K.W.; Lam, K.T.</t>
  </si>
  <si>
    <t>Hong Kong academic librarians' attitudes toward robotic process automation</t>
  </si>
  <si>
    <t>Purpose: This research investigates Hong Kong academic librarians' attitudes toward robotic process automation (RPA) and their willingness to learn this technology. Design/methodology/approach: This qualitative study collected data through one-on-one semi-structured interviews conducted with video conferencing software. After participants received basic RPA information and three existing library application cases, they answered questions based on the interview guide. This research used the inductive thematic analysis method to analyze the collected data. Findings: Regarding Hong Kong academic librarians' attitudes towards RPA, 19 themes were identified. Although all participants did not have previous knowledge of RPA, most showed positive attitudes toward implementing RPA in their libraries and some willingness to learn it. Besides, among all identified themes, negative attitudes mainly comprised “Affect” and “Cognition” factors, hindering RPA deployment in academic libraries. Originality/value: This research helps librarians and RPA vendors make better decisions or strategies for implementing RPA for libraries, which has not been explored, especially in East Asia. © 2024 Elsevier B.V., All rights reserved.</t>
  </si>
  <si>
    <t>Haleem, A.; Javaid, M.; Singh, R.P.</t>
  </si>
  <si>
    <t>Exploring the competence of ChatGPT for customer and patient service management</t>
  </si>
  <si>
    <t>The modern language generation model ChatGPT, created by Open Artificial Intelligence (AI), is recognised for its capacity to comprehend context and produce pertinent content. This model is built on the transformer architecture, which enables it to process massive volumes of data and produce text that is both cohesive and illuminating. Service is a crucial component everywhere as it provides the basis for establishing client rapport and offering aid and support. In healthcare, the application of ChatGPT for patient service support has been one of the most significant advances in recent years. ChatGPT can help overcome language obstacles and improve patient satisfaction by facilitating communication with healthcare personnel and understanding of care. It can assist in enhancing the entire patient experience by offering personalised information and support to patients and making it more straightforward for them to communicate with healthcare professionals. Its goal can be to expedite and streamline service by promptly and accurately responding to customers. Businesses of all sizes increasingly use ChatGPT since it allows them to provide 24/7 customer support without requiring human contact. This paper briefly discusses ChatGPT and the need for better services. Various perspectives on improving customer and patient services through ChatGPT are discussed. The article also discussed the major key enablers of ChatGPT for refining customer and patient assistance. Further, the paper identifies and discusses the critical application areas of ChatGPT for customer and patient service. With its ability to handle several requests simultaneously, respond quickly and accurately to client questions, and gain knowledge from every interaction, ChatGPT is revolutionising customer and patient service. Its accessibility and compatibility with various communication channels make it a desirable solution for businesses looking to improve support. As technology advances, ChatGPT is positioned to become an essential tool for businesses wishing to provide speedy and customised service. Although ChatGPT may give convincing solutions, the chance of providing accurate and updated information poses a problem for its usage in service jobs that need accurate and up-to-date information. In future, various services will become better and more efficient due to ChatGPT and AI. © 2024 Elsevier B.V., All rights reserved.</t>
  </si>
  <si>
    <t>Lin, K.-Y.; Huang, T.K.</t>
  </si>
  <si>
    <t>Shopping in the digital world: How augmented reality mobile applications trigger customer engagement</t>
  </si>
  <si>
    <t>The maturation and growing popularity of augmented reality (AR) technology in recent years have promoted its implementation, leading to the emergence of various AR-related applications. Integrating AR into commerce can enhance marketing initiatives by increasing popularity and brand appeal, which in turn affects customer brand engagement behavior. Consequently, brand owners and retailers are increasingly investing in the AR commercial services sector. To explore the factors that influence customer engagement with AR commercial systems, this study draws on innovation diffusion theory and flow theory and incorporates the satisfaction factor. An integrated research model is proposed to investigate the attributes of AR technology that create a flow experience for users and satisfaction with AR services, ultimately fostering customer engagement intentions. Data from 212 valid online questionnaires were analyzed using structural equation modeling. The findings suggest that both flow experience and user satisfaction are important drivers of customers' engagement with AR commercial services. Interactivity, vividness, and novelty are identified as the critical factors affecting users’ flow experience and satisfaction. The implications of the findings are discussed. © 2024 Elsevier B.V., All rights reserved.</t>
  </si>
  <si>
    <t>Customer satisfaction; Sales; Augmented reality; Augmented reality technology; Commercial services; Customer engagement; Diffusions of innovation theories; Digital world; Flow experience; Flow theories; Mobile applications; Users' satisfactions; consumption behavior; innovation; marketing; retailing; shopping activity; technology diffusion</t>
  </si>
  <si>
    <t>Balakrishnan, J.; Dwivedi, Y.K.; Hughes, L.; Boy, F.</t>
  </si>
  <si>
    <t>Enablers and Inhibitors of AI-Powered Voice Assistants: A Dual-Factor Approach by Integrating the Status Quo Bias and Technology Acceptance Model</t>
  </si>
  <si>
    <t>This study investigates the factors that build resistance and attitude towards AI voice assistants (AIVA). A theoretical model is proposed using the dual-factor framework by integrating status quo bias factors (sunk cost, regret avoidance, inertia, perceived value, switching costs, and perceived threat) and Technology Acceptance Model (TAM; perceived ease of use and perceived usefulness) variables. The study model investigates the relationship between the status quo factors and resistance towards adoption of AIVA, and the relationship between TAM factors and attitudes towards AIVA. A sample of four hundred and twenty was analysed using structural equation modeling to investigate the proposed hypotheses. The results indicate an insignificant relationship between inertia and resistance to AIVA. Perceived value was found to have a negative but significant relationship with resistance to AIVA. Further, the study also found that inertia significantly differs across gender (male/female) and age groupings. The study's framework and results are posited as adding value to the extant literature and practice, directly related to status quo bias theory, dual-factor model and TAM. © 2024 Elsevier B.V., All rights reserved.</t>
  </si>
  <si>
    <t>Bias factor; Dual-factor model; Factor model; Perceived value; Resistance to change; Status quo; Status quo bias theories; Technology acceptance model; Theoretical modeling; Voice assistant; Artificial intelligence</t>
  </si>
  <si>
    <t>Sanjay, S.; Jadeja, R.; Mittal, M.</t>
  </si>
  <si>
    <t>Practical approaches to agile project management</t>
  </si>
  <si>
    <t>Amidst the relentless pace of the contemporary business landscape, information technology (IT) projects grapple with an escalating challenge - the need to deliver solutions swiftly, adapt to evolving customer demands, and create value within the ever-shifting dynamics of the market. In this demanding environment, the traditional project management paradigms often fall short, necessitating a shift towards methodologies that embody flexibility, customer collaboration, and iterative development. Herein lies the crux of the issue faced by modern IT projects. Practical Approaches to Agile Project Management is a guide in the tumult of IT project complexities. This book provides a comprehensive solution to the complexities of contemporary project management by delving into topics such as alternative pricing models and the alignment of organizational cultures in IT partnerships, making it an indispensable resource for professionals, academics, and students navigating the domains of business, information technology, or project management. This book takes a pioneering approach, leveraging established models like Maslow's Hierarchy and the Kano Model to provide actionable frameworks for understanding customer needs, predicting satisfaction, and crafting compelling solutions. Bridging the gap between theory and practice, it presents pragmatic methodologies for activities such as user story refinement, feature prioritization, and gathering user feedback. Drawing on real-world case studies, the book distills the collective experiences of renowned academics and seasoned professionals into scientifically backed advice, guiding practitioners through the maze of agile IT projects. This is ultimately a guide that equips readers with the knowledge needed to navigate and succeed in the real-world challenges of agile IT initiatives. Primarily aimed at IT professionals involved in project management and service delivery, this book caters to a broad spectrum of individuals, including IT Project Managers, Consultants, Entrepreneurs, and Executives at IT Service Firms. Additionally, it extends its value to Business Leaders undertaking IT-enabled transformations and Academic Researchers delving into the intersection of agile methodologies and IT service delivery. From prioritization strategies for IT Project Managers to frameworks for consultants, entrepreneurs, and executives, this book addresses the diverse needs of its readership, offering practical, evidence-based insights to optimize IT service delivery across various organizational contexts. © 2024 Elsevier B.V., All rights reserved.</t>
  </si>
  <si>
    <t>Majeed, M.</t>
  </si>
  <si>
    <t>Hospitality and tourism value co-creation in the light of artificial intelligence</t>
  </si>
  <si>
    <t>The hotel and tourism industry is undergoing significant changes due to the widespread adoption of digital technologies that enable instant client communication and data gathering. The aim of the chapter was to do a review to understand the AI technologies that influence value co-creation in the hospitality and tourism industry. The author found AI influencing VCC to include natural language processing, chatbot, intelligent agents, voice-activated digital support, personal digital assistants that aid online visitors, ML, etc. The DART model was selected as the primary framework due to its status as a prominent theory and its widespread application in the study of VCC. It was noticed that AI can facilitate dialogue, access, risk, and transparency, leading to customer/guests/visitor engagement. Future research should focus on AI for marketing and promotion. It was concluded that AI technology provides compelling prospects for engaging interactions and virtual gatherings. © 2024 Elsevier B.V., All rights reserved.</t>
  </si>
  <si>
    <t>Kumar, P.; Kumar, S.; Verma, R.; Dadwal, S.</t>
  </si>
  <si>
    <t>Convergence of human resources technologies and industry 5.0</t>
  </si>
  <si>
    <t>Through a combination of rapid technological advancement and the ongoing digital revolution, the role of Human Resources (HR) in shaping organizational trajectories has seen unprecedented growth. The amalgamation of digital HR technologies and the advent of Industry 5.0 pose both exceptional opportunities and formidable challenges, especially for developing economies grappling with resource constraints and skill gaps. These nations stand at a crossroads, where leveraging digital HR technologies becomes imperative for bolstering their competitive edge in the global arena. The book Convergence of Human Resources Technologies and Industry 5.0 undertakes a comprehensive exploration of the impacts, implementation, and repercussions of digital HR technologies within the framework of Industry 5.0 in developing economies. Bridging the gap between theory and practice, it employs a comprehensive approach encompassing theoretical frameworks, empirical investigations, and practical insights from both academia and industry. By offering tangible takeaways, and approaches, it equips readers to adeptly harness the power of digital HR technologies, enabling organizations to thrive in the era of Industry 5.0. Designed for HR professionals, executives, managers, researchers, policymakers, and students, this book delves into critical topics such as understanding the notion of Industry 5.0 in developing economies, exploring the transformative potential of digital HR technologies, and addressing challenges associated with their implementation. Readers will also gain insights into workforce management, talent acquisition, employee engagement, performance evaluation, socio-cultural dimensions, and the pivotal role of leadership in catalyzing digital HR transformations. Convergence of Human Resources Technologies and Industry 5.0 is a guide for navigating the complexities of the digital age, offering many actionable insights for success. © 2024 Elsevier B.V., All rights reserved.</t>
  </si>
  <si>
    <t>Sharma, I.; Aggarwal, A.</t>
  </si>
  <si>
    <t>Innovating for tomorrow: The role of artificial intelligence, robotics, and service automation in travel, tourism, and hospitality</t>
  </si>
  <si>
    <t>This chapter is an intensive insight into the assimilation and influences of robotics, artificial intelligence, and service automation (RAISA) technologies over travel, tourism, and hospitality disciplines. It can be considered a complete study of how contemporary technologies are breaking open new frontiers in customer care, efficacy, and business protocols. The chapter provides a balanced view by discussing both the benefits and challenges of implementing RAISA, including financial implications, labor dynamics, and customer engagement. It delves into case studies and real-world applications, highlighting the transformative role of RAISA in enhancing the guest experience and streamlining industry practices. It also explores the future direction of this technology with forecast scenarios and what is changing in the future. This makes it excellent material for practitioners in industry, scholars in hospitality management, and all other students who wish to know more about technology in hospitality. © 2024 Elsevier B.V., All rights reserved.</t>
  </si>
  <si>
    <t>Lim, X.-J.; Chang, J.Y.-S.; Jun-Hwa, J.-H.; Lim, W.M.; Kraus, S.; Dabić, M.</t>
  </si>
  <si>
    <t>Out of the way, human! Understanding post-adoption of last-mile delivery robots</t>
  </si>
  <si>
    <t>The pace of technological development is exceeding expectations and transforming the landscape of last-mile delivery. This study investigates how users' post-adoption behavior in using delivery robots is formed. Based on the task-technology fit (TTF) model, we present a research model that includes both direct and indirect factors that have been previously overlooked in the literature. We collected data from 550 users of delivery robots. Our structural equation modelling results show that two hedonic- (i.e., gratification and anthropomorphism) and three utilitarian- (i.e., service quality experience, delivery task requirements, and user-facing technology performance) driven factors predict perceived TTF in using delivery robots. Value-in-use and trust have sequential mediating effects that connect perceived TTF and service reuse likelihood and word-of-mouth recommendation. Our findings suggest ways to improve last-mile delivery robot strategies and provide practical implications for the industry. © 2024 Elsevier B.V., All rights reserved.</t>
  </si>
  <si>
    <t>Delivery robot; Indirect factors; Last mile; Last-mile delivery; Post adoptions; Post-adoption behavior; Research models; Task technology fit; Task-technology fit models; Technological development; Robots; adoption behavior; hedonic analysis; robotics; technological development</t>
  </si>
  <si>
    <t>Hollebeek, L.D.; Menidjel, C.; Sarstedt, M.; Jansson, J.; Urbonavičius, S.</t>
  </si>
  <si>
    <t>Engaging consumers through artificially intelligent technologies: Systematic review, conceptual model, and further research</t>
  </si>
  <si>
    <t>While consumer engagement (CE) in the context of artificially intelligent (AI-based) technologies (e.g., chatbots, smart products, voice assistants, or autonomous cars) is gaining traction, the themes characterizing this emerging, interdisciplinary corpus of work remain indeterminate, exposing an important literature-based gap. Addressing this gap, we conduct a systematic review of 89 studies using the Preferred Reporting Items for Systematic reviews and Meta-Analyses (PRISMA) approach to synthesize the AI-based CE literature. Our review yields three major themes of AI-based CE, including (i) Increasingly accurate service provision through AI-based CE; (ii) Capacity of AI-based CE to (co)create consumer-perceived value, and (iii) AI-based CE's reduced consumer effort in their task execution. We also develop a conceptual model that proposes the AI-based CE antecedents of personal, technological, interactional, social, and situational factors, and the AI-based CE consequences of consumer-based, firm-based, and human-AI collaboration outcomes. We conclude by offering pertinent implications for theory development (e.g., by offering future research questions derived from the proposed themes of AI-based CE) and practice (e.g., by reducing consumer-perceived costs of their brand/firm interactions). © 2024 Elsevier B.V., All rights reserved.</t>
  </si>
  <si>
    <t>Satishkumar, D.; Sivaraja, M.</t>
  </si>
  <si>
    <t>Using real-time data and AI for thrust manufacturing</t>
  </si>
  <si>
    <t>In the dynamic world of manufacturing, the industry has grappled with ongoing issues such as expensive machine maintenance, operational inefficiencies, and the production of defective products. The need for informed decision-making to maintain quality, meet deadlines, and prevent disruptions is more crucial than ever. Enter Using Real-Time Data and AI for Thrust Manufacturing, a groundbreaking book that addresses these challenges head-on. As Industry 4.0 transforms the manufacturing sector through the integration of the Internet of Things (IoT) and artificial intelligence (AI), this book serves as a beacon for academic scholars and industry professionals alike, offering profound insights into the world of AI-driven industry solutions. The objective of this book is clear-to revolutionize the manufacturing sector by leveraging human expertise and AI-driven data technologies. By delving into the realms of Industry 4.0, IoT, and AI, the book systematically tackles issues such as costly downtime, inefficient processes, and the production of substandard products. With a focus on turning raw data into meaningful insights, the book explores AI applications like machine learning and deep learning, natural language processing, and machine vision. From predictive maintenance to improved demand forecasting, quality assurance, inspection, and warehouse automation, the book positions AI as the linchpin of "Industry 4.0," ensuring not only cost savings but also safety improvements and supply-chain efficiencies. The target audience for this comprehensive guide includes professionals, policymakers, budding researchers, academicians, and industry experts seeking a deep dive into the transformative power of AI in manufacturing. With a unique thematic focus on AI's societal benefits, resource efficiency, and enhanced quality of life, this book stands out in the global market. The recommended topics within the book cover the spectrum of real-time data and AI applications, intelligent document processing, vendor-manufacturer communication, future trends in AI-enabled manufacturing, and the transformative potential of AI in various manufacturing sub-sectors. Using Real-Time Data and AI for Thrust Manufacturing is the definitive solution for those eager to navigate the complexities of Industry 4.0 and harness the true potential of AI in manufacturing. © 2024 Elsevier B.V., All rights reserved.</t>
  </si>
  <si>
    <t>de Pablos, P.O.; Almunawar, M.N.; Anshari, M.</t>
  </si>
  <si>
    <t>Strengthening sustainable digitalization of Asian economy and society</t>
  </si>
  <si>
    <t>In the ongoing evolution of Asia's economy and society, there is a crucial need to explore innovative conceptual frameworks, empirical studies, and case analyses. These endeavors aim to unravel the intricate relationship between digital transformation and the imperative for fostering a greener, more circular, and climate-neutral Asian economy. Strengthening Sustainable Digitalization of Asian Economy and Society explores the intersection between digital technologies, knowledge management, and sustainable development. The book addresses the challenges and opportunities the digital age poses, examining how advanced information technologies, including artificial intelligence, IoT, and machine learning, coupled with practical knowledge management, can catalyze a transformative journey. Strengthening Sustainable Digitalization of Asian Economy and Society unravels how these digital tools and solutions impact the realization of the Sustainable Development Goals (SDGs) by 2030, offering invaluable insights for academics, researchers, industry players, policymakers, and stakeholders. This book emphasizes the ASEAN region, providing an understanding of the regional nuances in the digital transition by presenting comparative regional studies, including Asia, Europe, the USA, Latin America, Africa, and the Gulf Region. This formidable research book focuses on practicality and is not confined to theoretical discourse. Its emerging topic coverage includes artificial intelligence, circular economy, green economy, climate-neutral economy, and sustainability. The book aligns with the European Commission's Horizon Europe Work Program 2023-2024 objectives, promoting both climate transition and digital transformation. It aims to be a global platform fostering dialogue sharing theories, frameworks, research findings, and case studies to enhance knowledge and scientific collaboration. © 2024 Elsevier B.V., All rights reserved.</t>
  </si>
  <si>
    <t>Gray, L.E.; Dunn, S.D.</t>
  </si>
  <si>
    <t>Humanizing online teaching and learning in higher education</t>
  </si>
  <si>
    <t>The surge in enrollment for online courses is continually increasing. However, beneath the convenience lies a challenge that demands a resolution. Educators, administrators, and instructional designers must ensure that the human element is not lost in the virtual corridors of learning. Students with diverse backgrounds and learning needs require more than a simple virtual classroom. Research reveals a concerning trend: high attrition rates in online courses, often attributed to a lack of engagement and insufficient human interaction. To reverse this trend, deliberate measures must be taken to humanize the online learning environment. This book provides several solutions, offering an array of tools and strategies to promote engagement and infuse the human touch into online spaces. To confront this multi-layered challenge, it becomes paramount to undertake deliberate measures aimed at humanizing the online learning environment. Humanizing Online Teaching and Learning in Higher Education steps forward as a guide, offering an extensive array of tools and strategies meticulously crafted to foster student engagement and infuse the essential human touch into the digital educational landscape. In an era marked by the emergence of technology, this book also serves as a pivotal guide for colleges and universities in their pursuit of forming comprehensive professional development opportunities for online faculty and staff. It offers nuanced insights into leveraging cutting-edge educational technology, including AI, to facilitate deeper and relevant learning experiences that connect students seamlessly to the real world. Ultimately, its aim is to humanize the online learning environment, fostering a more inclusive, engaging, and successful educational landscape that transcends the boundaries of the virtual realm. © 2024 Elsevier B.V., All rights reserved.</t>
  </si>
  <si>
    <t>Hutson, J.; Plate, D.</t>
  </si>
  <si>
    <t>Leveraging AI to personalize and humanize online learning: Transforming transactional interactions into meaningful engagements</t>
  </si>
  <si>
    <t>This chapter explores the potential of artificial intelligence (AI) to personalize and humanize online education, transcending transactional learning. It emphasizes how AI, particularly generative large language models (LLM) utilizing natural language processing (NLP), can foster deeper, human-like interactions between students and educators. Moving away from traditional keyword-based searches, the chapter highlights how AI integrates with tools like search engines and research databases, transforming the way students and teachers think, research, and converse. Despite concerns over the potential dehumanizing impact of AI, the chapter argues that its capabilities can, in fact, actually facilitate continuous and creative engagement, while privileging understanding and creativity over rote memorization. These new generative tools can enhance, not challenge, the human element in online education and promote more authentic assessments in the process. © 2024 Elsevier B.V., All rights reserved.</t>
  </si>
  <si>
    <t>Kumar, R.; Joshi, A.; Sharan, H.O.; Peng, S.-L.; Dudhagara, C.R.</t>
  </si>
  <si>
    <t>The ethical frontier of AI and data analysis</t>
  </si>
  <si>
    <t>In the advancing fields of artificial intelligence (AI) and data science, a pressing ethical dilemma arises. As technology continues its relentless march forward, ethical considerations within these domains become increasingly complex and critical. Bias in algorithms, lack of transparency, data privacy breaches, and the broader societal repercussions of AI applications are demanding urgent attention. This ethical quandary poses a formidable challenge for researchers, academics, and industry professionals alike, threatening the very foundation of responsible technological innovation. Navigating this ethical minefield requires a comprehensive understanding of the multifaceted issues at hand. The Ethical Frontier of AI and Data Analysis is an indispensable resource crafted to address the ethical challenges that define the future of AI and data science. Researchers and academics who find themselves at the forefront of this challenge are grappling with the evolving landscape of AI and data science ethics. Underscoring the need for this book is the current lack of clarity on ethical frameworks, bias mitigation strategies, and the broader societal implications, which hinder progress and leave a void in the discourse. As the demand for responsible AI solutions intensifies, the imperative for this reliable guide that consolidates, explores, and advances the dialogue on ethical considerations grows exponentially. Tailored for researchers, academics, and professionals, this publication serves as a beacon of ethical excellence. With a comprehensive exploration of bias, fairness, transparency, and accountability, it guides readers through the intricate web of ethical considerations. From foundational philosophical frameworks to real-world case studies, the book offers a roadmap to not only understand but actively shape the ethical trajectory of AI and data science. It is more than a book; it serves as a transformative tool for those seeking to align technological innovation with ethical standards and societal values. © 2024 Elsevier B.V., All rights reserved.</t>
  </si>
  <si>
    <t>Zhu, H.; Vigren, O.; Söderberg, I.-L.</t>
  </si>
  <si>
    <t>Implementing artificial intelligence empowered financial advisory services: A literature review and critical research agenda</t>
  </si>
  <si>
    <t>Robo-advisors, also known as robo-advisory services, significantly reshape customer service in financial advisory industries, transforming retail investor markets by substituting human financial advisory experts with artificial intelligence empowered services. However, existing literature remains scattered across disciplines, with theories on financial customer service predominantly focused on Internet banking, neglecting artificial intelligence empowered interactions. Thus, service providers need a framework for implementing robo-advisors in frontline service and researchers require an advanced agenda to stimulate future research. Through a systematic, interdisciplinary literature review based on Belanche et al.’s service robot framework, this article contextualizes service robot theories into financial advisory services, synthesizing knowledge on artificial intelligence empowered customer service. We contribute to literature on service robots by contextualizing, refining, and extending the original framework by Belanche et al. and by developing a research agenda with critical perspectives. Moreover, the study yields practical and theoretical insights into artificial intelligence empowered financial advisory services. © 2024 Elsevier B.V., All rights reserved.</t>
  </si>
  <si>
    <t>Ivanov, S.; Webster, C.</t>
  </si>
  <si>
    <t>Automated decision-making: Hoteliers’ perceptions</t>
  </si>
  <si>
    <t>The paper investigates the attitudes of hoteliers towards the use of artificial intelligence in the decision-making process in various departments within hotels. It evaluates the preferences towards four decision-making approaches (‘human only’, ‘human-in-the-loop’, ‘human-on-the-loop’ and ‘human-out-of-the-loop’) applied to 23 decisions in 8 hotel departments. The sample includes 130 respondents from the Bulgarian hotel industry. Two clusters of managers are identified based on their attitudes towards AI technologies, with the majority having a positive view of the technology and a minority being sceptical of such technology for hotel decision-making. Hoteliers show a preference to delegate decisions to AI for decisions that do not require much emotional intelligence or interactions with customers/employees. The personal characteristics of the managers (biological sex, age, education, work experience and job position) and the characteristics of the properties they manage (size, category and location) play no role in shaping managers' preferences towards the AI decision-making approach. The findings also indicate that general attitudes towards AI are the best indicator of whether an individual prefers the use of AI for a particular type of decision. © 2023 Elsevier B.V., All rights reserved.</t>
  </si>
  <si>
    <t>Artificial intelligence; Automation; Behavioral research; Decision making; AI Technologies; Automated decision making; Decision-making process; Decisions makings; Emotional intelligence; Emotional interactions; Hotel industry; Human-in-the-loop; Managerial decision making; Personal characteristics; Hotels; artificial intelligence; automation; decision making; hotel industry; perception; technological change; technological development</t>
  </si>
  <si>
    <t>Al Naqbi, H.; Bahroun, Z.; Ahmed, V.</t>
  </si>
  <si>
    <t>Enhancing Work Productivity through Generative Artificial Intelligence: A Comprehensive Literature Review</t>
  </si>
  <si>
    <t>In this review, utilizing the PRISMA methodology, a comprehensive analysis of the use of Generative Artificial Intelligence (GAI) across diverse professional sectors is presented, drawing from 159 selected research publications. This study provides an insightful overview of the impact of GAI on enhancing institutional performance and work productivity, with a specific focus on sectors including academia, research, technology, communications, agriculture, government, and business. It highlights the critical role of GAI in navigating AI challenges, ethical considerations, and the importance of analytical thinking in these domains. The research conducts a detailed content analysis, uncovering significant trends and gaps in current GAI applications and projecting future prospects. A key aspect of this study is the bibliometric analysis, which identifies dominant tools like Chatbots and Conversational Agents, notably ChatGPT, as central to GAI’s evolution. The findings indicate a robust and accelerating trend in GAI research, expected to continue through 2024 and beyond. Additionally, this study points to potential future research directions, emphasizing the need for improved GAI design and strategic long-term planning, particularly in assessing its impact on user experience across various professional fields. © 2024 Elsevier B.V., All rights reserved.</t>
  </si>
  <si>
    <t>artificial intelligence; bibliography; design; ethics; future prospect; knowledge; literature review; performance assessment; research work; software</t>
  </si>
  <si>
    <t>Raff, S.; Rose, S.; Huynh, T.</t>
  </si>
  <si>
    <t>Perceived creepiness in response to smart home assistants: A multi-method study</t>
  </si>
  <si>
    <t>Smart home assistants (SHAs) have gained a foothold in many households. Although SHAs have many beneficial capabilities, they also have characteristics that are colloquially described as creepy – a fact that may deter potential users from adopting and utilizing them. Previous research has examined SHAs neither from the perspective of resistance nor the perspective of creepiness. The present research addresses this gap and adopts a multi-method research design with four sequential studies. Study 1 serves as a pre-study and provides initial exploratory insights into the concept of creepiness in the context of SHAs. Study 2 focuses on developing a measurement instrument to assess perceived creepiness. Study 3 uses an online experiment to test the nomological validity of the construct of creepiness in a larger conceptual model. Study 4 further elucidates the underlying behavioral dynamics using focus group analysis. The findings contribute to the literature on the dark side of smart technology by analyzing the triggers and mechanisms underlying perceived creepiness as a novel inhibitor to SHAs. In addition, this study provides actionable design recommendations that allow practitioners to mitigate end users’ potential perceptions of creepiness associated with SHAs and similar smart technologies. © 2023 Elsevier B.V., All rights reserved.</t>
  </si>
  <si>
    <t>Multi methods; Multi-method study; Perceived creepiness; Potential users; Smart home assistant; Smart Home Technology; Smart homes; Smart products; Smart technology; Technology resistance; Automation</t>
  </si>
  <si>
    <t>Park, H.; Jiang, S.; Lee, O.-K.D.; Chang, Y.</t>
  </si>
  <si>
    <t>Exploring the Attractiveness of Service Robots in the Hospitality Industry: Analysis of Online Reviews</t>
  </si>
  <si>
    <t>As the hospitality industry has begun adopting service robots to replace frontline human services, service robots’ attractiveness becomes a salient factor in their design and implementation. However, it is unclear what consist of service robots’ attractiveness and how they affect customer responses. This study examines the effects of multiple dimensions of service robots’ attractiveness on customers’ emotions using a text mining approach. For the data analysis, we collected 50,629 online reviews on 59 hotels and restaurants using service robots from the largest social commerce platform in China. Using the Linguistic Inquiry and Word Count (LIWC) method, we analyzed 7570 online reviews that are directly related to service robots. With the LIWC outcomes, the relationships between the attractiveness dimensions and customer emotions were investigated. Based on our findings, finally, we provide propositions for understanding the attractiveness of service robots. The theoretical and practical implications of the findings are discussed. © 2024 Elsevier B.V., All rights reserved.</t>
  </si>
  <si>
    <t>Intelligent robots; Machine design; Mobile robots; Sales; Attractiveness; Content analysis; Customer emotions; Emotion; Hospitality industry; Hospitality service; Human robot interaction; Humans-robot interactions; Online reviews; Service robots</t>
  </si>
  <si>
    <t>So, K.K.F.; Kim, H.; Liu, S.Q.; Fang, X.; Wirtz, J.</t>
  </si>
  <si>
    <t>Service robots: the dynamic effects of anthropomorphism and functional perceptions on consumers’ responses</t>
  </si>
  <si>
    <t>Purpose: Although humanoid robots are increasingly adopted in many business settings, the dynamic effects of anthropomorphism and the functional perceptions of service robots on consumers’ responses remain unclear. This paper aims to examine the impacts of robot anthropomorphism on consumers’ trust, receptivity and the downstream effect on satisfaction. Furthermore, it examines the mediating effects of perceived ease of use (PEOU) and perceived usefulness (PU) in the relationship between anthropomorphism and consumer responses. Design/methodology/approach: After conducting two separate pilot studies to help design the research materials, this research involves three sequential studies. In studies 1A and 1B, the authors used two distinct humanoid robots (i.e. Connie and Pepper) to test the direct effects of anthropomorphism on trust and receptivity and the mediated effects via PEOU and PU. Study 2 conducted a 2 (robot appearance: machine-like vs. human-like) × 2 (task complexity: low vs. high) between-subjects experimental design to further explore the boundary effects of task complexity on trust and customer satisfaction. Findings: This research theorizes and empirically examines the mediating effects of PEOU and PU in the relationship between anthropomorphism and consumers’ responses (i.e. trust and receptivity) to service robots. Results also demonstrate a moderating role of task complexity, whereby only when the task was complex did anthropomorphism affect consumer responses and customer satisfaction. The parallel mediations of PEOU and PU were also confirmed. However, when task complexity was low, the authors observed no differences between human- and machine-like robots. Research limitations/implications: First, this research used a scenario-based method by exposing participants to different pictures or videos of service robots and measuring individuals’ responses. Consumers may respond differently upon interacting with robots in actual service contexts. Second, future research could investigate the effects of other aspects of anthropomorphism, such as robots’ voice characteristics (gender, high/low pitch), verbal communication styles and emotional expression. Finally, future research could explore other service contexts to test the generalizability of the findings. Practical implications: Findings of this study also provide useful insight for companies interested in adopting service robots. First, the authors unearthed several positive outcomes of using human-like versus machine-like robots in service settings. Despite concerns about the perceived creepiness and discomfort associated with human-like robots, managers should not worry about these service agents’ potential negative effects. Second, it shows that human-like robots’ competitive advantage over machine-like robots stands out when task complexity is high. Managers should therefore carefully consider relevant service characteristics and task requirements when deciding whether to adopt robots. Originality/value: This study provides original and valuable contributions to the growing literature on service robots by addressing scholarly incongruencies regarding the impact of anthropomorphism and disentangling its positive influence on consumers’ perceptions and acceptance of service robots. This study also contributes to research on technology acceptance and service robot receptivity by empirically demonstrating the mediating role of PEOU and PU. Furthermore, this research enriches the body of knowledge on task-technology fit by providing evidence that task complexity is a crucial factor to consider in service robot design. © 2024 Elsevier B.V., All rights reserved.</t>
  </si>
  <si>
    <t>Moez, M.</t>
  </si>
  <si>
    <t>Advances in Digital Marketing in the Era of Artificial Intelligence: Case Studies and Data Analysis for Business Problem Solving</t>
  </si>
  <si>
    <t>This book highlights the technological advances that are transforming the future of digital marketing and covers important areas of research in this field. The book demonstrates advances in digital marketing as well as tools, techniques, methods and strategies based on artificial intelligence. It also identifies gaps in research into effective digital marketing tools, techniques and methods, and it bridges the interaction between digital marketing strategies and organisations’ business plans, on the one hand, and customer relations, on the other, in the age of artificial intelligence. This book presents the concepts and applications of digital marketing in the age of artificial intelligence to readers in a comprehensive manner. The book highlights the major breakthroughs and technologies in digital marketing for effective interaction, analysis, prediction and design to formulate the best strategy for a business by using artificial intelligence solutions. This enables specialists to apply advances in digital marketing in the age of artificial intelligence in the right way to serve customers and solve business problems in this competitive age. Covering the intersection of marketing and artificial intelligence, this book is a first-rate reference and an indispensable resource for business leaders, academics, salespeople, marketing professionals, managers, business owners, researchers, practitioners, instructors, college and university libraries, students, consultants, businesspeople, computer scientists, and customer-focused institutions. © 2025 Elsevier B.V., All rights reserved.</t>
  </si>
  <si>
    <t>Competitive intelligence; Data reduction; Digital libraries; Electronic commerce; Public relations; Sales; Students; Business plans; Business problems; Case-studies; Customer relations; Digital marketing; Digital tools; Marketing strategy; Marketing tools; Problem-solving; Technological advances; Problem solving</t>
  </si>
  <si>
    <t>Maldonado-Canca, L.-A.; Cabrera-Sánchez, J.-P.; Casado, A.-M.; Bermúdez-González, G.</t>
  </si>
  <si>
    <t>AI in Companies' Production Processes: What Do Their CEOs Think?</t>
  </si>
  <si>
    <t>The accelerated integration of Artificial Intelligence (AI) in comprehensive organizational management has marked a significant milestone in enhancing efficiency and productivity across all sectors. However, the effective adoption of this emerging technology faces significant challenges, such as ethical dilemmas, organizational barriers, and a notable deficit in relevant technological skills. This study embarks on a detailed analysis of the crucial determinants influencing the adoption of AI by companies, enhancing the UTAUT model with four new variables: Response Costs, Trust in AI, AI Anxiety, and Environmental Sustainability. Through surveys directed at over 400 CEOs of companies, this work reveals that facilitating conditions, performance expectancy, response costs, trust in AI, and AI anxiety determine the adoption of this new technology in their companies. These findings contribute to identifying which factors, from a managerial perspective, should be considered as more than sufficient reasons for AI to be implemented in their production processes. © 2025 Elsevier B.V., All rights reserved.</t>
  </si>
  <si>
    <t>Cleaner production; Artificial intelligence; Artificial intelligence anxiety; Artificial intelligence implementation; Emerging technologies; Environmental sustainability; Internal process; Organizational management; Production process; Response cost; Trust in artificial intelligence; Costs</t>
  </si>
  <si>
    <t>Riswandi, B.A.; Singh, B.; Kaunert, C.; Vig, K.</t>
  </si>
  <si>
    <t>AI Applications for Clean Energy and Sustainability</t>
  </si>
  <si>
    <t>The global demand for clean energy solutions the urgency of addressing climate change continue to intensify, and as such, the need for innovative approaches becomes increasingly paramount. However, navigating the complex landscape of clean energy production and sustainability presents significant challenges. Traditional methods often fall short in efficiently optimizing renewable energy systems and mitigating environmental impacts. Moreover, the integration of artificial intelligence (AI) into the energy sector remains underexplored, despite its potential to revolutionize operations and drive sustainable development. © 2024 Elsevier B.V., All rights reserved.</t>
  </si>
  <si>
    <t>Tubis, A.</t>
  </si>
  <si>
    <t>The New Paradigm of Risk in Internal Transport Supporting Logistics 4.0 System</t>
  </si>
  <si>
    <t>This book proposes a new approach to risk assessment in internal transport supporting material flows in the Logistics 4.0 system. The development of Industry 4.0 and the accompanying digitization of processes in organizations cause changes related to the functioning of production and supporting systems. As the research proves, one of the areas of such change is the evolution of the risk occurring in logistics processes. Despite the growing number of publications on risk assessment in Logistics 4.0 systems, the research focuses solely on technical aspects related to the maintenance of cyber-physical systems or organizational issues related to planning the operation of these systems. However, the currently developed Logistics 4.0 systems are complex cyber-human-technical system, requiring an interdisciplinary approach to assessing the risk associated with their operation. The literature research conducted by the author showed a clear research gap regarding risk assessment methods that consider the specific nature of internal logistics systems operating in the Industry 4.0 environment. The purpose of the monograph is to present current risk assessment methods and indicate process and system changes related to implementing Industry 4.0 solutions in internal transport systems. On this basis, a risk assessment method that perceives internal transport as a complex human-cyber-physical system was proposed. This method was developed based on a critical literature analysis, which allowed to identify the current research gap and the author's research in enterprises implementing Industry 4.0 solutions. Therefore, the results presented in the book are the basis for developing the risk management concept, offering a new body of knowledge regarding activated threats and the evolution of risk occurring in autonomous and automatic internal transport systems. The presented research results are also of utilitarian importance, as they provide analytical tools and formulate conclusions constituting good practices for modern enterprises interested in digitizing and automating logistics processes. © 2025 Elsevier B.V., All rights reserved.</t>
  </si>
  <si>
    <t>Gómez Gandía, J.A.G.; Blanco-González-Tejero, C.B.; Miguel, Á.J.Á.</t>
  </si>
  <si>
    <t>New Lines of Business Development: Artificial Intelligence in Business</t>
  </si>
  <si>
    <t>This chapter provides an analysis of the different doctrines and learnings framed at the intersection of Artificial Intelligence (AI) and business development. Thus, it explores how AI has evolved to drive the creation of new business opportunities in the dynamic international environment. In the first section, we define AI and its evolutionary trajectory in the context of new business. The fundamentals of AI in business development are broken down in the second section, covering the essential concepts of AI as applied to business management and how this technology empowers the identification of emerging opportunities and trends in the marketplace. Section three examines specific applications of AI in the creation of new lines of business, focusing on the identification of market opportunities. As we move forward, the fourth section explores the strategic integration of AI into the business environment. The importance of a business culture open to innovation and technology is highlighted, along with the implementation of digital transformation strategies to facilitate the effective adoption of AI. The analysis progresses to the fifth section, where the future of AI in business development is projected, highlighting technological advances and the continued potential of AI to create new business opportunities. Finally, the sixth section draws conclusions, recapping the fundamental role of AI in the development of new lines of business, as well as the implications and challenges facing companies and entrepreneurs in this era of AI-driven transformation. Taken together, this analysis highlights how AI has emerged as an essential tool for innovation and business strategy, triggering an ever-evolving landscape. © 2024 Elsevier B.V., All rights reserved.</t>
  </si>
  <si>
    <t>Han, X.; Xiao, S.; Sheng, J.; Zhang, G.</t>
  </si>
  <si>
    <t>Enhancing Efficiency and Decision-Making in Higher Education Through Intelligent Commercial Integration: Leveraging Artificial Intelligence</t>
  </si>
  <si>
    <t>The integration of artificial intelligence (AI) into financial management processes within academic institutions has ushered in a transformative era. This research paper delves into the profound implications of AI-driven financial integration, emphasizing its significance in aligning academic financial service functions with greater cohesion and efficiency. The establishment of intelligent financial systems, underpinned by meticulous data management and AI capabilities, has redefined the landscape of financial management in colleges and universities. This study explores the intricate relationship between AI-driven financial integration and its impact on job responsibilities and financial positions. It uncovers gaps in existing research and formulates pertinent questions to deepen our understanding of the integration process between industry and finance in the intelligent era. The research revolves around constructing a three-level financial management intelligent system, encompassing fine management, cost-effective operations, and enhancing links in financial processes. The findings underscore the transformative potential of AI in streamlining financial operations, emphasizing its role in liberating financial personnel from routine tasks. This paradigm shift not only streamlines financial operations but also augments financial productivity, unlocking the full potential of financial management within academic institutions. Theoretical implications highlight the need for ongoing theoretical development to accommodate the evolving role of AI in financial ecosystems. Managerial implications advocate for the strategic adoption of AI-driven financial platforms, fostering a culture of creativity and strategic contributions. Proactive managerial involvement in AI adoption can yield substantial benefits, requiring a nuanced approach to organizational change management and continuous innovation. This research paper paves the way for a more intelligent and integrated future in academic financial management, with AI driving efficiency and adaptability. © 2024 Elsevier B.V., All rights reserved.</t>
  </si>
  <si>
    <t>Rahim, R.; Chishti, M.A.</t>
  </si>
  <si>
    <t>Artificial Intelligence Applications in Accounting and Finance</t>
  </si>
  <si>
    <t>The world of Industry 4.0 embraces the transformation that calls for strategic investments, cooperative partnerships, and a proactive approach to overcome obstacles to successfully transition to smarter, more connected, and more efficient in- dustrial ecosystems. The accounting and finance industry has benefited greatly from process modernization, which has resulted in a significant decrease in the use of the traditional system through the integration of digital technologies. The use of various artificial intelligence technologies such as expert systems for audit and taxation, intelligent agents for customer service, Natural Language Processing (NLP), Robotic Process Automation (RPA), Blockchain, data analytics, and machine learning for decision- making has been proposed to automate, streamline, and improve the efficiency of various tasks and processes in accounting and finance operations. The study specifically investigates how the incorporation of AI technologies affects the reliability &amp; timeliness of financial &amp; accounting processes. The paper also presents some use cases and AI applications relevant to this field. © 2024 Elsevier B.V., All rights reserved.</t>
  </si>
  <si>
    <t>Data Analytics; Decision making; Expert systems; Intelligent robots; Investments; Natural language processing systems; Taxation; Accounting; Digital technologies; Finance industries; Language processing; ML; Natural language processing; Natural languages; Pro-active approach; Strategic investments; Traditional systems; Intelligent agents</t>
  </si>
  <si>
    <t>Xie, Y.; Liang, C.; Zhou, P.; Jiang, L.</t>
  </si>
  <si>
    <t>Exploring the influence mechanism of chatbot-expressed humor on service satisfaction in online customer service</t>
  </si>
  <si>
    <t>As chatbots gain widespread adoption in online customer service, optimizing their inherent value and enhancing customer satisfaction emerges as an indispensable concern necessitating attention. Therefore, this study focuses on the effect of chatbot-expressed humor on customer service satisfaction from the perspective of emotional expression and constructs three mediating pathways (cognitive, emotional, and social). The results of two online and one laboratory-based experiment show that chatbot-expressed humor can significantly enhance customer service satisfaction. The impact of humor on service satisfaction was mediated by competence, entertainment, and social presence. Moreover, identity disclosure exerts a negative moderating influence on the association between chatbot-expressed humor and both service satisfaction and competence. Through this study, we hope to provide ideas for online service providers to adopt AI strategies and for product designers to improve the design of chatbots. © 2023 Elsevier B.V., All rights reserved.</t>
  </si>
  <si>
    <t>artificial intelligence; cognition; electronic commerce; experimental study; Internet</t>
  </si>
  <si>
    <t>Başer, M.Y.; Büyükbeşe, T.; Durmaz, Y.</t>
  </si>
  <si>
    <t>“Yes, It’s Cute, But How Can I Be Sure It’s Safe or Not?” Investigating the Intention to Use Service Robots in the Context of Privacy Calculus</t>
  </si>
  <si>
    <t>Technological advancements have made artificial intelligence and robotic systems more functional, intelligent as well vulnerable. This development caused fresh discussions about service robots in tourism and hospitality service settings where privacy is crucial. One of these discussions is the privacy of personal information and the attitude toward service robots. With a focus on current discussions, this study aims to explore the relationship between the perceived benefits and risks of disclosing personal information and the intention to use service robots. This study also hypothesized that willingness to disclose information privacy influence the intention to use service robot. In this study, an online survey was used as a method of quantitative research. A total of 541 responses were received during the data collection process. Model and hypotheses were tested using partial least squares structural equation modelling. The results of this research showed that perceived personalization and personal innovativeness were associated with the perceived benefits of information disclosure. Meanwhile, it was found that the unauthorized secondary use of personal data and perceived policy effectiveness were negatively related to the perceived risks of information disclosure. Overall, the results indicated that perceptions of disclosing personal information under privacy calculus were related to the intention to use a service robot. © 2024 Elsevier B.V., All rights reserved.</t>
  </si>
  <si>
    <t>Data privacy; Information use; Intelligent robots; Calculus theories; Information disclosure; Intention to use; Intention to use service robot; Perceived risk; Personal information; Privacy; Privacy calculus theory; Service robots; Willingness to disclose information; Mobile robots</t>
  </si>
  <si>
    <t>Nasheri, H.</t>
  </si>
  <si>
    <t>Emerging Technologies, Novel Crimes, and Security: The Good, the Bad, and the Ugly</t>
  </si>
  <si>
    <t>This book provides a holistic overview of the complexities of modern technological advances and their implications for crime and security. It examines the societal dilemmas that accompany these technologies, their strategic impact on geopolitics, governments, business, and civil society. The increasingly interconnected world gives rise to novel crimes and creates a new, complex set of threats. Understanding this landscape is essential to strategizing for the prevention, protection, mitigation, and risk assessment of technology- related crime. Practical and approachable, this book builds knowledge and awareness of the impact of emerging technologies on crime and security among professionals, students, academicians, researchers, and policymakers. © 2025 Elsevier B.V., All rights reserved.</t>
  </si>
  <si>
    <t>Crime; Civil society; Emerging technologies; Policy makers; Professional students; Risks assessments; Strategic impacts; Technological advances; Risk assessment</t>
  </si>
  <si>
    <t>Özsungur, F.</t>
  </si>
  <si>
    <t>Navigating Organizational Behavior in the Digital Age with AI</t>
  </si>
  <si>
    <t>Artificial Intelligence (AI) has evolved from a futuristic concept into a powerful force that is transforming industries and organizations across the globe. The impact of AI on organizational behavior, leadership, talent management, ethics, and strategic decision-making is profound, especially within the corporate landscape. As organizations adapt to the digital age, understanding how AI reshapes key areas of management is critical for staying competitive and innovative. Navigating Organizational Behavior in the Digital Age With AI provides a comprehensive exploration of AI's integration within organizations, covering its influence on decision-making, conflict resolution, performance management, diversity, and ethics. This book offers valuable insights into AI's role in shaping modern work environments, enhancing talent acquisition, and driving inclusive workplaces. It serves as a vital resource for academics, researchers, corporate leaders, HR professionals, and policymakers seeking to understand AI's broader impact on organizational practices and its implications for the future of work. © 2025 Elsevier B.V., All rights reserved.</t>
  </si>
  <si>
    <t>Decision making; Conflict Resolution; Corporates; Decisions makings; Digital age; Management decisions; Management ethics; Management IS; Organizational behavior; Strategic decision making; Talent management; Artificial intelligence</t>
  </si>
  <si>
    <t>Bia</t>
  </si>
  <si>
    <t>Kalimuthu, M.; Jith, R.; Sripriya, V.; Savarimuthu, A.; Ravinder, D.; Ali, M.; Herath, R.P.</t>
  </si>
  <si>
    <t>Intelligent Process Automation and Its Implications for the Marketing Industry</t>
  </si>
  <si>
    <t>Intelligent process automation (IPA) integrates artificial intelligence (AI), machine learning (ML), robotic process automation (RPA), and data analytics to streamline business processes, enhance efficiency, and drive innovation. IPA automates complex tasks, adapts to changing conditions, and learns from data patterns, significantly transforming modern business practices. This chapter explores IPA’s implications for the marketing industry, focusing on its technological components, applications, benefits, and challenges. IPA enables organizations to automate repetitive tasks, optimize operations, and improve accuracy, freeing up resources for strategic initiatives. In marketing, IPA enhances campaign management, customer segmentation, and personalization, facilitating targeted and effective strategies. However, IPA implementation faces challenges such as integration complexities, data security risks, and regulatory compliance. Drawing on case studies and examples, this work highlights IPA’s quantitative benefits, including efficiency gains and cost savings, as well as qualitative advantages such as enhanced customer experiences. It also identifies future trends in IPA, predicting continued advancements in AI- driven automation and their impact on marketing strategies. This chapter provides valuable insights for marketers, offering recommendations for successful IPA adoption while navigating its complexities in the evolving digital landscape. © 2025 Elsevier B.V., All rights reserved.</t>
  </si>
  <si>
    <t>Artificial intelligence; Automation; Commerce; Data accuracy; Data integration; Efficiency; Learning systems; Marketing; Security of data; Business Process; Complex task; Condition; Data analytics; Data patterns; Intelligent process automation; Learn+; Machine-learning; Process automation; Process data; Regulatory compliance</t>
  </si>
  <si>
    <t>Carvalho, M.A.M.; Rodrigues, M.A.; Pratas, J.M.</t>
  </si>
  <si>
    <t>Adapting to Evolving Consumer Experiences in Hospitality and Tourism</t>
  </si>
  <si>
    <t>The tourism industry faces various challenges, including environmental concerns and the rapid emergence of new technologies. To remain competitive, tourism companies must adapt, innovate, and anticipate future market needs. As consumers become more aware of social and environmental issues, tourism trends like ecotourism and indigenous tourism are gaining traction. Technology also plays a pivotal role, enhancing personalization and service delivery through innovations like AI and robotics. Additionally, the rise of online platforms and social media influencers has transformed how people plan and experience travel, highlighting the need for further research into these evolving dynamics. Adapting to Evolving Consumer Experiences in Hospitality and Tourism offers a comprehensive blend of theoretical insights and empirical research. It delves into sustainable practices, customer experiences, co-creation dynamics, technology-driven tourism encounters, and emerging paradigms in digital marketing. Covering topics such as artificial intelligence (AI), influencer marketing, and virtual tourism, this book is an excellent resource for professionals, graduate and postgraduate students, and researchers in the tourism and hospitality industry. © 2025 Elsevier B.V., All rights reserved.</t>
  </si>
  <si>
    <t>Artificial intelligence; Commerce; Engineering education; Environmental technology; Leisure industry; Tourism; User experience; Eco-tourisms; Environmental concerns; Environmental issues; Market needs; Online platforms; Personalizations; Service delivery; Social and environmental; Social issues; Tourism industry; Students</t>
  </si>
  <si>
    <t>Knof, M.; Stock-Homburg, R.; Wirtz, J.</t>
  </si>
  <si>
    <t>Navigating the Rise of Service Robots - Success Factors, Trade-Offs, and Implementation</t>
  </si>
  <si>
    <t>Service robots, a form of physically embodied AI, belong to the most promising information technologies. However, their implementation is costly and often fails. This study examines success factors of service robot implementation. Our grounded theory-based study includes 14 cases from seven industries and three countries. It contributes to IS research by identifying the following six critical factors (of which two feature inherent trade-offs) for the successful implementation of information systems: (1) Start with a viable use case. (2) Balance a productivity-oriented follower with a marketing-driven innovator strategy. (3) Trade-off greenfield versus legacy environments in terms of timing and scope of implementation projects. (4) Focus on employee acceptance and engage them early. (5) Redesign processes, use a wholistic process redesign approach. (6) Select suitable technology solutions. Based on our findings, we developed a three-stage framework that integrates our theoretical findings and can serve as an implementation guide for service robots. © 2025 Elsevier B.V., All rights reserved.</t>
  </si>
  <si>
    <t>Information systems; Information use; Marketing; Robots; Case study research; Critical factors; Greenfield; Grounded theory; Information systems implementation; Physical AI; Robot implementation; Service robots; Success factors; Trade off; Economic and social effects</t>
  </si>
  <si>
    <t>Wu, X.; Wang, Q.; Oshri, I.</t>
  </si>
  <si>
    <t>Artificial Intelligence and Value Co-Creation in Service Frontlines: The Mediating Effect of Customer-Engagement</t>
  </si>
  <si>
    <t>As artificial intelligence (AI) increasingly penetrates service frontlines, understanding its role in creating business value is crucial for leveraging it strategically. Grounded in service-dominant logic, our study examines how AI reshapes the paradigm of value co-creation in service frontlines, incorporating mechanical intelligence, which addresses service automation, and feeling intelligence, which manages interactions with customers. We hypothesize that these two types of AI contribute to co-created value through enhanced functional, emotional, and social customer engagement. By conducting text and regression analyses of a large dataset of hotel reviews, our findings indicate that mechanical intelligence contributes to co-created value by facilitating customers' functional engagement, while feeling intelligence contributes to co-created value by facilitating customers' emotional and social engagement. Additionally, our results show that the pathways for co-creating value with AI have been significantly strengthened after the COVID-19 pandemic. © 2025 Elsevier B.V., All rights reserved.</t>
  </si>
  <si>
    <t>Information systems; Information use; Large datasets; Sales; Business value; Customer engagement; Emotional engagements; Frontline; Functionals; Mechanical intelligence; Mediating effect; Service-dominant Logic; Value co creations; Artificial intelligence</t>
  </si>
  <si>
    <t>Tunio, M.N.</t>
  </si>
  <si>
    <t>AI, Corporate Social Responsibility, and Marketing in Modern Organizations</t>
  </si>
  <si>
    <t>In the contemporary business landscape, the intersection of artificial intelligence (AI), corporate social responsibility (CSR), and marketing is reshaping how organizations engage with consumers and promote their values. AI technologies are enabling companies to analyze consumer behavior, tailor marketing strategies, and measure the impact of their CSR initiatives. This integration allows businesses to enhance their brand image while demonstrating commitment to social and environmental issues, building deeper connections with customers who prioritize ethical practices. As organizations navigate this evolving terrain, leveraging AI to drive CSR efforts becomes essential for building trust, enhancing reputation, and achieving sustainable growth in a socially conscious market. AI, Corporate Social Responsibility, and Marketing in Modern Organizations explores the integration of intelligent technology, CSR, and marketing in today’s organizations and businesses. The effects of these practices are examined, along with solutions for improved consumer marketing, communication across sectors, and internal management. This book covers topics such as automation technology, hotel management, and market intelligence, and is a useful resource for computer engineers, business owners, entrepreneurs, marketers, academicians, and researchers. © 2025 Elsevier B.V., All rights reserved.</t>
  </si>
  <si>
    <t>Artificial intelligence; Commerce; Economic and social effects; Social aspects; Sustainable development; Artificial intelligence technologies; Brand image; Corporate social responsibility; Environmental issues; Marketing IS; Marketing strategy; Social and environmental; Social issues; Social marketings; Strategies and measures; Consumer behavior</t>
  </si>
  <si>
    <t>Kuhar, N.; Kumria, P.; Rani, S.</t>
  </si>
  <si>
    <t>Overview of Applications of Artificial Intelligence (AI) in Diverse Fields</t>
  </si>
  <si>
    <t>Artificial Intelligence is the ability of a system or a program to think and learn from experience. AI applications have significantly evolved over the past few years and have found their applications in almost every business sector. From chat-bots handling customer service inquiries to predictive analytics optimizing supply chain management, AI is transforming how businesses operate. In the current chapter, applications of AI in various fields have been discussed such as science, education, healthcare, defense, e-commerce, finance, etc. Importance and utilization of AI in wastewater treatment have been discussed at the end of the chapter. In the field of wastewater treatment, AI technology has proven to be a game-changer. By harnessing the power of artificial intelligence, various stages of wastewater treatment can be optimized in real-time. AI algorithms can continuously monitor and adjust param-eters such as chemical dosages, aeration rates, and sludge management to ensure maximum efficiency and effectiveness in the treatment process. The integration of AI in wastewater treatment not only enhances the overall performance but also paves the way for sustainable and innovative solutions in managing our water resources effectively. © 2025 Elsevier B.V., All rights reserved.</t>
  </si>
  <si>
    <t>Convolutional neural networks; Electronic commerce; Investments; Reclamation; Recurrent neural networks; Supply chain management; Supply chains; Support vector machines; Water conservation; Convolutional neural network; Diverse fields; Learn+; Machzine learning; Neural-networks; Recurrent neural network; Support vector machine; Support vectors machine; Waste-water treatment; Wastewater treatment</t>
  </si>
  <si>
    <t>Varghese, B.; Sandhya, H.</t>
  </si>
  <si>
    <t>Advancing Smart Tourism Through Analytics</t>
  </si>
  <si>
    <t>The tourism industry is rapidly evolving, driven by technological advancements and the increasing demand for personalized, immersive experiences. However, many businesses need help to effectively harness the power of data analytics and artificial intelligence (AI) to meet these evolving demands. The need for more understanding and expertise in utilizing AI-driven data analytics poses a significant challenge for professionals in the tourism sector, hindering their ability to drive operational efficiency and enhance decision-making. Advancing Smart Tourism Through Analytics provides a revolutionary solution to this pressing challenge. By offering a comprehensive guide that bridges the gap between data analytics, smart tourism, and AI, this book empowers scholars, practitioners, and researchers to unlock the full potential of AI in the tourism industry. With a focus on theoretical foundations and practical implementations, this book equips readers with the skills and knowledge to effectively integrate AI-driven data analytics into their business strategies. This book, targeting practitioners, scholars, and academicians in the field of tourism and hospitality, as well as students in related graduate programs, is an essential resource for those looking to stay ahead in the rapidly changing landscape of smart tourism. Advancing Smart Tourism Through Analytics offers a roadmap for revolutionizing the tourism industry and driving success in the digital age by providing insights into topics such as AI in tourism, intelligent destination management, and sustainable tourism. © 2025 Elsevier B.V., All rights reserved.</t>
  </si>
  <si>
    <t>Artificial intelligence; Leisure industry; Students; Tourism; Business needs; Data analytics; Decisions makings; Immersive; Operational efficiencies; Power; Pressung; Technological advancement; Tourism industry; Tourism sectors; Decision making</t>
  </si>
  <si>
    <t>Özen, E.; Singh, A.; Taneja, S.; Rajaram, R.; Davim, J.P.</t>
  </si>
  <si>
    <t>Sustainability, Innovation, and Consumer Preference</t>
  </si>
  <si>
    <t>Digital platforms have transformed consumer behavior, shaping how people discover, explore, and purchase products and services. With the rise of social media, e-commerce sites, and mobile applications, consumers are more informed and connected. These platforms allow for instant access to information and reviews while creating communities where users can share experiences and recommendations. As a result, traditional marketing strategies are evolving, requiring brands to adapt to the fast-paced digital landscape and engage with consumers in meaningful ways. Understanding the influence of these platforms is essential for businesses that want to understand modern consumer behavior and build lasting customer relationships. Sustainability, Innovation, and Consumer Preference delves into the intersection of digital technologies and circular economy principles, highlighting how innovations in areas such as IoT, AI, blockchain, and big data are transforming traditional business models into more sustainable, resource-efficient systems. It explores the redesign of product life cycles, the role of Industry 4.0 in sustainable manufacturing, and the influence of digital platforms on consumer behavior. This book covers topics such as automation technology, social media, and waste management, and is a useful resource for computer engineers, marketing professionals, business owners, economists, academicians, and researchers. © 2025 Elsevier B.V., All rights reserved.</t>
  </si>
  <si>
    <t>Marketplaces; Public relations; Sales; Consumers' preferences; Customer relationships; Digital platforms; Digital technologies; E-commerce sites; Marketing strategy; Mobile applications; Product and services; Site application; Social media; Consumer behavior</t>
  </si>
  <si>
    <t>Islam, M.A.; Fakir, S.I.; Masud, S.B.; Hossen, M.D.; Islam, M.T.; Siddiky, M.R.</t>
  </si>
  <si>
    <t>Artificial intelligence in digital marketing automation: Enhancing personalization, predictive analytics, and ethical integration</t>
  </si>
  <si>
    <t>Artificial Intelligence (AI) is revolutionizing digital marketing automation by enhancing efficiency, personalization, and predictive capabilities. This study examines the role of AI in transforming marketing practices, focusing on its applications, benefits, ethical considerations, and future directions. By leveraging AI tools such as predictive analytics, NLP, and chatbots, businesses can achieve improved customer segmentation, content personalization, and campaign optimization in marketing strategies. Secondary data from journals, articles, and conference papers were synthesized to provide insights into AI's impact on digital marketing automation. A systematic literature review utilizing the PRISMA methodology initially identified 2,850 records from database searches. Following the removal of duplicates and non-relevant studies, 1,035 records were screened for eligibility based on defined criteria, resulting in the inclusion of 150 relevant studies and 25 high-quality reports for detailed analysis. This robust approach ensured the inclusion of high-quality research, minimizing biases. The findings reveal that AI enhances digital marketing by streamlining processes, automating repetitive tasks, and delivering hyper-personalized customer experiences. Predictive analytics helps anticipate consumer behavior, while chatbots improve real-time customer engagement. However, challenges such as data privacy, algorithmic bias, and the high costs of AI adoption persist. AI adoption allows businesses to make data-driven decisions, improve customer retention, and maximize return on investment. Ethical AI practices, such as transparency and algorithm fairness, are essential for maintaining consumer trust. The study primarily focuses on existing literature, with limited empirical validation. Future research should explore long-term effects of AI-driven marketing on consumer behavior and investigate its integration with emerging technologies like the Internet of Things (IoT) and blockchain. Additionally, tailored AI solutions for SMEs and under-researched areas, such as B2B marketing, are critical for inclusive growth. © 2025 Elsevier B.V., All rights reserved.</t>
  </si>
  <si>
    <t>Hlophe, M.C.; Maharaj, B.T.</t>
  </si>
  <si>
    <t>From Cyber–Physical Convergence to Digital Twins: A Review on Edge Computing Use Case Designs</t>
  </si>
  <si>
    <t>As a result of the new telecommunication ecosystem landscape, wireless communication has become an interdisciplinary field whose future is shaped by several interacting dimensions. These interacting dimensions, which form the cyber–physical convergence, closely link the technological perspective to its social, economic, and cognitive sciences counterparts. Beyond the current operational framework of the Internet of Things (IoT), network devices will be equipped with capabilities for learning, thinking, and understanding so that they can autonomously make decisions and take appropriate actions. Through this autonomous operation, wireless networking will be ushered into a paradigm that is primarily inspired by the efficient and effective use of (i) AI strategies, (ii) big data analytics, as well as (iii) cognition. This is the Cognitive Internet of People Processes Data and Things (CIoPPD&amp;T), which can be defined in terms of the cyber–physical convergence. In this article, through the discussion of how the cyber–physical convergence and the interacting dynamics of the socio-technical ecosystem are enablers of digital twins (DTs), the network DT (NDT) is discussed in the context of 6G networks. Then, the design and realization of edge computing-based NDTs are discussed, which culminate with the vehicle-to-edge (V2E) use cases. © 2024 Elsevier B.V., All rights reserved.</t>
  </si>
  <si>
    <t>Zhou, P.; Xie, Y.; Liang, C.</t>
  </si>
  <si>
    <t>How to increase consumers’ continued use intention of artificial intelligence voice assistants? The role of anthropomorphic features</t>
  </si>
  <si>
    <t>Artificial intelligence (AI) voice assistants possess significant market potential and offer diverse services through voice interaction. However, the influence of anthropomorphic features on consumers’ mind perception and continued use intention, particularly across various age groups, remains underexplored. To address this research gap, we employ mind perception theory, the stimulus–organism-response model, and cognitive load theory to conduct a research model. Using a sample of 303 survey responses, we evaluate the research model and hypotheses through partial least squares analysis. Findings reveal that these features positively affect alleviating loneliness and enhancing perceived usefulness. Additionally, the alleviation of loneliness and perceived usefulness contribute to consumers’ continued use intention and mediate the relationship between anthropomorphic features and continued use intention. Furthermore, the effect of anthropomorphic features on mind perception varies across age groups. This research enhances understanding of the influence of anthropomorphic features on consumers’ mind perception and continued use intention of AI voice assistants, providing valuable insights for product developers and marketers to enhance the consumer experience. © 2023 Elsevier B.V., All rights reserved.</t>
  </si>
  <si>
    <t>Xie, Y.; Zhü, K.; Zhou, P.; Liang, C.</t>
  </si>
  <si>
    <t>How does anthropomorphism improve human-AI interaction satisfaction: a dual-path model</t>
  </si>
  <si>
    <t>With the development of artificial intelligence technology, the application of anthropomorphism has been established as a good design principle. However, the effectiveness of anthropomorphism in smart home assistants is still unclear, as is the mechanism influencing interaction satisfaction. Therefore, we have categorized the anthropomorphic cues of smart home assistants into four dimensions: visual, identity, emotional, and auditory, and constructed a dual-path influence mechanism model of anthropomorphism on interaction satisfaction. Furthermore, we also consider the different influences of different usage contexts. Through two experimental studies, the results show that, in the intimacy influence path, the emotional cue and auditory cue can directly improve interaction satisfaction, and they can further improve interaction satisfaction by affecting intimacy. However, the visual cue has no significant direct effect on interaction satisfaction. The visual cue mainly improves interaction satisfaction through the intermediate effect of intimacy. In the privacy invasion influence path, the emotional cue and auditory cue also further affect interaction satisfaction by affecting privacy invasion. However, the impact of the visual cue and identity cue on privacy invasion was not valid. The study is expected to provide practical guidance for product designers to realize the long-term feasibility and sustainability of products. © 2023 Elsevier B.V., All rights reserved.</t>
  </si>
  <si>
    <t>Artificial intelligence; Anthropomorphism; Auditory cues; Dual path; Human-AI interaction; Interaction satisfaction; Intimacy; Privacy invasions; Smart home assistant; Smart homes; Visual cues; Automation; article; artificial intelligence; auditory stimulation; controlled study; experimental study; feasibility study; human; human experiment; intimacy; privacy; satisfaction</t>
  </si>
  <si>
    <t>Dwivedi, Y.K.; Kshetri, N.; Hughes, L.; Slade, E.L.; Jeyaraj, A.; Kar, A.K.; Baabdullah, A.M.; Koohang, A.; Raghavan, V.; Ahuja, M.; Albanna, H.; Albashrawi, M.A.; Al-Busaidi, A.S.; Balakrishnan, J.; Barlette, Y.; Basu, S.; Bose, I.; Brooks, L.; Buhalis, D.; Carter, L.; Chowdhury, S.; Crick, T.; Cunningham, S.W.; Davies, G.H.; Davison, R.M.; De, R.; Dennehy, D.; Duan, Y.; Dubey, R.; Dwivedi, R.; Edwards, J.S.; Flavián, C.; Gauld, R.; Grover, V.; Hu, M.-C.; Janssen, M.; Jones, P.; Junglas, I.; Khorana, S.; Kraus, S.; Larsen, K.R.; Latreille, P.; Laumer, S.; Malik, F.T.; Mardani, A.; Mariani, M.; Mithas, S.; Mogaji, E.; Nord, J.H.; O'Connor, S.; Okumus, F.; Pagani, M.; Pandey, N.; Papagiannidis, S.; Pappas, I.O.; Pathak, N.; Pries-Heje, J.; Ramakrishnan, R.; Rana, N.P.; Rehm, S.-V.; Ribeiro-Navarrete, S.; Richter, A.; Rowe, F.; Sarker, S.; Stahl, B.C.; Tiwari, M.K.; van der Aalst, W.; Venkatesh, V.; Viglia, G.; Wade, M.; Walton, P.; Wirtz, J.; Wright, R.</t>
  </si>
  <si>
    <t>“So what if ChatGPT wrote it?” Multidisciplinary perspectives on opportunities, challenges and implications of generative conversational AI for research, practice and policy</t>
  </si>
  <si>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 © 2023 Elsevier B.V., All rights reserved.</t>
  </si>
  <si>
    <t>Commerce; Ethical technology; Information management; ChatGPT; Conversational agents; Generative AI; Generative artificial intelligence; In-field; Intelligent tools; Language model; Large language model; Marketing information system; Multidisciplinary perspectives; Marketing</t>
  </si>
  <si>
    <t>Luiza</t>
  </si>
  <si>
    <t>Awate, A.S.; Sharma, S.K.</t>
  </si>
  <si>
    <t>Understanding Customer Behaviour: A Comprehensive Survey of Segmentation and Classification Techniques in the Age of Big Data</t>
  </si>
  <si>
    <t>The contemporary business environment necessitates an understanding of customer behavior and preferences to optimize marketing strategies and improve customer satisfaction. Customer segmentation and classification techniques have emerged as fundamental tools for organizations to differentiate their customers based on meaningful differences and create targeted marketing campaigns. This research paper provides a comprehensive survey of the latest customer segmentation and classification techniques used in marketing research. This paper examines traditional and modern approaches to customer segmentation and classification, encompassing demographic, geographic, psychographic, and behavioral segmentation. Furthermore, this paper investigates the latest advancements in customer classification techniques, such as machine learning, data mining, and artificial intelligence. Additionally, this paper discusses the challenges and limitations of these techniques and proposes future research directions. The findings of this research have significant implications for marketing practitioners and scholars interested in optimizing their marketing strategies and improving customer satisfaction. © 2023 Elsevier B.V., All rights reserved.</t>
  </si>
  <si>
    <t>He, J.; Piorkowski, D.; Muller, M.; Brimijoin, K.; Houde, S.; Weisz, J.</t>
  </si>
  <si>
    <t>Organizations have recently begun to deploy conversational task assistants that collaborate with knowledge workers to partially automate their work tasks. These assistants evolved out of business robotic process automation (RPA) tools and are becoming more intelligent: users can initiate task sequences through natural language, and the system can orchestrate those tasks if they have not previously been defined. As these tools become more automated, system designers tend to optimize overall process efficiency, but at the cost of shifting agency away from workers. Particularly in high stakes work environments, this shift raises questions of how to re-delegate agency such that workers feel sufficiently in control of automated tasks. We explored this through two studies comprised of interviews and co-design activities with knowledge workers and identified four task dimensions along which their automation and interaction preferences vary: process consequence, social consequence, task familiarity, and task complexity. These dimensions are useful for understanding when, why, and how to delegate agency between workers and conversational task assistants. © 2023 Elsevier B.V., All rights reserved.</t>
  </si>
  <si>
    <t>Intelligent agents; Intelligent robots; Agent skill; Knowledge workers; Orchestration of work; Participatory design; Participatory design.; Rebalancing; Task assistant; Task dimensions; Work task; Workers'; Knowledge management</t>
  </si>
  <si>
    <t>Le, X.C.</t>
  </si>
  <si>
    <t>Inducing AI-powered chatbot use for customer purchase: the role of information value and innovative technology</t>
  </si>
  <si>
    <t>Purpose: This study aims to understand a customer-purchase mechanism in the artificial intelligence (AI)-powered chatbot context based on the elaboration likelihood model (ELM) and technology acceptance model (TAM). The first objective is to examine how to boost chatbot adoption. The second objective is to investigate the role of information characteristics, technology-related characteristics and attitude toward AI in purchase intention. Design/methodology/approach: Data was collected from a sample of 492 users in Vietnam, who are potential customers of chatbots for purchase. Structural equation modeling was applied for data analysis. Findings: Results illustrate that chatbot adoption is significantly influenced by information credibility, technology-related factors (i.e. interactivity, relative advantage and perceived intelligence), attitude toward AI and perceived usefulness. Moreover, information quality and persuasiveness motivate information credibility. Information credibility and attitude toward AI are the essential motivations for perceived usefulness. Finally, chatbot adoption and information credibility determine purchase intention. Practical implications: The results are insightful for practitioners to envisage the importance of chatbot use for customer purchase in the AI scenario. Additionally, this research offers a framework to practitioners for shaping customer engagement in chatbots. Originality/value: The value of this work lies in the incorporation of technology-related characteristics into the two well-established theories, the ELM and TAM, to identify the importance of AI and its applications (i.e. chatbots) for purchase and to understand the formation of perceived usefulness and chatbot use through information credibility and attitude toward AI. © 2023 Elsevier B.V., All rights reserved.</t>
  </si>
  <si>
    <t>Purchasing; Sales; Characteristic technology; Chatbots; Context-based; Elaboration likelihood models; Information credibilities; Information value; Innovative technology; Perceived usefulness; Purchase intention; Technology acceptance model; Artificial intelligence</t>
  </si>
  <si>
    <t>Wali, A.; Mahamad, S.; Sulaiman, S.</t>
  </si>
  <si>
    <t>Task Automation Intelligent Agents: A Review</t>
  </si>
  <si>
    <t>As technological advancements increase exponentially, mobile phones become smarter with machine learning and artificial intelligence algorithms. These advancements have allowed mobile phone users to perform most of their daily routine tasks on mobile phones; tasks performed in daily routines are called repetitive tasks and are performed manually by the users themselves. However, machine learning and artificial intelligence have enabled those tasks to be performed automatically, known as task automation. The users can perform task automation, e.g., through creating automation rules or an intelligent agent, e.g., conversational agents, virtual personal assistants, etc. Several techniques to achieve task automation have been proposed, but this review shows that task automation by programming by demonstration has had massive developmental growth because of its user-centered approach. Apple Siri, Google Assistant, MS Cortana, and Amazon Alexa are the most known task automation agents. However, these agents are not widely adopted because of their usability issues. In this study, two research questions are evaluated through the available literature to expand the research on intelligent task automation agents: (1) What is the state-of-the-art in task automation agents? (2) What are the existing methods and techniques for developing usability heuristics, specifically for intelligent agents? Research shows groundbreaking developments have been made in mobile phone task automation recently. However, it must still be conducted per usability principles to achieve maximum usability and user satisfaction. The second research question further justifies developing a set of domain-specific usability heuristics for mobile task automation intelligent agents. © 2023 Elsevier B.V., All rights reserved.</t>
  </si>
  <si>
    <t>Automation; Heuristic methods; Intelligent agents; Machine learning; Mobile agents; Usability engineering; Automation agent; Daily routines; Domain specific; Domain-specific heuristic; Machine-learning; Mobile; Multimodal Interaction; Research questions; Task automation; Usability heuristics; Cellular telephones</t>
  </si>
  <si>
    <t>Mariani, M.; Hashemi, N.; Wirtz, J.</t>
  </si>
  <si>
    <t>Artificial intelligence empowered conversational agents: A systematic literature review and research agenda</t>
  </si>
  <si>
    <t>Consumer research on conversational agents (CAs) has been growing. To illustrate and map out research in this field, we conducted a systematic literature review (SLR) of published work indexed in the Clarivate Web of Science and Elsevier Scopus databases. Four dominant topical areas were identified through bibliographic coupling. They are 1) consumers’ trust in CAs; 2) Natural Language Processing (NLP) in developing and designing CAs; 3) communication with CAs; 4) impact of CAs on value creation and the value of CAs for business. We leverage these findings to provide an updated synopsis of extant scientific work. Moreover, we draw a framework whereby we identify the: 1) drivers of and motivators for adoption and engagement with CAs; and 2) the outcomes of CA adoption for both users and organizations. Finally, we leverage the framework to develop an agenda for future research. © 2025 Elsevier B.V., All rights reserved.</t>
  </si>
  <si>
    <t>Ivanov, S.</t>
  </si>
  <si>
    <t>Automated decision-making</t>
  </si>
  <si>
    <t>Purpose: This paper aims to analyse three decision-making approaches that involve humans and artificial autonomous agents, namely, human “in the loop”, “on the loop” and “out of the loop” and identifies the decision characteristics that determine the choice of a decision-making approach. Design/methodology/approach: This is a conceptual paper that analyses the relationships between the human and the artificial autonomous agents in the decision-making process from the perspectives of the agency theory, sustainability, legislation, economics and operations management. Findings: The paper concludes that the human “out of the loop” approach is most suitable for quick, standardised, frequent decisions with low negative consequences of a wrong decision by the artificial intelligence taken within a well-defined context. Complex decisions with high outcome uncertainty that involve significant ethical issues require human participation in the form of a human “in the loop” or “on the loop” approach. Decisions that require high transparency need to be left to humans. Originality/value: The paper evaluates the decision-making approaches from the perspectives of the agency theory, sustainability, legislation, economics and operations management and identifies the decision characteristics that determine the choice of a decision-making approach. © 2023 Elsevier B.V., All rights reserved.</t>
  </si>
  <si>
    <t>Elkhwesky, Z.; Elkhwesky, E.F.Y.</t>
  </si>
  <si>
    <t>A systematic and critical review of Internet of Things in contemporary hospitality: a roadmap and avenues for future research</t>
  </si>
  <si>
    <t>Purpose: Internet of Things (IoT) is a key enabler of big data and it is critical toward a new age of firm's architecture and proper decision-making for the industry. IoT adoption by the hospitality and tourism (H&amp;T) industries is still rare and with contrasting evidence. The purpose of this study is to highlight the concept of IoT, its benefits, its challenges and its applications in the hospitality industry. Design/methodology/approach: This study presents an in-depth and critical review of the 78 articles published on IoT in hospitality, spanning more than seven years (from 2015 to March 2022). The eligible 78 articles were collected from the “Web of Science database” and H&amp;T Social Sciences Citation Index-listed journals. Findings: This systematic review exhibits that IoT in hospitality has advanced in the past seven years. IoT has brought many advantages and challenges in hospitality. However, hospitality IoT research is scarce, necessitating a profound and more thorough investigation of many significant matters. Practical implications: This systematic review provides significant implications and recommendations for hospitality sectors, IoT developers and manufacturers, governments and policymakers. This review ends with an in-depth research agenda with several research questions and a framework to achieve theoretical and empirical advances in future IoT research. Originality/value: To the best of the authors’ knowledge, the current research is one of the first to systematically and critically review IoT with its concept, benefits, challenges and applications in a hospitality context. This major review provides a comprehensive idea of the focus of the past studies and what must be concentrated in future research. © 2023 Elsevier B.V., All rights reserved.</t>
  </si>
  <si>
    <t>Kaur, D.P.; Tanay; Malhotra, P.; Dutta, R.; Kaur, H.J.</t>
  </si>
  <si>
    <t>Restaurant Automation: A Framework using Data Acquisition and Visualization for Improved Customer Experiences</t>
  </si>
  <si>
    <t>Restaurants are an integral component of the culinary industry and have become a significant area of research with the advancements in technology. Incorporation of innovative approaches in the hospitality sector ensures improved efficiency, better customer experience and adaptability for evolving resources. The concept of "Restaurant Automation"has been revolutionizing the customers and restaurant proprietors experience by providing culinary excellence and world-class dining establishments. This work focuses on investigating the influence of technological interventions on customer dining experiences at the automated restaurants by developing a sensor-based solution for order-taking and processing, comprehensive customer monitoring, and table management for in-dine experiences. Through the automated ordering and processing system, customers can place their orders seamlessly, leading to quicker service and minimizing order inaccuracies. The real-time customer monitoring component empowers the restaurant staff to promptly address customer needs and preferences and encourages personalized interactions and enhancing loyalty. The automated table management system optimizes resource allocation and reduces waiting times, fostering customer satisfaction, and streamlined operations. The system is designed and implemented using Sense-Think-Act paradigm with use of data capture and visualization technologies. The proposed solution is cost-effective and energy efficient and utilizes current state-of-the-art in restaurant automation. © 2024 Elsevier B.V., All rights reserved.</t>
  </si>
  <si>
    <t>Customer satisfaction; Data acquisition; Information management; Network security; Resource allocation; Customer experience; Dining experience; Embedded-system; Innovative approaches; Integral components; Ordering system; Processing systems; Restaurant automation; Sense-think-act paradigm; World class; Sales</t>
  </si>
  <si>
    <t xml:space="preserve">Fails IC 2 (Does not address customer service, automation , or decision support)
</t>
  </si>
  <si>
    <t>Fareed, M.W.; Amer, M.</t>
  </si>
  <si>
    <t>People-centred natural language processing for cultural tourism market: a research agenda</t>
  </si>
  <si>
    <t>Cultural heritage is a significant resource of knowledge that allows us to inform about and enhance such communities in the cultural tourism market. In this respect, it is important to explore, with the enhancement of cultural identity, by adopting a people-centred approach that matches the needs and wants of various segmentations of the visitors, the host community, and the heritage site. The research aims at introducing a proposed Natural Language Processing framework by adopting a grounded theory-based research agenda. The proposed framework suggests points of interest and related services enhancing the experience of the heritage site’s visitors along with three phases: (1) a pre-visit to set the level of expectations and satisfaction (need and wants) and ensure a high quality of respect a cultural diversity; (2) an in-situ-visit to boost the interaction between the visitors’ mentality and the manifestations of the site’s cultural identity; and (3) a post-visit to valorise positive word-of-mouth and create a lifelong learning memory. © 2024 Elsevier B.V., All rights reserved.</t>
  </si>
  <si>
    <t>Commerce; Natural language processing systems; Cultural heritages; Cultural identity; Cultural tourism; Grounded theory; Heritage sites; Language processing; Natural language processing; Natural languages; People-centered approach; Research agenda; Tourism</t>
  </si>
  <si>
    <t>Welch, D.-M.</t>
  </si>
  <si>
    <t>The Impact of AI on Sexual Health Knowledge, Attitude and Behaviour</t>
  </si>
  <si>
    <t>This paper explores the role of Artificial Intelligence (AI) in influencing knowledge, attitudes, and behaviour in sexual health. In recent years, the capability and application of AI have grown exponentially. AI has recently gained wider public attention due to the so-called democratisation of AI, such as the public accessibility of tools in the form of ChatGPT. With new evolving technologies, there is always the possibility for them to influence us both positively and negatively. There is a plethora of evidence and research analysing the development and application of AI, with a particular focus on behaviour, attitudes, and knowledge, especially within the field of health. However, there is a limited exploration of the impact of AI on sexual health knowledge, attitude, and behaviour. It has been recently widely documented that the UK is on the brink of a sexual health crisis, resulting in an increase in risky sexual behaviour and poorer sexual health outcomes, according to the Sex Education Forum (SEF). Sexual health provisions continue to face increased financial pressures, with face-to-face services being dramatically reduced along with a stalled and inconsistent rollout of compulsory Relationship and Sex Education (RSE) resulting in a disparity in sexual health knowledge impacting behaviour and attitudes. To improve sexual health outcomes, there is scope to consider a new approach that incorporates the inclusion of AI. The paper discusses the potential for positive and negative AI influences on sexual health knowledge, attitude, and behaviour, identifies current gaps in sexual health and how these could be addressed, and presents future directions for research. © 2023 Elsevier B.V., All rights reserved.</t>
  </si>
  <si>
    <t>Public health; Development and applications; Financial pressure; Health communication; Health crisis; Health outcomes; Sex education; Sexual behaviors; Sexual health knowledge; Technology and health; Technology impact; Artificial intelligence</t>
  </si>
  <si>
    <t>Mhlanga, D.</t>
  </si>
  <si>
    <t>Responsible Industry 4.0: A Framework for Human-Centered Artificial Intelligence</t>
  </si>
  <si>
    <t>The growth of digital technologies and Artificial Intelligence (AI) has the potential to increase global wealth and tackle some of the world's most serious problems, including economic marginalization. In contrast, these innovations may contribute to widening economic gaps and potentially threaten the stability of democratic governments. Changes in economic growth and distribution are occurring in both developed and developing countries due to the impact that new technologies are having on businesses and the workplace. This book provides answers to the question of whether the technologies of the Fourth Industrial Revolution, such as AI, will lead to greater economic uncertainty, environmental collapse, and social unrest or whether they will help achieve shared prosperity and sustainable development, and successively the Sustainable Development Goals (SDGs). This book focuses on Human-centred AI and the responsible deployment of diverse technologies for achieving sustainable development. It examines why the human-centred approach is so crucial to long-term success. It underlines the definition of human-centred AI and its importance in creating sustainability and resilience. This book begins with a comprehensive history of the Fourth Industrial Revolution, details how to produce AI that is centred on humans in order to accomplish sustainable development in the era of the Fourth Industrial Revolution, and then goes on to discuss the need for proper management and governance of emerging technologies. The book ends by presenting a framework that will assist stakeholders in employing AI in a human-centred manner to achieve the SDGs set for 2030. This book will appeal to scholars, academics, and researchers interested in information linked to the SDGs, AI, and Industry 4.0. © 2023 Elsevier B.V., All rights reserved.</t>
  </si>
  <si>
    <t>Kunz, W.H.; Wirtz, J.</t>
  </si>
  <si>
    <t>AI in Customer Service: A Service Revolution in the Making</t>
  </si>
  <si>
    <t>This chapter outlines the overview of AI and customer services and how Artificial intelligence (AI) has shaped the service revolution. This chapter draws on their previous studies on corporate digital responsibility in service firms and their ecosystems, cost-effective service excellence, service robots, artificial intelligence, and Intelligent Automation and Service Robots. It reiterates how AI-based customer services often operate within larger virtual networks that allow them to access external and internal data. This enables them to learn from their environments and subsequently decide without human input. The chapter concludes with practical implications for managers, suggesting that organizations should incorporate corporate digital responsibility (CDR) and create a set of shared values, norms, and actionable guidelines for the responsible use of technology. © 2024 Elsevier B.V., All rights reserved.</t>
  </si>
  <si>
    <t xml:space="preserve">Fails IC 3 (No clear mention of empirical evidence, case study, or implementation )
</t>
  </si>
  <si>
    <t>Prentice, C.</t>
  </si>
  <si>
    <t>Leveraging Emotional and Artificial Intelligence for Organisational Performance</t>
  </si>
  <si>
    <t>This book takes a fresh stance and views EI and AI as services that are provided by service employees and machines as organisational offerings to customers. As emotional intelligence (EI) and artificial intelligence (AI) have been cited to have broad effects on individuals, businesses and beyond, this book is focused on the organisational context, specifically how they affect employees and customers from a marketing perspective. The stance in this book is consistent with the conceptualisation of a service. This book holds that intelligence in businesses must turn into organisational assets to manifest their values. Further, this book explores this service-dominant logic era, and compared to tangible products, service plays a key role in organisational performance and customer relationship with the organisation. Intelligence exhibited either by human or machine is not a tangible product, but can be utilised as a service to assist employees in performing tasks and delivering services as well as facilitating business transaction and customer experience. This book is structured as follows. Chapters 2 and 3 demystify emotional and artificial intelligence, from different perspectives, including conceptualisations, the history and evolution of the concepts, how they function and where they can apply to. These discussions help readers understand what exactly these two intelligences are. Chapters 4 and 5 analyse how emotional intelligence is related to employees and customers, respectively, with a focus on service organisations. Chapters 6–8 are dedicated to anatomising AI and how it is operationalised as a service to influence employees and customers. Specifically, viewing AI as a service, Chapter 6 examines the impact of AI service quality and how it is related to employee service quality. Chapter 7 analyses the influence of AI service quality on customers. Based on the discussion in Chapters 6 and 7, Chapter 8 is extended to develop a scale to measure such AI service, named AI service quality. The last three chapters of this book integrate EI and AI to analyse their respective impacts on employees and customers. Chapter 9 proposes EI as a moderator of AI, whereas Chapter 10 proposes AI as a moderator of EI. Chapter 11 employs service profit chain to integrate EI and AI in the chain relationship to understand their effects on both employees and customers. This chapter broadly covers the service industry with a focus on tourism and hospitality sector. The discussion on the impact of EI and AI is complemented with empirical studies conducted in tourism or hospitality context to address their effects in these sectors. © 2023 Elsevier B.V., All rights reserved.</t>
  </si>
  <si>
    <t>Impact of the E-brand on the Consumer's E-trust, Reliance and Resistance Towards the Chatbot</t>
  </si>
  <si>
    <t>Currently, corporations are finding a lot of interest in the usage of chatbots for various tasks across a range of industries. The future of interfaces looks bright for chatbots. In order to give customers a better experience, retailers must understand how they engage with their interfaces. To formulate our research hypotheses in this chapter, we draw on two theories, namely the Stimilus-Organism-Response theory and the Social Presence theory. By concentrating on text chatbots, a new interactive technology, we have made significant contributions to the literature on interactive marketing and artificial intelligence. One of the first empirical studies on the causes and effects of consumer trust in text chatbots is the one we conducted. Just the utilitarian usage of chatbots for online customer care has been examined in prior studies. The emotional component of the human-chatbot relationship is added by our study (1). As far as we are aware, no research has yet been done to evaluate how brand experience and behaviour are affected by online brand equity. Our study adds and investigates yet another connection between brand experience and chatbot user trust (2). Our study examines the consequences of trust in the employment of chatbots as well as the attitudes of reliance and resistance (3). Our research is original because of these three contributions. By incorporating the emotional component of this contact, we hope to examine the characteristics (antecedents and repercussions) of customer trust in text chatbots in this chapter. Ultimately, the results add more valuable data for e-service providers and chatbot developers to enhance their capabilities, comprehend the consequences on user experiences, and provide a roadmap for relationship development and strategy creation. © 2023 Elsevier B.V., All rights reserved.</t>
  </si>
  <si>
    <t>Nicoletti, B.</t>
  </si>
  <si>
    <t>Supply Network 5.0: How to Improve Human Automation in the Supply Chain</t>
  </si>
  <si>
    <t>This book examines how Industry 5.0 can be defined and implemented for Supply Chain Management and what essential characteristics it has. In outlining Supply Network 5.0, it examines how humans and machines, especially robotic process automation systems and artificial intelligence tools, will work together in the New Normal. To provide a comprehensive overview, it proposes a new conceptualization of Supply Network 5.0’s business model based on the Business Model Canvas and SCOR framework and provides a dedicated analysis of the proposed solutions and real-world implications of its implementation. Including case studies from several different sectors and including significant analysis on the impact of the Covid-19 pandemic, this book will provide a cutting-edge perspective for academics and students of supply chain management, digital business and innovation. © 2023 Elsevier B.V., All rights reserved.</t>
  </si>
  <si>
    <t>Hussain, Z.; Mago, B.; Khadim, A.; Amjad, K.</t>
  </si>
  <si>
    <t>An Intelligent Data Analysis for Recommendation Systems Using Machine Learning</t>
  </si>
  <si>
    <t>Travelers are primarily concerned with finding a good hotel and reserving a room. Because of the volume of information, online hotel searches take longer than they used to. The relevance of recommender systems (RS) in decision-making and delivering correct facts about a desired product or service is driving the expansion of the RS sector. Textual evaluations, numerical rankings, votes, ratings, and video views have complicated hotel recommendations. We proposed an intelligent technique for delivering actual recommendations by interacting with massive amounts of various data and potential consumers' wants. A typical RS approach is collaborative filtering (CF), which generates recommendations. We proposed a novel CF recommendation technique based on user sentiment analysis to construct a hotel feature matrix utilizing polarity identification. When lexical, syntactic, and semantic studies are integrated, it may be simpler to understand the strange behaviors demonstrated by hotel visitors (solo, family, couple, etc.). While determining which hotels to recommend, we evaluated the types of consumers frequently served by the hotels as well as the overall quality of the companies. The system will make hotel recommendations to the user based on their travel preferences. The information accessible on hotel websites has been used in a variety of studies. This was completed after the computations were complete. As a result, this should be the key takeaway from the description. © 2023 Elsevier B.V., All rights reserved.</t>
  </si>
  <si>
    <t>Collaborative filtering; Data handling; Decision making; Hotels; Machine learning; Quality control; Semantics; Sentiment analysis; Collaborative filtering recommendations; Decisions makings; Feature matrices; Intelligent data analysis; Intelligent techniques; Machine-learning; Recommendation techniques; Simple++; Systems approach; Recommender systems</t>
  </si>
  <si>
    <t>Arshad, M.; Brohi, M.N.; Soomro, T.R.; Ghazal, T.M.; Alzoubi, H.M.; Alshurideh, M.</t>
  </si>
  <si>
    <t>NoSQL: Future of BigData Analytics Characteristics and Comparison with RDBMS</t>
  </si>
  <si>
    <t>The growth of digital world has become so fast and the data volume turned to more composite in relations to size from terabyte and higher, the variation of data including structured, unstructured and hybrid, pace has gone so high in growth of data. This is called ‘Big Data’ as a worldwide phenomenon. Typically, this is measured as the collection of data from multiple sources has become so huge that it can’t be well exploited or maintained by using regular methods used for data management: e.g., RDBMS the conventional relational database management systems or search engines used conventionally. The experts have been working to solve handle these problems, the traditional relational database management systems are modified by precisely designed a set of substitutes DBMS’s; which are search based systems, New SQL and NoSQL. This goal of this study is to provide characteristics, classification and evaluation of database management system called NoSQL in Big Data Analytics. The study is planned to help people, specifically the companies to gain. The current computation power also falls less against the massive extended storage volume. The fast growth of unstructured data requires a complete model change for the new age to meet the incoming challenges and observe the progress of new proficient techniques for data engineering. The explanation of BigData, RDBMS and NoSQL have also been described in this study to put light on difference of data and requirement of new technology. This study will highlight the differences, capabilities of both RDBMS and NoSQL database management systems in accordance with BigData. With the help of qualitative and quantitative approach the study has emphasized on the limitation of RDBMS and requirement of new technology NoSQL used for unstructured BigData used for analytics. © 2024 Elsevier B.V., All rights reserved.</t>
  </si>
  <si>
    <t>Said, R.A.; Al-Dmour, N.A.; Salahat, M.; Issa, G.F.; Alzoubi, H.M.; Alshurideh, M.</t>
  </si>
  <si>
    <t>Development of Data Mining Framework Cardiovascular Disease Prediction</t>
  </si>
  <si>
    <t>One of the highest shares of data-driven technology of health sector happens for private insurance stakeholders. It is therefore clear that private insurance companies can only survive being competitive in covering different medical stages such as surgery, intervention and other clinical trials in a high-risk environment. Estimation of expected costs and coverage is also important for both patient and insurer. In this case study we as a Data Mining and Artificial Business consultant want to explore different techniques of data mining to find out business risks for patients. We have asked the insurer to provide us a sizable medical history to watch those features. We would like to predict if given biographical profile of the patient along with exam results can predict CVD so he can cover his costs with this Insurer. On the other hand, in case of higher error of misclassified CVD what kind of decision should be taken by risk holder and insurer. Which one of these attributes causing this cost and what other stakeholders like target group of patients can be suffered from the loss? The ultimate goal is to develop a model that can predict the gap between those patients’ perception of their disease and their real disease. This can further help stakeholders to develop specific insurance policy. © 2024 Elsevier B.V., All rights reserved.</t>
  </si>
  <si>
    <t>Salahat, M.; Al-Dmour, N.A.; Said, R.A.; Alzoubi, H.M.; Alshurideh, M.</t>
  </si>
  <si>
    <t>Development of Data Mining Expert System Using Naïve Bayes</t>
  </si>
  <si>
    <t>The consumer spectrum consists of a wide range, including the affluent, middle-income, and low-income. This consumer shows different behaviors or motivations towards choosing clothes. We want to develop a framework for a Sale Recommendation System. These expert System can be helpful for sale persons, fashion designer, promoter, brand manager as well as sponsor of Recommendation System. The study implemented the Data Science approach and techniques to see how reliable Recommendation Systems are and in our selected dataset we have applied different modelling techniques such as KNN, SVM, Bayes Naïve and Decision Tree and fond the NB as the most suitable and practical method of modelling in regard to the accuracy, recall and runtime. © 2024 Elsevier B.V., All rights reserved.</t>
  </si>
  <si>
    <t>Taleb, N.; Al-Dmour, N.A.; Issa, G.F.; Abdellatif, T.M.; Alzoubi, H.M.; Alshurideh, M.; Salahat, M.</t>
  </si>
  <si>
    <t>Analysis of Issues Affecting IoT, AI, and Blockchain Convergence</t>
  </si>
  <si>
    <t>The purpose of this project was to appraise the integration or convergence issues influencing the mutual functioning of blockchain, AI, and IoT. The study argued that the recent developments in the field of IoT and blockchain prediction have involved the integration of innumerable classification schemes to establish a hybrid model. The introduction of the hybrid technique relies on the prediction performance that strives to override the limitations of any available architectural scheme. This study offers a comprehensive exploratory appraisal of the issues influencing the successful integration of IoT and blockchain in regards to functionality and effectiveness of security, trust, and flawless communication issues. The exploratory research methodology was used in analyzing the issues affecting the integration of blockchain, artificial intelligence (AI), and the internet of things (IoT). The findings indicated that the integration challenges influencing the effective operations of blockchain, AI, and IoT as a single system involve security, scalability, accountability, and trust of communications. The study recommends that successful and effective integration will enhance the development of new business models as well as the digital transformation of market corporations. Accordingly, new approaches to convergence should ensure that executives address the new technology demands to obtain significant gains in efficiency. © 2024 Elsevier B.V., All rights reserved.</t>
  </si>
  <si>
    <t>Ghazal, T.M.; Al-Dmour, N.A.; Said, R.A.; Omidvar, A.; Khan, U.Y.; Soomro, T.R.; Alzoubi, H.M.; Alshurideh, M.; Abdellatif, T.M.; Moubayed, A.; Ali, L.</t>
  </si>
  <si>
    <t>DDoS Intrusion Detection with Ensemble Stream Mining for IoT Smart Sensing Devices</t>
  </si>
  <si>
    <t>Security threats in the Smart City Systems are becoming a challenge. These Smart City Systems, generating Big Data, are a revolutionizing application of the Internet of Things(IoT). Data Stream Mining, which is an efficient way of handling Big Data, is now of great concern. The acquired information is computationally expensive to process in terms of efficiency and runtime. Detection of suspicious activities on decentralized servers, generating and computing massive data streams requires time. Moreover, several stakeholders should be engaged to train the heterogenous malware data streams in the level of service application. Small experiments can be performed on the functionality of Batch ML on IoT datasets with available heap size resources. Among these candidate datasets, a little contribution has been already represented on the Mirai Attack. This research aims at the study of Data Stream Mining algorithms. Owing to the accuracy and interferences of the measurement, these algorithms are able to handle the non-hierarchical and unbalanced datasets similar to the Mirai Attacks. No single method can solely improve these critical standpoints. Thus, an Ensemble technique should be implemented. According to our study, a pool of meta or selective classifiers that interact based on the temporal Data Mining swiftly can outperform others. The maintainability and security concerns of such applications can be best fulfilled in meta-heuristics with the one-time scanning network approach for the recognition of the most frequent attacking pattern with the on-the-fly scheme. These are implemented in Create, Read, Update and Delete (CRUD) operations of the Big Data Systems. © 2024 Elsevier B.V., All rights reserved.</t>
  </si>
  <si>
    <t>Ghazal, T.M.; Hasan, M.K.; Abdullah, S.N.H.S.; Abu Bakar, K.A.A.; Al-Dmour, N.A.; Said, R.A.; Abdellatif, T.M.; Moubayed, A.; Alzoubi, H.M.; Alshurideh, M.; Alomoush, W.</t>
  </si>
  <si>
    <t>Machine Learning-Based Intrusion Detection Approaches for Secured Internet of Things</t>
  </si>
  <si>
    <t>Nowadays, protecting communication and information for Internet of Things (IOT) has emerged as a critical challenge. Existing systems use firewalls to ensure that they are safe from any unexpected occurrences that may disrupt the desired systems and applications. Intrusion detection systems (IDSs) are an acceptable second line of defence for IOT applications. IDS play a crucial role ensuring that it enhances the IOT security level maintaining sophisticated framework. Attackers have continuously been attempting to determine novel ways to circumnavigate security frameworks that prevent the structures. This paper reviews the security advances, threats and countermeasures for the IOT applications. A state of art review has accomplished using the references from 2009 to 2020 to encompass the real demography of the IOT security research data. This work also highlights the deep learning-based intrusion detection approaches for Internet of Things (IOT) security. With the systematic literature review approach, the review suggests that implementing existing security measures, such as encryption, authentication, access control, network and application security for IoT systems and their intrinsic amenability is ineffective for the IOT systems. © 2024 Elsevier B.V., All rights reserved.</t>
  </si>
  <si>
    <t>Fails IC 2 (Does not address customer service, automation, or decision support). Fails IC 3 / Meets EC 5 (Type: book chapter or identified as Review)</t>
  </si>
  <si>
    <t>Ray, P.P.</t>
  </si>
  <si>
    <t>ChatGPT: A comprehensive review on background, applications, key challenges, bias, ethics, limitations and future scope</t>
  </si>
  <si>
    <t>In recent years, artificial intelligence (AI) and machine learning have been transforming the landscape of scientific research. Out of which, the chatbot technology has experienced tremendous advancements in recent years, especially with ChatGPT emerging as a notable AI language model. This comprehensive review delves into the background, applications, key challenges, and future directions of ChatGPT. We begin by exploring its origins, development, and underlying technology, before examining its wide-ranging applications across industries such as customer service, healthcare, and education. We also highlight the critical challenges that ChatGPT faces, including ethical concerns, data biases, and safety issues, while discussing potential mitigation strategies. Finally, we envision the future of ChatGPT by exploring areas of further research and development, focusing on its integration with other technologies, improved human-AI interaction, and addressing the digital divide. This review offers valuable insights for researchers, developers, and stakeholders interested in the ever-evolving landscape of AI-driven conversational agents. This study explores the various ways ChatGPT has been revolutionizing scientific research, spanning from data processing and hypothesis generation to collaboration and public outreach. Furthermore, the paper examines the potential challenges and ethical concerns surrounding the use of ChatGPT in research, while highlighting the importance of striking a balance between AI-assisted innovation and human expertise. The paper presents several ethical issues in existing computing domain and how ChatGPT can invoke challenges to such notion. This work also includes some biases and limitations of ChatGPT. It is worth to note that despite of several controversies and ethical concerns, ChatGPT has attracted remarkable attentions from academia, research, and industries in a very short span of time. © 2024 Elsevier B.V., All rights reserved.</t>
  </si>
  <si>
    <t>Artificial intelligence; Data handling; Ethical technology; Natural language processing systems; ChatGPT; Context understanding; Conversational artificial intelligence; Ethical concerns; Generative artificial intelligence; GPT-3.5; Language model; Language processing; Natural language processing; Natural languages; Computational linguistics</t>
  </si>
  <si>
    <t>Soori, M.; Arezoo, B.; Dastres, R.</t>
  </si>
  <si>
    <t>Artificial intelligence, machine learning and deep learning in advanced robotics, a review</t>
  </si>
  <si>
    <t>Artificial Intelligence (AI), Machine Learning (ML), and Deep Learning (DL) have revolutionized the field of advanced robotics in recent years. AI, ML, and DL are transforming the field of advanced robotics, making robots more intelligent, efficient, and adaptable to complex tasks and environments. Some of the applications of AI, ML, and DL in advanced robotics include autonomous navigation, object recognition and manipulation, natural language processing, and predictive maintenance. These technologies are also being used in the development of collaborative robots (cobots) that can work alongside humans and adapt to changing environments and tasks. The AI, ML, and DL can be used in advanced transportation systems in order to provide safety, efficiency, and convenience to the passengers and transportation companies . Also, the AI, ML, and DL are playing a critical role in the advancement of manufacturing assembly robots, enabling them to work more efficiently, safely, and intelligently. Furthermore, they have a wide range of applications in aviation management, helping airlines to improve efficiency, reduce costs, and improve customer satisfaction. Moreover, the AI, ML, and DL can help taxi companies in order to provide better, more efficient, and safer services to customers. The research presents an overview of current developments in AI, ML, and DL in advanced robotics systems and discusses various applications of the systems in robot modification. Further research works regarding the applications of AI, ML, and DL in advanced robotics systems are also suggested in order to fill the gaps between the existing studies and published papers. By reviewing the applications of AI, ML, and DL in advanced robotics systems, it is possible to investigate and modify the performances of advanced robots in various applications in order to enhance productivity in advanced robotic industries. © 2024 Elsevier B.V., All rights reserved.</t>
  </si>
  <si>
    <t>Customer satisfaction; Efficiency; Intelligent robots; Learning algorithms; Learning systems; Natural language processing systems; Object recognition; Reinforcement learning; Taxicabs; Advanced robotic; Autonomous navigation; Complex environments; Complex task; Deep learning; Machine-learning; Natural languages; Object manipulation; Objects recognition; Robotic systems</t>
  </si>
  <si>
    <t>Andronie, M.; Lǎzǎroiu, G.; Karabolevski, O.L.; Ştefǎnescu, R.; Hurloiu, I.; Dijmarescu, A.; Dijmarescu, I.</t>
  </si>
  <si>
    <t>Remote Big Data Management Tools, Sensing and Computing Technologies, and Visual Perception and Environment Mapping Algorithms in the Internet of Robotic Things</t>
  </si>
  <si>
    <t>The purpose of our systematic review was to inspect the recently published research on Internet of Robotic Things (IoRT) and harmonize the assimilations it articulates on remote big data management tools, sensing and computing technologies, and visual perception and environment mapping algorithms. The research problems were whether robotic manufacturing processes and industrial wireless sensor networks shape IoRT and lead to improved product quality by use of remote big data management tools, whether IoRT devices communicate autonomously regarding event modeling and forecasting by leveraging machine learning and clustering algorithms, sensing and computing technologies, and image processing tools, and whether smart connected objects, situational awareness algorithms, and edge computing technologies configure IoRT systems and cloud robotics in relation to distributed task coordination through visual perception and environment mapping algorithms. A Shiny app was harnessed for Preferred Reporting Items for Systematic Reviews and Meta-analysis (PRISMA) guidelines to configure the flow diagram integrating evidence-based gathered and processed data (the search outcomes and screening procedures). A quantitative literature review of ProQuest, Scopus, and the Web of Science databases was carried out throughout June and October 2022, with search terms including “Internet of Robotic Things” + “remote big data management tools”, “sensing and computing technologies”, and “visual perception and environment mapping algorithms”. Artificial intelligence and intelligent workflows by use of AMSTAR (Assessing the Methodological Quality of Systematic Reviews), Dedoose, DistillerSR, and SRDR (Systematic Review Data Repository) have been deployed as data extraction tools for literature collection, screening, and evaluation, for document flow monitoring, for inspecting qualitative and mixed methods research, and for establishing robust outcomes and correlations. For bibliometric mapping by use of data visualization, Dimensions AI was leveraged and with regards to layout algorithms, VOSviewer was harnessed. © 2023 Elsevier B.V., All rights reserved.</t>
  </si>
  <si>
    <t>Arıkan, E.; Altinigne, N.; Kuzgun, E.; Okan, M.</t>
  </si>
  <si>
    <t>May robots be held responsible for service failure and recovery? The role of robot service provider agents’ human-likeness</t>
  </si>
  <si>
    <t>This research investigates how consumers attribute service failure and recovery responsibilities and respond to them differently based on the service provider agent type (human, humanoid, and non-humanoid robot). Two experiments show that, first, consumers attribute more service failure responsibility to the firm when the agent is less human-like. Second, they attribute more recovery responsibility to the agent and less to the firm when those agents are human, rather than robots. Third, failure (recovery) attribution to the firm reduces (enhances) consumer forgiveness and satisfaction. This study identifies the impact of human-likeness and humanness on responsibility attribution processes in interaction with robotic and human agents. © 2023 Elsevier B.V., All rights reserved.</t>
  </si>
  <si>
    <t>consumption behavior; experimental study; failure analysis; robotics; service sector</t>
  </si>
  <si>
    <t>Kim, T.; Lee, O.-K.D.; Kang, J.</t>
  </si>
  <si>
    <t>Is it the best for barista robots to serve like humans? A multidimensional anthropomorphism perspective</t>
  </si>
  <si>
    <t>The COVID-19 pandemic has accelerated the use of contactless service robots in hospitality industries. However, the key drivers of consumer behaviors against service robots have been ill-understood. This study examines the interactive relationships between the physical (visual features) and psychological (service autonomy) dimensions of service-robot anthropomorphism and their impacts on consumer acceptance of service robots. Adopting an experimental vignette method (EVM) with 402 participants, the study reveals that the impacts of visual features on consumers’ intention are affected by the level of service robots’ autonomy; particularly, consumers showed the highest intention when the robots have medium visual features and high autonomy while their intention became lower for the same level of visual features with low autonomy. Interestingly, consumers showed the lowest intention with high level visual features, regardless of the levels of autonomy. Our results also show that human identity threats and consumer resistance play a significant counterproductive mechanism between service robot anthropomorphism and consumers’ intention. © 2022 Elsevier B.V., All rights reserved.</t>
  </si>
  <si>
    <t>Pande, S.; Gupta, K.P.</t>
  </si>
  <si>
    <t>Indian customers’ acceptance of service robots in restaurant services</t>
  </si>
  <si>
    <t>The present study attempts to develop and empirically test a theoretical model of service robot use acceptance (SRUA) that intends to explain Indian customers’ willingness to accept the use of service robots in restaurant services by modifying the Artificially Intelligent (AI) Device Use Acceptance (AIDUA) model. The proposed model is grounded on the Cognitive Appraisal Theory, Unified Theory of Acceptance and Use of Technology (UTAUT) and Human–Robot Interaction (HRI) literature. The data collected through a survey generated 419 usable customer responses that were used to empirically test the proposed model using Structural Equation Modeling (SEM). Findings indicate that customers go through a three-stage process, which includes primary appraisal stage, secondary appraisal stage and the outcome stage, in determining their willingness to accept the use of service robots in restaurants. The results of the study also indicate significant moderating effects of customers’ gender and previous experience with service robots in the proposed model. By providing an understanding about customers’ perception towards service robots in Indian restaurant settings, the study is expected to serve as a base for successful diffusion of service robots to create positive dining experiences within the restaurant settings in India and other developing nations with similar cultural orientations. © 2023 Elsevier B.V., All rights reserved.</t>
  </si>
  <si>
    <t>Human robot interaction; Intelligent robots; Mobile robots; Sales; Acceptance models; Cognitive appraisal; Customer acceptance; India; Intelligent devices; Restaurant; Service robots; Technology adoption; Theoretical modeling; Willingness to accept; Acceptance tests</t>
  </si>
  <si>
    <t>Huang, T.</t>
  </si>
  <si>
    <t>What Affects the Acceptance and Use of Hotel Service Robots by Elderly Customers?</t>
  </si>
  <si>
    <t>Against the realistic backdrop of the COVID-19 pandemic and an aging population, emerging robot technology provides a new path for the development of high-quality hotel service. However, little is known about elderly customers’ acceptance and use of hotel service robots. This study explores factors that affect elderly customers’ acceptance and use of hotel service robots. From the perspective of perception and emotion, based on the technology acceptance model and quality service theory, a hotel service robot acceptance model was constructed for this study, and a structural equation model was used to analyze the data from 218 interviews. The results show that empathy, perceived value, perceived usefulness and perceived ease of use directly affected the elderly customers’ intention to use robots. Perceived trust indirectly affected the use intention through perceived usefulness and perceived ease of use. This study provided a theoretical basis for user behaviors regarding hotel service robots and provided guidance for the research and development of hotel service robots and the marketing promotion of hotel managers, which would promote the healthy development of service robots and related industries, such as the hotel service industry. © 2022 Elsevier B.V., All rights reserved.</t>
  </si>
  <si>
    <t>artificial intelligence; COVID-19; elderly population; hospitality industry; hotel industry; marketing; perception; research and development; robotics</t>
  </si>
  <si>
    <t>Hoang, C.; Tran, H.-A.</t>
  </si>
  <si>
    <t>Robot cleaners in tourism venues: The importance of robot-environment fit on consumer evaluation of venue cleanliness</t>
  </si>
  <si>
    <t>Cleanliness is a key determinant of service quality, and robot cleaners are increasingly being deployed in tourism venues to reduce cleaning costs and increase efficiency. However, how robot deployment might alter tourists' perceptions of a venue's cleanliness remains unexplored. Building upon the person-environment fit theory, we propose that consumers' evaluations of robot cleaners are contingent on the fit between robots and the cleaning environment. We supplement two experiments with text analysis to show that deploying robot (vs. human) cleaners in a hotel/airport dilutes consumers' perceptions of the venue's cleanliness. Consumers generally perceive robot cleaners to be less competent than humans and thus expect a venue serviced by robot cleaners to be less clean. However, when the cleaning task is considered to be disgusting or disruptive, consumers view robot cleaners as more competent. These findings have important managerial implications for whether and how to deploy robot cleaners in tourism settings. © 2022 Elsevier B.V., All rights reserved.</t>
  </si>
  <si>
    <t>cleanup; consumption behavior; experimental study; hotel industry; management practice; perception; robotics; service quality; tourism management; tourism market; tourist behavior</t>
  </si>
  <si>
    <t>Deters, J.</t>
  </si>
  <si>
    <t>Analytics and intuition in the process of selecting talent: A holistic approach</t>
  </si>
  <si>
    <t>Human decisions, especially in management and personnel selection, are based on making judgments about people analytically and intuitively. Yet in business and scientific contexts, judgments are expected to be based on a rational analysis rather than intuitions or emotions. Intuition is often seen as something mystical that should not be trusted and thus eliminated from human decision-making. Our empirical and theoretical research shows that this is impossible when people are dealing with people. Instead, intuitions and emotions have significant power in the decision-making process. Neuroscience even shows that humans are incapable of switching off their emotions or intuitions when making decisions. Therefore, intuition and emotions as evolutionary achievements of human beings should be looked at more closely to use the wisdom they offer. This book provides an insight into the current state of research on rational-analytical procedures in personnel selection and complements this with research on intuitions and emotions in personnel diagnostics. By integrating scientifically verifiable rational-analytical decision-making procedures with the inner experiential knowledge of people, this book bridges two complementary ways of recognizing and making good decisions. It demonstrates how intuitions are developed and used in different fields of practice and cultures and how scientific research results from rational-analytical and intuitive-emotional selection procedures are successfully integrated by practitioners. Current state of research on integrating intuitive-emotional competencies &amp; rational-analytical procedures in decision making, esp. personnel selection How to use and develop analytical &amp; intuitive-emotional competencies for smart decision making . © 2022 Elsevier B.V., All rights reserved.</t>
  </si>
  <si>
    <t>Fails IC 1 (Does not appear to investigate AI agents)</t>
  </si>
  <si>
    <t>van Esch, P.; Cui, Y.G.; Das, G.; Jain, S.P.; Wirtz, J.</t>
  </si>
  <si>
    <t>Tourists and AI: A political ideology perspective</t>
  </si>
  <si>
    <t>The tourism industry has adopted AI agents as substitutes for human contact. We examine how tourists respond to AI in hotel service settings during a pandemic. Four studies show that services featuring human interaction is preferred to AI enabled interaction. Moreover, subjective happiness is identified as the underlying causal mechanism that drives this effect. We provide further nuanced insights by showing that politically conservative tourists discriminate between service agent types more. Theoretically we contribute to a more fine-grained understanding of tourists' responses towards AI by examining an affective and an individual difference factor (political ideology). Practically, marketers are encouraged to incorporate tourists' ideologies and psychographics into segmentation, targeting, and positioning considerations, thereby enhancing their marketing effectiveness. © 2022 Elsevier B.V., All rights reserved.</t>
  </si>
  <si>
    <t>artificial intelligence; hotel industry; political ideology; robotics; tourism; tourist behavior</t>
  </si>
  <si>
    <t>Mehta, P.; Jebarajakirthy, C.; Maseeh, H.I.; Anubha, A.; Saha, R.; Dhanda, K.</t>
  </si>
  <si>
    <t>Artificial intelligence in marketing: A meta-analytic review</t>
  </si>
  <si>
    <t>This study synthesizes the artificial intelligence literature into a Meta-analytic framework based on the theory of reasoned action and the unified theory of acceptance and use of technology 2, and examines concrete relationships between the constructs of this framework. This meta-review also performed a moderation analysis to investigate the possible reasons for inconsistent findings across studies. The findings suggest that three methodological moderators (sample type, gender dominance, and publication type), and one contextual moderator (level of country's technology advancement) lead to inconsistencies in the relationships between study constructs. Academically, this review synthesizes the artificial intelligence literature and resolves inconsistencies in the literature and also adds constructs to both theory of reasoned action and the unified theory of acceptance and use of technology 2. Practically, this meta-analysis offers multiple implications for businesses interested in enhancing customer adoption of artificial intelligence. Especially, companies can increase customers' adoption of artificial intelligence by making it more user-friendly, and advantageous and by adding pleasing features to it. © 2022 Elsevier B.V., All rights reserved.</t>
  </si>
  <si>
    <t>Filieri, R.; Lin, Z.; Li, Y.; Lu, X.; Yang, X.</t>
  </si>
  <si>
    <t>Customer Emotions in Service Robot Encounters: A Hybrid Machine-Human Intelligence Approach</t>
  </si>
  <si>
    <t>Understanding consumer emotions arising from robot-customers encounters and shared through online reviews is critical for forecasting consumers’ intention to adopt service robots. Qualitative analysis has the advantage of generating rich insights from data, but it requires intensive manual work. Scholars have emphasized the benefits of using algorithms for recognizing and differentiating among emotions. This study critically addresses the advantages and disadvantages of qualitative analysis and machine learning methods by adopting a hybrid machine-human intelligence approach. We extracted a sample of 9707 customers reviews from two major social media platforms (Ctrip and TripAdvisor), encompassing 412 hotels in 8 countries. The results show that the customer experience with service robots is overwhelmingly positive, revealing that interacting with robots triggers emotions of joy, love, surprise, interest, and excitement. Discontent is mainly expressed when customers cannot use service robots due to malfunctioning. Service robots trigger more emotions when they move. The findings further reveal the potential moderation effect of culture on customer emotional reactions to service robots. The study highlights that the hybrid approach can take advantage of the scalability and efficiency of machine learning algorithms while overcoming its shortcomings, such as poor interpretative capacity and limited emotion categories. © 2022 Elsevier B.V., All rights reserved.</t>
  </si>
  <si>
    <t>Alabed, A.; Javornik, A.; Gregory-Smith, D.</t>
  </si>
  <si>
    <t>AI anthropomorphism and its effect on users' self-congruence and self–AI integration: A theoretical framework and research agenda</t>
  </si>
  <si>
    <t>This paper examines how users of anthropomorphised artificially intelligent (AI) agents, which possess capabilities to mimic humanlike behaviour, relate psychologically to such agents in terms of their self-concept. The proposed conceptual framework specifies different levels of anthropomorphism of AI agents and, drawing on insights from psychology, marketing and human–computer interaction literature, establishes a conceptual link between AI anthropomorphism and self-congruence. The paper then explains how this can lead to self–AI integration, a novel concept that articulates the process of users integrating AI agents into their self-concept. However, these effects can depend on a range of moderating factors, such as consumer traits, situational factors, self-construal and social exclusion. Crucially, the conceptual framework specifies how these processes can lead to specific personal-, group- and societal-level consequences, such as emotional connection and digital dementia. The research agenda proposed on the basis of the conceptual framework identifies key areas of interest that should be tackled by future research concerning this important phenomenon. © 2022 Elsevier B.V., All rights reserved.</t>
  </si>
  <si>
    <t>Behavioral research; Integration; Anthropomorphism; Artificially intelligent; Conceptual frameworks; Intelligent integration; Personality traits; Research agenda; Self-congruence; Self-integration; Theoretical framework; Theoretical research; Human computer interaction; artificial intelligence; conceptual framework; human behavior; marketing; psychology</t>
  </si>
  <si>
    <t>Hentzen, J.K.; Hoffmann, A.; Dolan, R.; Pala, E.</t>
  </si>
  <si>
    <t>Artificial intelligence in customer-facing financial services: a systematic literature review and agenda for future research</t>
  </si>
  <si>
    <t>Purpose: The objective of this study is to provide a systematic review of the literature on artificial intelligence (AI) in customer-facing financial services, providing an overview of explored contexts and research foci, identifying gaps in the literature and setting a comprehensive agenda for future research. Design/methodology/approach: Combining database (i.e. Scopus, Web of Science, EBSCO, ScienceDirect) and manual journal search, the authors identify 90 articles published in Australian Business Deans Council (ABDC) journals for investigation, using the TCCM (Theory, Context, Characteristics and Methodology) framework. Findings: The results indicate a split between data-driven and theory-driven research, with most studies either adopting an experimental research design focused on testing the accuracy and performance of AI algorithms to assist with credit scoring or investigating AI consumer adoption behaviors in a banking context. The authors call for more research building overarching theories or extending existing theoretical perspectives, such as actor networks. More empirical research is required, especially focusing on consumers' financial behaviors as well as the role of regulation, ethics and policy concerned with AI in financial service contexts, such as insurance or pensions. Research limitations/implications: The review focuses on AI in customer-facing financial services. Future work may want to investigate back-office and operations contexts. Originality/value: The authors are the first to systematically synthesize the literature on the use of AI in customer-facing financial services, offering a valuable agenda for future research. © 2022 Elsevier B.V., All rights reserved.</t>
  </si>
  <si>
    <t>Rauschnabel, P.A.; Felix, R.; Hinsch, C.; Shahab, H.; Alt, F.</t>
  </si>
  <si>
    <t>What is XR? Towards a Framework for Augmented and Virtual Reality</t>
  </si>
  <si>
    <t>Augmented Reality (AR), Virtual Reality (VR), Mixed Reality, and Extended Reality (often – misleadingly – abbreviated as XR) are commonly used terms to describe how technologies generate or modify reality. However, academics and professionals have been inconsistent in their use of these terms. This has led to conceptual confusion and unclear demarcations. Inspired by prior research and qualitative insights from XR professionals, we discuss the meaning and definitions of various terms and organize them in our proposed framework. As a result, we conclude that (1) XR should not be used to connote extended reality, but as a more open approach where the X implies the unknown variable: xReality; (2) AR and VR have fundamental differences and thus should be treated as different experiences; (3) AR experiences can be described on a continuum ranging from assisted reality to mixed reality (based on the level of local presence); and (4), VR experiences can be conceptualized on a telepresence-continuum ranging from atomistic to holistic VR. © 2022 Elsevier B.V., All rights reserved.</t>
  </si>
  <si>
    <t>Mixed reality; Visual communication; Assisted reality; Atomistics; Augmented and virtual realities; Definition; Metaverses; Telepresence; Virtual reality experiences; Augmented reality; article; augmented reality; human; virtual reality</t>
  </si>
  <si>
    <t>Jabeen, F.; Al Zaidi, S.; Al Dhaheri, M.H.</t>
  </si>
  <si>
    <t>Automation and artificial intelligence in hospitality and tourism</t>
  </si>
  <si>
    <t>Purpose: This study aims to develop a framework to identify and prioritize the key factors in automation and artificial intelligence (AI) implementation in the hospitality and tourism industry. Design/Methodology/Approach: This paper used the analytic hierarchy process, a multi-criteria decision-making method, to prioritize the factors influencing automation and AI implementation. This paper developed a model with five criteria (human knowledge, services, robotics applications, internal environment and institutional environment) and 23 sub-criteria obtained from previous studies. This paper designed a questionnaire in the form of pairwise comparisons based on the proposed hierarchical structure. This paper used a nine-point ranking scale to show the relative significance of each variable in the hierarchy and tested the model among staff from 35 five-star hotels and top-rated tourism agencies in the United Arab Emirates. Findings: Human knowledge, services and robotics applications were the most significant factors influencing automation and AI implementation. Practitioners and researchers in the hospitality and tourism industry could apply the proposed framework to develop sustainable strategies for implementing and managing automation and AI. The proposed framework may also be useful in future studies examining AI implementation in the hospitality and tourism industry. Originality/Value: This paper developed a framework for policymakers that identifies and could help to overcome some of the challenges in implementing automation and AI in the hospitality and tourism sector around the world. The results provide an agenda for future research in this area. © 2022 Elsevier B.V., All rights reserved.</t>
  </si>
  <si>
    <t>Zhang, S.; Huang, C.; Li, X.; Ren, A.</t>
  </si>
  <si>
    <t>Understanding Impacts of Service Robots with the Revised Gap Model</t>
  </si>
  <si>
    <t>The service quality gap model, which identifies the antecedents of SERVQAUL, reveals that service quality depends on the gap between customer perceived and expected service (Gap 5), which can be caused by other gaps in the service process (Gaps 1–4). The emergence of service robots has affected the quality of services provided; however, little is known about how these impacts happen. Thus, this paper aims to explore the impacts of service robots on service quality by revising the original gap model in the context of robot service. This paper reviews and analyzes the literature related to service robots and develops a revised gap model for robot service by integrating the existing research on the impacts of service robots. By introducing the roles of robots and robot manufacturers into the original gap model, the revised gap model adds three new gaps: Gap 6 (manufacturers’ understanding gap), Gap 7 (technical gap), and Gap 8 (service coordination gap). Based on the revised gap model, the impacts of service robots on service quality are expounded (i.e., Gap 5 can be affected by not only Gaps 1–4 but also Gaps 6–8), and several propositions are introduced. This paper is the first to consider robot manufacturers as part of the service quality gap model, and the first to use a dynamic model to explore the impacts of service robots on service quality. This paper not only supplements the service robot and gap model literature but also provides service companies with a meaningful framework to improve service quality when using robots to provide service. © 2022 Elsevier B.V., All rights reserved.</t>
  </si>
  <si>
    <t>model; robotics; service quality</t>
  </si>
  <si>
    <t>The study meets Exclusion Criterion 1 (EC 1) and fails to meet Inclusion Criterion 3 (IC 3).</t>
  </si>
  <si>
    <t>Yang, C.; Hu, J.</t>
  </si>
  <si>
    <t>When do consumers prefer AI-enabled customer service? The interaction effect of brand personality and service provision type on brand attitudes and purchase intentions</t>
  </si>
  <si>
    <t>As artificial intelligence (AI) technology has advanced, it has become crucial to promoting service innovation and evolution. However, whether and when consumers prefer AI-enabled services remains unclear. This study addresses this question by investigating the matching effect of brand personality (sincerity vs. competence) and customer service provision type (human-staffed vs. AI-enabled) on brand attitudes and purchase intentions. Three scenario-based online experiments revealed that consumers prefer AI-enabled customer service when the brand personality is competence and human-staffed service when the brand personality is sincerity. These preferences lead to more positive brand attitudes and higher purchase intentions. We also found that perceived brand authenticity mediates the above relationships. Meanwhile, our investigation of the moderating role of consumer involvement found that the brand personality-service provision alignment’s positive effects emerge for high-involvement consumers but not for low-involvement consumers. These findings contribute to brand personality and authenticity theory and have practical implications for companies’ marketing strategies—elucidating, for example, how the effects of utilizing AI-enabled customer service may influence brand attitudes and purchase intentions regarding brands with different “personalities.” © 2022 Elsevier B.V., All rights reserved.</t>
  </si>
  <si>
    <t xml:space="preserve">Strong alignment with all inclusion criteria and no (relevant) exclusion criteria met.
</t>
  </si>
  <si>
    <t>Mele, C.; Russo Spena, T.; Marzullo, M.; Ruggiero, A.</t>
  </si>
  <si>
    <t>Boundary work in value co-creation practices: the mediating role of cognitive assistants</t>
  </si>
  <si>
    <t>Purpose: How to improve healthcare for the ageing population is attracting academia attention. Emerging technologies (i.e. robots and intelligent agents) look relevant. This paper aims to analyze the role of cognitive assistants as boundary objects in value co-creation practices. We include the perceptions of the main actors – patients, (in)formal caregivers, healthcare professionals – for a fuller network perspective to understand the potential overlap between boundary work and value co-creation practices. Design/methodology/approach: We adopted a grounded approach to gain a contextual understanding design to effectively interpret context and meanings related to human–robot interactions. The study context concerns 21 health solutions that had embedded the Watson cognitive platform and its adoption by the youngest cohort (50–64-year-olds) of the ageing population. Findings: The cognitive assistant acts as a boundary object by bridging actors, resources and activities. It enacts the boundary work of actors (both ageing and professional, caregivers, families) consisting of four main actions (automated dialoguing, augmented sharing, connected learning and multilayered trusting) that elicit two ageing value co-creation practices: empowering ageing actors in medical care and engaging ageing actors in a healthy lifestyle. Originality/value: We frame the role of cognitive assistants as boundary objects enabling the boundary work of ageing actors for value co-creation. A cognitive assistant is an “object of activity” that mediates in actors' boundary work by offering novel resource interfaces and widening resource access and resourceness. The boundary work of ageing actors lies in a smarter resource integration that yields broader applications for augmented agency. © 2022 Elsevier B.V., All rights reserved.</t>
  </si>
  <si>
    <t>Boninsegni, M.F.; Roy, A.; Bakpayev, M.; Kumar, S.; Peronard, J.-P.; Reimer, T.</t>
  </si>
  <si>
    <t>Opportunities of and threats to consumer well-being in the age of Fourth Industrial Revolution (IR 4.0) technologies</t>
  </si>
  <si>
    <t>Purpose: Fourth Industrial Revolution (IR 4.0) technologies have strong potential to affect consumer well-being, positively or negatively, so the current paper aims to review potential opportunities and threats that these technologies represent for consumers in several core economic sectors: health care, education, financial services, manufacturing and retailing. Design/methodology/approach: This paper proposes a conceptual framework for how IR 4.0 technologies affect consumer well-being in five representative sectors: health care, education, financial services, manufacturing and retailing. The authors argue that the potential transformations of these specific sectors, facilitated by these technologies, may have profound effects on consumer well-being, with urgent public policy implications. Findings: Emerging technologies, such as artificial intelligence, robotics, the Internet of Things, three-dimensional printing, machine learning and blockchain, provide customers with novel approaches toward decisions regarding health, education, finances and other fundamental parts of their lives. The organizations that provide these services, such as hospitals, universities and banks, actively adopt the innovations offered by IR 4.0. These evolving and disruptive technologies thus are changing reality for consumers and providers. Originality/value: This paper proposes some novel public policy implications of IR 4.0 technologies for consumer well-being, and it outlines further research directions that can enhance understanding of relevant technologies and the consequences of their use for society. © 2022 Elsevier B.V., All rights reserved.</t>
  </si>
  <si>
    <t>Anirudh, K.C.; Dixit, A.K.; Sharma, A.K.</t>
  </si>
  <si>
    <t>Emerging Artificial Intelligence and Machine Learning Techniques and Their Application to Corporate Management and Decision Making in Agriculture</t>
  </si>
  <si>
    <t>Academia and industry are exploring the application potential of Artificial Intelligence (AI) and Machine Learning (ML) in different areas, i.e., Decision Support Systems (DSS), market research, customer segmentation, enhancement of operational efficiencies, estimation of customer churn rate and factors causing churn, dynamic pricing, sentiment analysis, automated surveillance, product recommendation, chatbots, forecasting and so on. Freedom from rigid assumptions makes AI and ML more expedient and flexible than many conventional statistical tools and techniques. ML techniques and algorithms are being evaluated and tested constantly to develop better versions of the existing ones. Some of the common algorithms in ML techniques like Neural Networks (NN), Decision Trees, XGBoost, K-Nearest Neighbour (KNN), fuzzy logic, rough sets, logistic regression or a combination of them are being employed for forecasting and decision making in management. ML is also used to forecast weather, agricultural production, the incidence of pests and diseases, animal behaviour, price and demand of agriculture and non-agricultural products. Society can be benefited to a great extent from numerous applications of AI in the arena of agriculture, business, research and development (R&amp;D), and policy formulations but several limitations such as unavailability of data, higher initial investments, lesser expertise and skill in the field are to be addressed. © 2024 Elsevier B.V., All rights reserved.</t>
  </si>
  <si>
    <t>Stock-Homburg, R.; Heitlinger, L.</t>
  </si>
  <si>
    <t>Good Robot, Bad Robot: Customer Responses to Norm-Compliant and Norm-Violating Service Robots</t>
  </si>
  <si>
    <t>Service robots that interact with customers have penetrated various industries. With a basis in social identity theory, this study examines how customers respond to frontline service robots (FSRs) by investigating norm-compliant versus norm-violating behaviors compared with similar behaviors by human frontline employees (FLEs). In experimental studies, a black sheep effect occurs, such that customers downgrade norm-violating FLE behaviors more than similar behaviors by FSRs. They also upgrade norm-compliant behaviors by human FLEs more than those of FSRs. In service failures, this effect manifests as greater anger and frustration toward the FLE. We establish the underlying mechanism driving the black sheep effect: customers assign FSRs to an outgroup but categorize FLEs to their social ingroup, across different service encounters and independent of interaction frequency. © 2024 Elsevier B.V., All rights reserved.</t>
  </si>
  <si>
    <t>Behavioral research; Information systems; Mobile robots; Sales; Black sheep effect; Compliant behavior; Customer response; Customer-robot interaction; Employee behavior; Frontline; Robot interactions; Service encounter; Service robots; Social identity theories; Information use</t>
  </si>
  <si>
    <t>Prinz, K.</t>
  </si>
  <si>
    <t>The Smiling Chatbot: Investigating Emotional Contagion in Human-to-Chatbot Service Interactions</t>
  </si>
  <si>
    <t>Significant advances in the field of artificial intelligence have given a strong tailwind to the spread of technologies based on it. AI technologies are increasingly influencing private contexts but also the service sector where more and more service encounters are handled by chatbots. In part, however, the spread of chatbots and the associated focus on their functional advantages seem to contradict extant research findings that service interactions are also driven by emotional components. A central role is played here by so-called emotional contagion (i.e., the unconscious transfer of emotions from employees to customers). Against the background that this contagion with positive emotions can lead to a better evaluation of the service transaction in the further course, it is the goal of this book to investigate the effects of positive displayed emotions of a chatbot. For this purpose, six consecutive studies were conducted. The results show that the expression of positive emotions by a chatbot enriches the service interactions by transmitting positive emotions that, in the further course, do also lead to a better evaluation of the service experienced. Moreover, it is shown that these emotional reactions are dependent on the customer's personality and the chatbot's appearance, expressed through an avatar. © 2023 Elsevier B.V., All rights reserved.</t>
  </si>
  <si>
    <t>Jamaluddin, Z.; Rahmat, A.K.</t>
  </si>
  <si>
    <t>Artificial Intelligence Technology in Travel, Tourism and Hospitality: Current and Future Developments</t>
  </si>
  <si>
    <t>Artificial intelligence (AI) is appearing in almost all field of travel and tourism, present in various types of applications for instance the care of critical busi-ness processes, ease human experiences and support important governance features. AI has been object of research in travel, tourism and hospitality has gained tremen-dous impact on making lives easier for travelers around the globe. Tourism companies have applied AI in projecting tourism arrivals, demands, expenses and hotel occu-pancy, identification of destination points and evaluation of online reviews. This paper presents an overview on current implementation of AI technology in travel, tourism and hospitality based on operation, facility management, supply chain and marketing. In term of company view, they protected data acquisition, the provision of rich service, support customer engagement and improved employee productivity and efficiency. Furthermore, AI technology could increase the perceived service quality through new attractive and interactive manners of service delivery, connecting and engaging with customers. This paper also stresses on potential AI implementations in tourism industry in the future such as self-driving vehicle, crops and forest moni-toring, AI in pest control, decision support system, forest protections, virtual reality and AI dimension travel tourism. © 2023 Elsevier B.V., All rights reserved.</t>
  </si>
  <si>
    <t>Cvetković, I.; Bittner, E.</t>
  </si>
  <si>
    <t>Task Delegability to AI: Evaluation of a Framework in a Knowledge Work Context</t>
  </si>
  <si>
    <t>With the increased research focus on ways to use AI for augmentation rather than automation of knowledge-intensive work, a myriad of questions on how this should be accomplished arises. To break down the complexity of Human-AI collaboration, this paper pursues the identification of factors that contribute to the delegation of tasks to AI in such a setting, and consequently gain insights into requirements for meaningful task allocation. To address this research gap, we carried out an empirical study on an existing task delegability framework in a knowledge work context. We employed several statistical approaches such as confirmatory factor analysis, linear regression, and analysis of covariance. Results show that an adapted framework with fewer factors fits the data better. As for the framework factors, we show that the factor trust predicts delegability best. Furthermore, we find a significant impact of task on delegability decision. Finally, we derive theoretical and design implications. © 2025 Elsevier B.V., All rights reserved.</t>
  </si>
  <si>
    <t>Regression analysis; Break down; Confirmatory factor analysis; Empirical studies; Gain insight; Knowledge work; Linear analysis; Research focus; Research gaps; Statistical approach; Task allocation; Factor analysis</t>
  </si>
  <si>
    <t>Binza, L.; Budree, A.</t>
  </si>
  <si>
    <t>Towards a Balanced Natural Language Processing: A Systematic Literature Review for the Contact Centre: Balancing the AI Triple Challenge of Opportunity, Ethics, and Opportunity Cost!</t>
  </si>
  <si>
    <t>Artificial Intelligence (AI), which is the design, development, and utilisation of iterative and complex algorithmic systems that complete tasks which normally required human intelligence, is rapidly gaining momentum throughout the world. Through Machine Learning these AI systems automatically learn and adapt themselves so that they can offer an even more accurate outcome than humans and this offers many exciting benefits to most businesses and economies. But their introduction has raised ethical questions after some unethical conduct on their part like racism, biasness against women, unemployment (through intelligent automation), and inequality. After these incidents of unethical behaviour by some AI technologies around the globe most public, private, and even non-profit organisations embarked on initiatives to address the unethical conduct of AI systems. They produced a range of ethical AI frameworks, guidelines, and principles, but a properly balanced AI, where opportunity, ethics, and opportunity costs intersect, is still to be achieved or realised. Most AI Practitioners are pressured by their shareholders to prioritise commercial interests over ethical considerations. The findings from this Systematic Literature Review study, which used meta-analyses for qualitative synthesis, demonstrate that a Balanced Natural Language Processing (NLP) is possible. © 2022 Elsevier B.V., All rights reserved.</t>
  </si>
  <si>
    <t>Balancing; Ethical technology; Iterative methods; Learning algorithms; Natural language processing systems; Artificial intelligence systems; Balanced artificial intelligence; Ethical artificial intelligence; Language processing; Machine-learning; Natural language processing; Natural languages; Opportunity costs; Systematic literature review; Unethical conduct; Machine learning</t>
  </si>
  <si>
    <t>Fails IC 3 / Meets EC 5 (Type: conference paper or identified as Review)</t>
  </si>
  <si>
    <t>Sharma, K.; Dhir, S.; Ongsakul, V.</t>
  </si>
  <si>
    <t>Artificial intelligence and hospitality industry: systematic review using TCCM and bibliometric analysis</t>
  </si>
  <si>
    <t>This study gives an extensive review of the literature that exists concerning artificial intelligence. This paper helps identify the recent trends in AI in the hospitality industry and research gaps. The use of primary data for qualitative analysis is still low due to the industry's newness of AI applications. The theory development, characteristics, context and methodology (TCCM) framework has been employed for theory development and to identify gaps in existing research and future research directions. This paper provides a qualitative analysis of the relationship between varied use of AI in the hospitality industry holistically using bibliometric analysis and TCCM. Results show that 'consumer experience', 'robots', 'forecasting', 'willingness to accept', 'technology development', 'human-robot interaction' are the main domains. The perception of customers, experience, and technology development are a few factors that impact a firm's competitiveness immensely. This analysis provides a picture of the current state of AI in the hospitality domain. © 2022 Elsevier B.V., All rights reserved.</t>
  </si>
  <si>
    <t>Cai, D.; Li, H.; Law, R.</t>
  </si>
  <si>
    <t>Anthropomorphism and OTA chatbot adoption: a mixed methods study</t>
  </si>
  <si>
    <t>Anthropomorphizing chatbots can facilitate effective customer interaction. Based on a mixed method, this study explores perceived chatbot anthropomorphism cues and their effects on customers’ chatbot usage intentions (UIs)in the online travel agency context. Findings suggest that (1) social presence cues and emotional message cues are major anthropomorphic cues of interest for customers and enterprises; (2) social presence cues by simply using a human avatar or mentioning the customer’s name might not be sufficient; (3) anthropomorphic emotional message cues are essential in shaping customers’ UIs; and (4) perceived trustworthiness, intelligence, and enjoyment mediate the above effect. © 2022 Elsevier B.V., All rights reserved.</t>
  </si>
  <si>
    <t>Uğurlu, K.</t>
  </si>
  <si>
    <t>Technology in Tourism Marketing</t>
  </si>
  <si>
    <t>Information and communication technologies (ICTs) have had a significant impact on the hospitality and tourism industry over the last decade, and they continue to be the main drivers of tourism. Tourism businesses make significant use of information technology for marketing purposes. This is true in the area of assisting in marketing decisions as well as in the area of communication and sales. Technology has helped to reduce costs, increase operational efficiency, and improve services and customer experience. Thanks to the availability of information technologies enabled by the Internet, such as websites and social networks in the tourism industry, it has become easier to implement marketing strategies for tourism products in a way that improves the quality of online service to effectively meet the needs of customers. Every aspect of tourism product features and tourism marketing features are significantly influenced by ICT.With the use of robots, artificial intelligence, and other automation systems being used in the manufacturing industry as well as in the tourism and hospitality industry, the use of these new technologies as both a product and a marketing tool has become prevalent in the marketing applications of tourism businesses. ICT, digitalization, and smart technologies seem to offer four important new opportunities to firms in today’s business world. These include developing new business, developing new methods to facilitate management, improving productivity, and gaining a competitive advantage. The study aims to highlight the benefits, contribution, and application areas of technology in the tourism, travel, and hospitality industry. © 2025 Elsevier B.V., All rights reserved.</t>
  </si>
  <si>
    <t>Leisure; Sales; User experience; Digital marketing; Hospitality industry; Information and Communication Technologies; Information and communication technology; Marketing decision; Reduce costs; Smart technology; Tourism 4.0; Tourism industry; Tourism marketings; Tourism</t>
  </si>
  <si>
    <t>Hollebeek, L.D.; Clark, M.K.; MacKy, K.</t>
  </si>
  <si>
    <t>Demystifying consumer digital cocreated value: Social presence theory-informed framework and propositions</t>
  </si>
  <si>
    <t>While cocreation research proliferates, existing studies fail to isolate its manifestation through digital (vs non-digital) platforms. Moreover, extant research predominantly explores the cocreation process (vs its outcome of cocreated value), which therefore merits further scrutiny, particularly in the digital context. Based on these gaps, we explore consumer digital cocreated value (CDCV), which reflects the consumer-perceived value that arises by interacting, collaborating, or communicating with or through digital platforms (touch-points). We classify digital platforms as (1) human-to-human platforms (H2HPs; for example, social media), and (2) human-to-machine platforms (H2MPs), which comprise the sub-types of (a) robotic process automation-based platforms (e.g. call centers) and (b) machine/deep learning-based platforms (e.g. service robots). We next compose a social presence theory-informed framework that explores the effect of perceived platform intimacy and immediacy on CDCV for our proposed platforms. We formalize the framework’s associations by developing a set of Propositions, and conclude by discussing important implications that arise from this research. © 2021 Elsevier B.V., All rights reserved.</t>
  </si>
  <si>
    <t>Fails IC 2 (Does not address customer service, automation, or decision support). Fails IC 3 (No clear mention of empirical evidence, case study, or implementation). Fails IC 4 (Language: french)</t>
  </si>
  <si>
    <t>Coppola, R.; Ardito, L.</t>
  </si>
  <si>
    <t>Quality assessment methods for textual conversational interfaces: A multivocal literature review</t>
  </si>
  <si>
    <t>The evaluation and assessment of conversational interfaces is a complex task since such software products are challenging to validate through traditional testing approaches. We conducted a systematic Multivocal Literature Review (MLR), on five different literature sources, to provide a view on quality attributes, evaluation frameworks, and evaluation datasets proposed to provide aid to the researchers and practitioners of the field. We came up with a final pool of 118 contributions, including grey (35) and white literature (83). We categorized 123 different quality attributes and metrics under ten different categories and four macro-categories: Relational, Conversational, User-Centered and Quantitative attributes. While Relational and Conversational attributes are most commonly explored by the scientific literature, we testified a predominance of User-Centered Attributes in industrial literature. We also identified five different academic frameworks/tools to automatically compute sets of metrics, and 28 datasets (subdivided into seven different categories based on the type of data contained) that can produce conversations for the evaluation of conversational interfaces. Our analysis of literature highlights that a high number of qualitative and quantitative attributes are available in the literature to evaluate the performance of conversational interfaces. Our categorization can serve as a valid entry point for researchers and practitioners to select the proper functional and non-functional aspects to be evaluated for their products. © 2021 Elsevier B.V., All rights reserved.</t>
  </si>
  <si>
    <t>Computer software selection and evaluation; Quality control; Complex task; Conversational interface; Evaluation and assessment; Literature reviews; Quality assessment; Quality attributes; Quantitative attributes; Software products; Software quality attributes; User-centred; Software testing</t>
  </si>
  <si>
    <t>Uzir, M.U.H.; Al Halbusi, H.; Lim, R.; Jerin, I.; Abdul Hamid, A.B.; Ramayah, T.; Haque, A.</t>
  </si>
  <si>
    <t>Applied Artificial Intelligence and user satisfaction: Smartwatch usage for healthcare in Bangladesh during COVID-19</t>
  </si>
  <si>
    <t>The evolution of Artificial Intelligence (AI) has revolutionized many aspects of human life, including healthcare. Amidst the Covid-19 pandemic, AI-enabled smartwatches are being used to help users to self-monitor and self-manage their health. Using a framework based on Stimulus-Organism-Response (S–O-R) theory, this present study aimed to explore the use of AI-enabled smartwatches for health purposes, in particular the effects of product quality, service quality, perceived convenience, and perceived ease of use on user experience, trust and user satisfaction. Based on a purposive survey sample of 486 smartphone users in Bangladesh, data collected was analyzed using SPSS software for elementary analyses and PLS-SEM for hypotheses testing. The findings showed that the predictors, namely product quality, service quality, perceived convenience, and perceived ease of use, significantly affected user experience and trust. Similarly, user experience and trust were influential on user satisfaction and played partial mediating roles between predictors and user satisfaction. Besides, gender and age moderate the relationships of experience and trust with customer satisfaction. These findings support the S–O-R theoretical framework and have practical implications for brand and marketing managers of smartwatches in developing product features and understanding users' attitudes and behaviours. © 2022 Elsevier B.V., All rights reserved.</t>
  </si>
  <si>
    <t>Artificial intelligence; Biology; Customer satisfaction; Health care; Quality control; Software testing; Applied artificial intelligence; Bangladesh; COVID-19; Perceived ease-of-use; Quality services; Service Quality; Smartwatch; User trust; Users' experiences; Users' satisfactions; Quality of service; artificial intelligence; health care; health services; health status; Varanidae</t>
  </si>
  <si>
    <t>Hollebeek, L.D.</t>
  </si>
  <si>
    <t>Démystifier la valeur cocréée digitale du consommateur : cadre et propositions fondées sur la théorie de la présence sociale</t>
  </si>
  <si>
    <t>[No abstract available]</t>
  </si>
  <si>
    <t>Keung, K.L.; Lee, C.K.M.; Ji, P.</t>
  </si>
  <si>
    <t>Data-driven order correlation pattern and storage location assignment in robotic mobile fulfillment and process automation system</t>
  </si>
  <si>
    <t>With the rapid development and implementation of ICT, academics and industrial practitioners are widely applying robotic process automation (RPA) to enhance their business processes and operational efficiencies. This paper intends to address the value creation of utilizing RPA under the cloud-based Cyber-Physical Systems (CPS) in Robotic Mobile Fulfillment System (RMFS). By providing a TO-BE analysis of RPA and cloud-based CPS framework, a data-driven approach is proposed for zone clustering and storage location assignment classification in RMFS. The purpose of the paper is to gain better operational efficiency in RMFS. A modified A* algorithm is adopted for calculating the total traveling cost of each moveable rack in the case company layout. Nine common clustering algorithms are applied for the RMFS's zone clustering. The results from the zone clustering are considered as nine scenarios for data-driven order classification to solve the storage location assignment problem. Six common classification algorithms are applied for a detailed comparison which has been conducted with thousands of orders. The results reveal that K-means, Gaussian Mixture Models, and Bayesian Gaussian Mixture Model are worked well with six supervised classification algorithms which yield an average of 95% accuracy rate and a higher customers’ expectation can be achieved under the customer-driven e-commerce economy. © 2021 Elsevier B.V., All rights reserved.</t>
  </si>
  <si>
    <t>Cluster analysis; Combinatorial optimization; Digital storage; Efficiency; Embedded systems; Gaussian distribution; Industrial robots; Location; Object recognition; Process control; Robotics; Classification algorithm; Cyber-physical systems (CPS); Gaussian Mixture Model; Industrial practitioners; Operational efficiencies; Process automation system; Storage location assignments; Supervised classification; K-means clustering</t>
  </si>
  <si>
    <t>Chuah, S.H.-W.; Aw, E.C.-X.; Yee, D.</t>
  </si>
  <si>
    <t>Unveiling the complexity of consumers’ intention to use service robots: An fsQCA approach</t>
  </si>
  <si>
    <t>Despite the growing body of research exploring factors associated with service robot adoption, the existing comprehension of this emerging technology remains largely fragmented. Previous studies have largely focused on the “net effect” between variables, leaving the complexity of consumer behavior uninvestigated. Building on relevant literature and complexity theory, this study intends to consolidate the fragmented views of service robot adoption literature by examining how human-likeness (i.e., anthropomorphism and perceived intelligence), technology-likeness (i.e., performance expectancy, hedonic motivation, and privacy risks), and consumer personalities (i.e., extraversion and openness to experience) combined as causal configurations to explain the behavioral intention to use service robots. Fuzzy set qualitative comparative analysis (fsQCA) was employed to analyze data from a sample of 566 Taiwanese consumers. The results from fsQCA results suggest that multiple, distinct, and equally effective combinations of human-like, technology-like, and consumer features exist to achieve high intention to use service robots. Four solutions are presented that lead to high adoption intention. This study contributes to the artificial intelligence literature by adopting a novel methodological approach to unveil the complexity behind the adoption of service robots. It also offers practical guidance for robot manufacturers and service managers to optimize the combination of human-likeness and technology-likeness in correspondence to consumer personalities for a successful service robots’ implementation. © 2021 Elsevier B.V., All rights reserved.</t>
  </si>
  <si>
    <t>Artificial intelligence; Consumer behavior; Intelligent robots; Analysis approach; Complexitity theory; Emerging technologies; Fuzzy Set Qualitative Comparative Analysis; Growing bodies; Human likeness; Intention to use; Net effect; Service robots; Technology adoption; Mobile robots</t>
  </si>
  <si>
    <t>Luo, J.M.; Vu, H.Q.; Li, G.; Law, R.</t>
  </si>
  <si>
    <t>Understanding service attributes of robot hotels: A sentiment analysis of customer online reviews</t>
  </si>
  <si>
    <t>Robots and artificial intelligence are essential to the future of the hospitality industry, and they are receiving increasing interest from hotel managers and researchers. However, the adoption of robotic services in hotel operations is a challenging task owing to the current level of technology and lack of understanding on the relationship between various aspects of robotic services and customer satisfaction. Moreover, no prior study has examined the service attributes of robots in hotels. To fill these gaps, this study analyzes customers’ sentiments on major hotels employing robotic services expressed through online reviews. A list of robot quality and operational area attributes is first constructed, through which underperforming robot service areas are identified. Sentiments on robotic services have a positive correlation with hotel service satisfaction, which plays an important role in determining the overall satisfaction of customers. The analysis and findings are valuable to researchers and managers for future research and adoption of robotic services in hotels. © 2021 Elsevier B.V., All rights reserved.</t>
  </si>
  <si>
    <t>Tariq, M.U.; Poulin, M.; Abonamah, A.A.</t>
  </si>
  <si>
    <t>Achieving Operational Excellence Through Artificial Intelligence: Driving Forces and Barriers</t>
  </si>
  <si>
    <t>This paper presents an in-depth literature review on the driving forces and barriers for achieving operational excellence through artificial intelligence (AI). Artificial intelligence is a technological concept spanning operational management, philosophy, humanities, statistics, mathematics, computer sciences, and social sciences. AI refers to machines mimicking human behavior in terms of cognitive functions. The evolution of new technological procedures and advancements in producing intelligence for machines creates a positive impact on decisions, operations, strategies, and management incorporated in the production process of goods and services. Businesses develop various methods and solutions to extract meaningful information, such as big data, automatic production capabilities, and systematization for business improvement. The progress in organizational competitiveness is apparent through improvements in firm’s decisions, resulting in increased operational efficiencies. Innovation with AI has enabled small businesses to reduce operating expenses and increase revenues. The focused literature review reveals the driving forces for achieving operational excellence through AI are improvement in computing abilities of machines, development of data-based AI, advancements in deep learning, cloud computing, data management, and integration of AI in operations. The barriers are mainly cultural constraints, fear of the unknown, lack of employee skills, and strategic planning for adopting AI. The current paper presents an analysis of articles focused on AI adoption in production and operations. We selected articles published between 2015 and 2020. Our study contributes to the literature reviews on operational excellence, artificial intelligence, driving forces for AI, and AI barriers in achieving operational excellence. © 2021 Elsevier B.V., All rights reserved.</t>
  </si>
  <si>
    <t>Mirbabaie, M.; Stieglitz, S.; Frick, N.R.J.</t>
  </si>
  <si>
    <t>Artificial intelligence in disease diagnostics: A critical review and classification on the current state of research guiding future direction</t>
  </si>
  <si>
    <t>The diagnosis of diseases is decisive for planning proper treatment and ensuring the well-being of patients. Human error hinders accurate diagnostics, as interpreting medical information is a complex and cognitively challenging task. The application of artificial intelligence (AI) can improve the level of diagnostic accuracy and efficiency. While the current literature has examined various approaches to diagnosing various diseases, an overview of fields in which AI has been applied, including their performance aiming to identify emergent digitalized healthcare services, has not yet been adequately realized in extant research. By conducting a critical review, we portray the AI landscape in diagnostics and provide a snapshot to guide future research. This paper extends academia by proposing a research agenda. Practitioners understand the extent to which AI improves diagnostics and how healthcare benefits from it. However, several issues need to be addressed before successful application of AI in disease diagnostics can be achieved. © 2021 Elsevier B.V., All rights reserved.</t>
  </si>
  <si>
    <t>artificial intelligence; deep learning; diagnostic accuracy; diagnostic procedure; disease classification; human; publication; Review; sensitivity and specificity; supervised machine learning</t>
  </si>
  <si>
    <t>Chkoniya, V.</t>
  </si>
  <si>
    <t>Handbook of research on applied data science and artificial intelligence in business and industry</t>
  </si>
  <si>
    <t>The contemporary world lives on the data produced at an unprecedented speed through social networks and the internet of things (IoT). Data has been called the new global currency, and its rise is transforming entire industries, providing a wealth of opportunities. Applied data science research is necessary to derive useful information from big data for the effective and efficient utilization to solve real-world problems. A broad analytical set allied with strong business logic is fundamental in today's corporations. Organizations work to obtain competitive advantage by analyzing the data produced within and outside their organizational limits to support their decision-making processes. This book aims to provide an overview of the concepts, tools, and techniques behind the fields of data science and artificial intelligence (AI) applied to business and industries. The Handbook of Research on Applied Data Science and Artificial Intelligence in Business and Industry discusses all stages of data science to AI and their application to real problems across industries-from science and engineering to academia and commerce. This book brings together practice and science to build successful data solutions, showing how to uncover hidden patterns and leverage them to improve all aspects of business performance by making sense of data from both web and offline environments. Covering topics including applied AI, consumer behavior analytics, and machine learning, this text is essential for data scientists, IT specialists, managers, executives, software and computer engineers, researchers, practitioners, academicians, and students. © 2022 Elsevier B.V., All rights reserved.</t>
  </si>
  <si>
    <t>Busulwa, R.; Evans, N.</t>
  </si>
  <si>
    <t>Digital Transformation in Accounting</t>
  </si>
  <si>
    <t>Digital Transformation in Accounting is a critical guidebook for accountancy and digital business students and practitioners to navigate the effects of digital technology advancements, digital disruption, and digital transformation on the accounting profession. Drawing on the latest research, this book: Unpacks dozens of digital technology advancements, explaining what they are and how they could be used to improve accounting practice. Discusses the impact of digital disruption and digital transformation on different accounting functions, roles, and activities. Integrates traditional accounting information systems concepts and contemporary digital business and digital transformation concepts. Includes a rich array of real-world case studies, simulated problems, quizzes, group and individual exercises, as well as supplementary electronic resources. Provides a framework and a set of tools to prepare the future accounting workforce for the era of digital disruption. This book is an invaluable resource for students on accounting, accounting information systems, and digital business courses, as well as for accountants, accounting educators, and accreditation / advocacy bodies. © 2021 Elsevier B.V., All rights reserved.</t>
  </si>
  <si>
    <t>Báez, M.; Daniel, F.; Casati, F.; Benatallah, B.</t>
  </si>
  <si>
    <t>Chatbot Integration in Few Patterns</t>
  </si>
  <si>
    <t>Chatbots are software agents that are able to interact with humans in natural language. Their intuitive interaction paradigm is expected to significantly reshape the software landscape of tomorrow, while already today chatbots are invading a multitude of scenarios and contexts. This article takes a developer's perspective, identifies a set of architectural patterns that capture different chatbot integration scenarios, and reviews state-of-the-art development aids. © 2021 Elsevier B.V., All rights reserved.</t>
  </si>
  <si>
    <t>Internet; Architectural pattern; Chatbot; Chatbots; Intuitive interaction; Natural languages; State of the art; Software agents</t>
  </si>
  <si>
    <t>Cakar, K.; Aykol, Ş.</t>
  </si>
  <si>
    <t>Understanding travellers’ reactions to robotic services: a multiple case study approach of robotic hotels</t>
  </si>
  <si>
    <t>Purpose: The purpose of this paper is to investigate travellers’ behaviour and examine their reactions to high-tech hotels offering robotic services to customers. Design/methodology/approach: Data were gathered from user-generated content within the context of a qualitative research method by analysing the online narratives of travellers at TripAdvisor who visited robotic hotels. Data analysis was realised through content analysis, which revealed various themes and categories of traveller behaviour and reactions to technology. Findings: Results show that robotic services significantly improve the quality of service offered to travellers, while positively affecting travellers’ intention to revisit robotic hotels within the context of customer engagement behaviours. Research limitations/implications: The results of the present research reveal that the introduction of new technologies in the service industry, such as the robotic butler, can have considerable effects on guest behaviour and attitudes. This field has emerged as a new sub-dimension of customer engagement. Practical implications: The use of robots will most likely enhance experiences through interaction between customers and robots. Additionally, in cases where social distancing is required, the use of robots in the hospitality and tourism industry may increase the mobility of people wishing to travel by applying social distancing through use of robots in services. Originality/value: The study contributes to the extant literature by identifying the concept of adoption as a sub-dimension deriving from human–robot interaction, thus generating the novelty of the research. © 2021 Elsevier B.V., All rights reserved.</t>
  </si>
  <si>
    <t>Lin, I.Y.; Mattila, A.S.</t>
  </si>
  <si>
    <t>The Value of Service Robots from the Hotel Guest's Perspective: A Mixed-Method Approach</t>
  </si>
  <si>
    <t>Service robots (SR) are increasingly valued and embraced; they are here to stay. Research on collaborative intelligence to better understand robotic-human partnerships is scarce. To bridge that gap this study aimed to examine the value of SR from the guest's perspective, thus gain a deeper understanding of the co-value creation process in the context of full-service hotels. A mixed-method design was used to capture the depth and breadth of perceived value of SR. Study 1 is a qualitative study probing consumers’ sense making regarding SR. Study 2 used structural equation modeling to test the hypotheses derived from Study 1. Results indicate that perceived privacy, functional benefits of SR, and robot appearance positively influence consumers’ attitude towards adoption of SR. Functional benefits and novelty had an impact on the individuals’ anticipated overall experience. Attitude and anticipated overall experience, in turn, enhanced consumers’ acceptance of SR. Implications, limitations, and future research are discussed. © 2021 Elsevier B.V., All rights reserved.</t>
  </si>
  <si>
    <t>Mirbabaie, M.; Stieglitz, S.; Brünker, F.; Hofeditz, L.; Ross, B.; Frick, N.R.J.</t>
  </si>
  <si>
    <t>Understanding Collaboration with Virtual Assistants – The Role of Social Identity and the Extended Self</t>
  </si>
  <si>
    <t>Organizations introduce virtual assistants (VAs) to support employees with work-related tasks. VAs can increase the success of teamwork and thus become an integral part of the daily work life. However, the effect of VAs on virtual teams remains unclear. While social identity theory describes the identification of employees with team members and the continued existence of a group identity, the concept of the extended self refers to the incorporation of possessions into one’s sense of self. This raises the question of which approach applies to VAs as teammates. The article extends the IS literature by examining the impact of VAs on individuals and teams and updates the knowledge on social identity and the extended self by deploying VAs in a collaborative setting. Using a laboratory experiment with N = 50, two groups were compared in solving a task, where one group was assisted by a VA, while the other was supported by a person. Results highlight that employees who identify VAs as part of their extended self are more likely to identify with team members and vice versa. The two aspects are thus combined into the proposed construct of virtually extended identification explaining the relationships of collaboration with VAs. This study contributes to the understanding on the influence of the extended self and social identity on collaboration with VAs. Practitioners are able to assess how VAs improve collaboration and teamwork in mixed teams in organizations. © 2021 Elsevier B.V., All rights reserved.</t>
  </si>
  <si>
    <t>Singh, J.; Nambisan, S.; Bridge, R.G.; Brock, J.K.-U.</t>
  </si>
  <si>
    <t>One-Voice Strategy for Customer Engagement</t>
  </si>
  <si>
    <t>Machine-age technologies, including automation, robotics, and artificial intelligence, are profoundly expanding the variety of service interfaces and therefore the possible ways that customers and firms can interact across customer journeys. This expansion challenges service firms’ capabilities to deliver coherent streams of interactions for effective customer engagement. This article develops a conceptual framework of firm capabilities that enable firms to operate with “one voice” to deliver seamless, harmonious, and reliable interactions across diverse interfaces in a customer journey. The proposed framework integrates three themes: (1) service interaction space to capture the interrelationship among devices, interfaces, interactions, and journeys; (2) learning and coordination as core capabilities for generating and using intelligence, respectively, to enhance customer engagement in subsequent interactions; and (3) one-voice strategy to configure learning and coordination capabilities in combinations that meet conditions of fitness and equifinality for effective customer engagement. We provide several research questions and priorities to guide research and practice. © 2021 Elsevier B.V., All rights reserved.</t>
  </si>
  <si>
    <t>Haleem, A.; Javaid, M.; Singh, R.P.; Rab, S.; Suman, R.</t>
  </si>
  <si>
    <t>Hyperautomation for the enhancement of automation in industries</t>
  </si>
  <si>
    <t>Hyperautomation is a true digital transformation with the help of advanced techniques such as Robotic Process Automation (RPA), Machine Learning (ML), and Artificial Intelligence (AI). It automates complicated business processes, even where topic specialists were formerly needed. This is an expansion to the processes of traditional business-process automation. Hyperautomation allows automation to do virtual tasks performed by business people by merging AI technologies with RPA. This takes to the next level for detecting and generating automation processes dynamically. It allows companies to combine business intelligence systems, undertake complex needs, and increase human expertise and automation experience. This paper briefly discusses Hyperautomation and its need in the current scenario. Then it elaborates the significant roles of sensors to enhance Hyperautomation. Various versatile Technologies, such as dedicated workflow processes, specific domains of Solicitations associated with Hyperautomation, are also discussed diagrammatically. Then this study further identifies and discusses the capabilities of hyper-automation for industries. Hyperautomation is being utilised to increase the efficiency and human enhancement of automated operations substantially. It comprises several automated tools, including analytics, discovery, design, measurement, monitoring, and complex automation components. Thus, it ideally utilises to integrate state-of-the-art tools and develop new methods of working. © 2024 Elsevier B.V., All rights reserved.</t>
  </si>
  <si>
    <t>Artificial intelligence; Process control; Artificial intelligence technologies; Automation process; Business Process; Business process automation; Capability; Digital transformation; Hyperautomation; Machine-learning; Process automation; Technology; Automation</t>
  </si>
  <si>
    <t>IC 3 / Meets EC 5 (Type: review or identified as Review)
Substantial capabilities of robotics in enhancing industry 4.0 implementation,Fails IC 3 / Meets EC 5 (Type: review or identified as Review)</t>
  </si>
  <si>
    <t>Javaid, M.; Haleem, A.; Singh, R.P.; Suman, R.</t>
  </si>
  <si>
    <t>Substantial capabilities of robotics in enhancing industry 4.0 implementation</t>
  </si>
  <si>
    <t>There is the increased application of new technologies in manufacturing, service, and communications. Industry 4.0 is the new fourth industrial revolution, which supports organisational efficiency. Robotics is an important technology of Industry 4.0, which provides extensive capabilities in the field of manufacturing. This technology has enhanced automation systems and does repetitive jobs precisely and at a lower cost. Robotics is progressively leading to the manufacturing of quality products while maintaining the value of existing collaborators schemes. The primary outcome of Industry 4.0 is intelligent factories developed with the aid of advanced robotics, massive data, cloud computing, solid safety, intelligent sensors, the Internet of things, and other advanced technological developments to be highly powerful, safe, and cost-effective. Thus, businesses will refine their manufacturing for mass adaptation by improving the workplace's safety and reliability on actual work and saving costs. This paper discusses the significant potential of Robotics in the field of manufacturing and allied areas. The paper discusses eighteen major applications of Robotics for Industry 4.0. Robots are ideal for collecting mysterious manufacturing data as they operate closer to the component than most other factory machines. This technology is helpful to perform a complex hazardous job, automation, sustain high temperature, working entire time and for a long duration in assembly lines. Many robots operating in intelligent factories use artificial intelligence to perform high-level tasks. Now they can also decide and learn from experience in various ongoing situations. © 2024 Elsevier B.V., All rights reserved.</t>
  </si>
  <si>
    <t>Cost effectiveness; Intelligent robots; Automation systems; Data clouds; Industrial revolutions; Low-costs; Manufacturing; Manufacturing service; Massive data; Organizational efficiency; Quality product; Robotics applications; Industry 4.0</t>
  </si>
  <si>
    <t>Palaniswamy, M.; Leong, L.W.; Suprapto, B.Y.</t>
  </si>
  <si>
    <t>Virtual and augmented reality in industry 4.0</t>
  </si>
  <si>
    <t>Castro, S.; Teixeira, L.</t>
  </si>
  <si>
    <t>Industry 4.0 and business process management: An exploratory study on the bilateral effects</t>
  </si>
  <si>
    <t>The entry into the 4th industrial revolution, or Industry 4.0, caused a paradigm shift. The transition to new systems built on the infrastructure of the business processes digital revolution has given rise to new technologies. Digital Twin is one of the many technologies associated with this new concept consisting of a virtual representation of companies, being its main objective the replication and analysis of production systems in real-time. However, modeling business processes involving those digital ecosystems remains a pressing challenge both for companies and academia. This study aims to make an exploratory analysis of the evolution of Business Process Management (BPM) within the I4.0 paradigm, to understand how it has been able to keep up with these new trends. Several topics for future investigation are presented in this article as an outcome of this analysis. © 2021 Elsevier B.V., All rights reserved.</t>
  </si>
  <si>
    <t>de Vreede, T.; Raghavan, M.; de Vreede, G.-J.</t>
  </si>
  <si>
    <t>Design foundations for AI assisted decision-making: A self determination theory approach</t>
  </si>
  <si>
    <t>Progress of technology and processing power has enabled the advent of sophisticated technology including Artificial Intelligence (AI) agents. AI agents have penetrated society in many forms including conversation agents or chatbots. As these chatbots have a social component to them, is it critical to evaluate the social aspects of their design and its impact on user outcomes. This study employs Social Determination Theory to examine the effect of the three motivational needs on user interaction outcome variables of a decision-making chatbot. Specifically, this study looks at the influence of relatedness, competency, and autonomy on user satisfaction, engagement, decision efficiency, and decision accuracy. A carefully designed experiment revealed that all three needs are important for user satisfaction and engagement while competency and autonomy is associated with decision accuracy. These findings highlight the importance of considering psychological constructs during AI design. Our findings also offer useful implications for AI designers and organizations that plan on using AI assisted chatbots to improve decision-making efforts. © 2021 Elsevier B.V., All rights reserved.</t>
  </si>
  <si>
    <t>Decision making; Decision theory; Social aspects; Conversation agents; Decision accuracies; Designed experiments; Processing power; Self-determination theories; Social components; User interaction; User satisfaction; Artificial intelligence</t>
  </si>
  <si>
    <t>McCartney, G.; McCartney, A.</t>
  </si>
  <si>
    <t>Rise of the machines: towards a conceptual service-robot research framework for the hospitality and tourism industry</t>
  </si>
  <si>
    <t>Purpose: This study aims to introduce a conceptual framework for service robot (SR) acceptance by customers, employees and policymakers – a framework to help determine corporate decision-making on SR workplace integration. Design/methodology/approach: This study reviews SR adoption literature within the tourism and hospitality industry. These SRs may have some level of artificial intelligence capability and possibly anthropomorphic (e.g. humanoid) or zoomorphic (e.g. animal-like) features, contingent on task and design choices. The study then identifies factors that potentially influence employee and consumer acceptance and experiences of SR, as well as policy and compliance factors and all elements of the corporate decision-making process concerning SR adoption in the hospitality setting. Findings: This paper reviews the obstacles and benefits of SR adoption in the hospitality industry based on employee, consumer and public policy considerations. Research limitations/implications: SRs are increasingly deployed within hospitality and tourism settings. Future studies should further explore the value-adding functions of SRs implemented in existing hospitality operations. Practical implications: Hospitality and tourism industry practitioners should integrate the dimensions in the conceptual framework to make fully informed decisions on SR adoption. Originality/value: To the best of the authors’ knowledge, this is one of the first studies to provide a holistic SR adoption framework offering theoretical and practical implications for ongoing SR research and implementation. © 2021 Elsevier B.V., All rights reserved.</t>
  </si>
  <si>
    <t xml:space="preserve">Fails IC 3 / Meets EC 5 (Type: article or identified as Review)
</t>
  </si>
  <si>
    <t>Coombs, C.; Hislop, D.; Taneva, S.K.; Barnard, S.</t>
  </si>
  <si>
    <t>The strategic impacts of Intelligent Automation for knowledge and service work: An interdisciplinary review</t>
  </si>
  <si>
    <t>A significant recent technological development concerns the automation of knowledge and service work as a result of advances in Artificial Intelligence (AI) and its sub-fields. We use the term Intelligent Automation to describe this phenomenon. This development presents organisations with a new strategic opportunity to increase business value. However, academic research contributions that examine these developments are spread across a wide range of scholarly disciplines resulting in a lack of consensus regarding key findings and implications. We conduct the first interdisciplinary literature review that systematically characterises the intellectual state and development of Intelligent Automation technologies in the knowledge and service sectors. Based on this review, we provide three significant contributions. First, we conceptualise Intelligent Automation and its associated technologies. Second, we provide a business value-based model of Intelligent Automation for knowledge and service work and identify twelve research gaps that hinder a complete understanding of the business value realisation process. Third, we provide a research agenda to address these gaps. © 2020 Elsevier B.V., All rights reserved.</t>
  </si>
  <si>
    <t>Automation; Learning systems; Service industry; Academic research; Business value; Computerisation; Intelligent automation; Literature reviews; Mobile robotic; Strategic opportunity; Technological development; Artificial intelligence</t>
  </si>
  <si>
    <t>Reis, J.; Melão, N.; Salvadorinho, J.; Soares, B.; Rosete, A.</t>
  </si>
  <si>
    <t>Service robots in the hospitality industry: The case of Henn-na hotel, Japan</t>
  </si>
  <si>
    <t>Services are changing at an impressive pace boosted by the technological advances felt in Robotics, Big Data, and Artificial Intelligence (AI) that have uncovered new research opportunities. Our objective is to contribute to the literature by exploring the pros and cons of the use of service robots in the hospitality industry and to practice, by presenting the architectural and technological characteristics of a fully automated plant based on a relevant case. To achieve such goal, this article uses a systematic literature review to assess the state-of-the-art, characterize the unit of analysis, and find new avenues for further research. The results indicate that, in high customer contact settings, service robots tend to outperform humans when performing standardized tasks, because of their mechanical and analytical nature. Evidence also shows that, in some cases, service robots have not yet achieved the desired technological maturity to proficiently replace humans. In other words, the technology is not quite there yet, but this does not contradict the fact that new robot technologies, enabled by AI, will be able to replace the employees’ empathetic intelligence. In practical terms, organizations are facing challenges where they have to decide whether service robots are capable of completely replacing human labor or if they should rather invest in balanced options, such as human-robot systems, that seem to be a much more rational choice today. © 2020 Elsevier B.V., All rights reserved.</t>
  </si>
  <si>
    <t>Artificial intelligence; Intelligent robots; Mobile robots; Service industry; Hospitality industry; Human-robot systems; Research opportunities; State of the art; Systematic literature review; Technological advances; Technological characteristics; Unit of analysis; Social robots; advanced technology; artificial intelligence; hospitality industry; industrial technology; robotics; Japan</t>
  </si>
  <si>
    <t>Fails IC 2 (Does not address customer service, automation, or decision support). Fails IC 3 / Meets EC 5 (Type: article or identified as Review)"
How will service robots redefine leadership in hotel management? A Delphi approach,"Fails IC 2 (Does not address customer service, automation, or decision support)</t>
  </si>
  <si>
    <t>Ivkov, M.; Blešić, I.; Dudic, B.; Bartáková, G.P.; Dudic, Z.</t>
  </si>
  <si>
    <t>Are future professionals willing to implement service robots? Attitudes of hospitality and tourism students towards service robotization</t>
  </si>
  <si>
    <t>This paper aims to examine attitudes of hospitality and tourism students, as future professionals, towards willingness to implement service robots. The study proposes a new theoretical conceptual model that includes new constructs and items, differentiating it from the others. The model was formed based on the extensive literature review and the interview with an eight-member focus group (hotel managers and academic researchers). Data collection was performed in two stages, pilot research based on 82 respondents and the main study, with the final number of respondents being 236. The initial results of the exploratory factor analysis were further tested using the confirmatory factor analysis. After the exclusion of several items due to low factor loadings and in order to improve model validity, analyses further suggested a nine-dimensional solution with 45 items. The study findings reveal a positive relationship between seven constructs and students’ willingness to implement service robots, with the expected business outcome being the most influencing one. On the other hand, positive relation was not found for empathy and social influence constructs. Theoretical contributions and practical implications are discussed in the paper. In conclusion, study limitations and future research suggestions are provided. © 2020 Elsevier B.V., All rights reserved.</t>
  </si>
  <si>
    <t>Xu, S.; Stienmetz, J.; Ashton, M.</t>
  </si>
  <si>
    <t>How will service robots redefine leadership in hotel management? A Delphi approach</t>
  </si>
  <si>
    <t>Purpose: Using the Delphi technique, this paper aims to investigate how human resource experts perceive service robots will impact leadership and human resource management in the hospitality industry. Design/methodology/approach: A three-stage Delphi study with hotel industry human resource experts was conducted to identify the key trends and major challenges that will emerge in the next ten years and how leaders should deal with the challenges brought about by service robot technologies. Findings: The results show that while service robots are anticipated to increase efficiency and productivity of hotel activities, they may also pose challenges such as high costs, skill deficits and significant changes to the organizational structure and culture of hotels. Therefore, the anticipated applications and integration of robotic technology will require leaders of the future to carefully consider the balance between the roles of service robots and human employees in the guest experience and to nurture a work environment that embraces open-mindedness and change. Originality/value: This is the first type of study to examine hospitality leadership and human resource management in the context of robotized hotels. This study has taken an important step to understand the leadership role in robotized hotels from a human resource perspective and brings clarity as to how robotic technology can influence leadership in the future workplace. © 2021 Elsevier B.V., All rights reserved.</t>
  </si>
  <si>
    <t>De Kervenoael, R.; Hasan, R.; Schwob, A.; Goh, E.</t>
  </si>
  <si>
    <t>Leveraging human-robot interaction in hospitality services: Incorporating the role of perceived value, empathy, and information sharing into visitors’ intentions to use social robots</t>
  </si>
  <si>
    <t>Social robots have become pervasive in the tourism and hospitality service environments. The empirical understanding of the drivers of visitors' intentions to use robots in such services has become an urgent necessity for their sustainable deployment. Certainly, using social androids within hospitality services requires organisations' attentive commitment to value creation and fulfilling service quality expectations. In this paper, via structural equation modelling (SEM) and semi-structured interviews with managers, we conceptualise and empirically test visitors' intentions to use social robots in hospitality services. With data collected in Singapore's hospitality settings, we found visitors' intentions to use social robots stem from the effects of technology acceptance variables, service quality dimensions leading to perceived value, and two further dimensions from human robot interaction (HRI): empathy and information sharing. Analysis of these dimensions' importance provides a deeper understanding of novel opportunities managers may take advantage of to position social robot-delivered services in tourism and hospitality strategies. © 2019 Elsevier B.V., All rights reserved.</t>
  </si>
  <si>
    <t>artificial intelligence; conceptual framework; ecotourism; hospitality industry; numerical model; robotics; service quality; tourism management; Singapore [Southeast Asia]</t>
  </si>
  <si>
    <t>Park, S.</t>
  </si>
  <si>
    <t>Multifaceted trust in tourism service robots</t>
  </si>
  <si>
    <t>In recognizing the increase in the use of service robots by service industries, identifying the structure of trust in intelligent robots is crucial for tourism studies. This paper first proposes a model of multifaceted trust in service robots comprised of three constructs – performance, process, and purpose – and, second, tests the trust model that considers institution-based trust, trusting belief, and intention. As a result, this paper identified a higher-order formative construct of trust in service robots with the highest importance for a performance construct (Study 1). The antecedents of the multifaceted trust in tourism service robots are then identified (Study 2). This study provides important theoretical and methodological contributions to the fields of information technology and tourism. © 2020 Elsevier B.V., All rights reserved.</t>
  </si>
  <si>
    <t>Tussyadiah, I.</t>
  </si>
  <si>
    <t>A review of research into automation in tourism: Launching the Annals of Tourism Research Curated Collection on Artificial Intelligence and Robotics in Tourism</t>
  </si>
  <si>
    <t>Driven by the advancements in artificial intelligence (AI) and its related technologies, the application of intelligent automation in travel and tourism is expected to increase in the future. This paper unpacks the need to shape an automated future of tourism as a social phenomenon and an economic activity, hence contributes to theory and practice by providing directions for future research in this area. Four research priorities are suggested: designing beneficial AI, facilitating adoption, assessing the impacts of intelligent automation, and creating a sustainable future with artificial intelligence. Research in these areas will allow for a systematic knowledge production that reflects a concerted effort from the scientific community to ensuring the beneficial applications of intelligent automation in tourism. The article also launches the Annals of Tourism Research Curated Collection on Artificial Intelligence and Robotics. The Collection contains all past articles published in Annals of Tourism Research on the topic, and continues to grow as new articles are added. © 2020 Elsevier B.V., All rights reserved.</t>
  </si>
  <si>
    <t>artificial intelligence; automation; economic activity; future prospect; research work; robotics; technology adoption; tourism development</t>
  </si>
  <si>
    <t>Fails IC 3 / Meets EC 5 (Type: article or identified as Review</t>
  </si>
  <si>
    <t>The changing nature of knowledge and service work in the age of intelligent machines</t>
  </si>
  <si>
    <t>One of the most significant recent technological developments concerns the application of intelligent machines to jobs that up to now have been considered safe from automation. These changes have generated considerable debate regarding the impacts that the widespread adoption of intelligent machines could have on the nature of work. This chapter provides a thematic review, across multiple academic disciplines, of the current state of academic knowledge regarding the impact of intelligent machines on knowledge and service work. Adopting a work-practice perspective, the chapter reviews the extant literature concerning changing relations between workers and intelligent machines, the adoption and acceptance of intelligent machines, and ethical issues associated with greater machine human collaboration. A key finding is that much of the research discusses intelligent machines complementing and extending human capabilities rather than removing humans from work processes. The concept of augmentation of humans and human work, rather than wholesale replacement from automation, flows through the literature across a range of domains. The chapter concludes with a discussion of the main gaps in existing knowledge and ways in which future research may provide a deeper understanding of how people (currently and in the near future) experience intelligent machines in their day-to-day work practice. These include the need for multi-disciplinary research, the role of contexts, the need for more and better empirical research, the changing relationships between humans and intelligent machines, the adoption and acceptance of the technology, and ethical issues. © 2021 Elsevier B.V., All rights reserved.</t>
  </si>
  <si>
    <t>Wolf, F.D.; Stock-Homburg, R.</t>
  </si>
  <si>
    <t>Human-Robot Teams: A Review</t>
  </si>
  <si>
    <t>Research on human-robots teams (HRTs) as teams in which humans and robots work together is an emerging interdisciplinary field that still has white spots that are only slowly being considered by researchers. This review aims to provide an overview over different viewpoints towards HRTs and to synchronize extant definitions. We review extant conceptual and empirical research on HRTs and categorize it following an input-process-output model for teams. After systematically examining what research already knows about HRTs, we identify areas that require further research to gain a deeper understanding of HRTs and discuss proposals for future research. © 2020 Elsevier B.V., All rights reserved.</t>
  </si>
  <si>
    <t>Robotics; Empirical research; Human robots; Human-robot-team; Interdisciplinary fields; Process output; White spots; Social robots</t>
  </si>
  <si>
    <t>Fails IC 2 (Does not address customer service, automation, or decision support). Fails IC 3 / Meets EC 5 (Type: conference paper or identified as Review)</t>
  </si>
  <si>
    <t>Zhong, L.; Zhang, X.; Rong, J.; Chan, H.K.; Xiao, J.; Kong, H.</t>
  </si>
  <si>
    <t>Construction and empirical research on acceptance model of service robots applied in hotel industry</t>
  </si>
  <si>
    <t>Purpose: Robots, as the crystallization of new artificial intelligence, are being applied in various fields, especially the hotel industry. They are seizing the opportunities, using technology to improve the overall quality and comprehensive competitiveness. However, they also cause many problems due to practical limitations. The purpose of this paper is to study customers' recognition and acceptance of hotel service robots to guide the successful promotion of this technology. Design/methodology/approach: This paper proposed a comprehensive model based on the theory of planned behavior, the technology acceptance model and then the perceived value-based acceptance model. Exploratory factor analysis, confirmatory factor analysis, grouped regression analysis and path analysis was adopted to validate the impacts of each variable to obtain the final reliable model using data collected from hotel guests using a self-designed questionnaire. Findings: The empirical research based on the theoretical model shows that the constructed conceptual model can thoroughly explain the influencing factors of hotel robot acceptance, enrich the acceptance theory and provide academic support for the use and popularization of hotel service robots. Among all variables, attitude, usefulness and perceived value are the factors that have the greatest impact on acceptance. They have significant differences in the effects of adjustment variables such as gender, educational level, whether hotel robots have been used, and whether other robot services have been experienced on different paths in the model. Practical implications: This paper explored the customer acceptance of service robots in hotels, helped to understand the process of decision-making on service robot selection and contributed to the theoretical extension of the hospitality industry. The work guides hotel management to promote better-personalized products and services of robot technology in the hospitality industries. Originality/value: The acceptance study on hotel service robots provides insight into the hotel industry to understand customers' attitudes and acceptance of emerging technology. © 2021 Elsevier B.V., All rights reserved.</t>
  </si>
  <si>
    <t>Artificial intelligence; Decision making; Factor analysis; Hotels; Intelligent robots; Mobile robots; Multivariant analysis; Regression analysis; Sales; Service industry; Comprehensive competitiveness; Confirmatory factor analysis; Design/methodology/approach; Emerging technologies; Exploratory factor analysis; Personalized products; Technology acceptance model; Theory of Planned Behavior; Educational robots</t>
  </si>
  <si>
    <t>Rosete, A.; Soares, B.; Salvadorinho, J.; Reis, J.; Amorim, M.</t>
  </si>
  <si>
    <t>Service Robots in the Hospitality Industry: An Exploratory Literature Review</t>
  </si>
  <si>
    <t>The service sector is changing drastically due the use of robotics and other technologies, such as Artificial Intelligence (AI), Internet of things (IoT), Big Data and Biometrics. Consequently, further research opportunities in the service industry domain are also expected. In light of the above, the purpose of this paper is to explore the potentialities and limitations of service robots in the hospitality industry. To this end, this paper uses a conceptual approach based on a literature review. As a result, we found that in contexts of high customer contact, service robots should be considered to perform standardized tasks due to social/emotional and cognitive/analytical complexity. The hospitality industry is therefore considered closely related to empathic intelligence, as the integration of service robots has not yet reached the desired stage of service delivery. In a seemingly far-fetched context of our reality, organizations will have to decide whether the AI will allow the complete replacement of humans with robots capable of performing the necessary cognitive and emotional tasks. Or investing in balanced capacities by integrating robot-human systems that seems a reasonable option these days. © 2020 Elsevier B.V., All rights reserved.</t>
  </si>
  <si>
    <t>Artificial intelligence; Big data; Intelligent robots; Internet of things; Metadata; Mobile robots; Social robots; Conceptual approaches; Digital transformation; Hospitality industry; Integration of services; Internet of Things (IOT); Research opportunities; Robot-human system; Service robots; Service industry</t>
  </si>
  <si>
    <t>Fails IC 2 (Does not address customer service, automation, or decision support). Fails IC 3 / Meets EC 5 (Type: conference paper or identified as Review)"</t>
  </si>
  <si>
    <t>IEE</t>
  </si>
  <si>
    <t>B. Sahu; S. Das; A. Pattnaik; A. Puri; K. Mohanty</t>
  </si>
  <si>
    <t>Navigating Data Abundance: Generative Conversational AI Agents in Information Analysis</t>
  </si>
  <si>
    <t>979-8-3503-5437-9</t>
  </si>
  <si>
    <t>In response to the escalating challenges posed by information overload, particularly in today's data-rich environment, we propose the development of a sophisticated Generative Conversational AI Agent (GCAIA) tailored specifically for information retrieval tasks. This innovative system integrates cutting-edge techniques in natural language processing, machine learning, and generative modeling to provide users with an intuitive platform for accessing, analyzing, and retrieving information across diverse domains. Key features include robust natural language understanding facilitating seamless interaction, efficient retrieval mechanisms enabling quick access to relevant data, contextual adaptation for delivering personalized responses, generative capabilities fostering natural and engaging conversations, multimodal integration supporting various data formats, and utilization of knowledge graphs for enhanced organization and semantic understanding. Through rigorous research, development, and evaluation processes, our goal is to demonstrate the effectiveness, reliability, and scalability of the GCAIA in significantly improving information retrieval processes across diverse domains. Ultimately, our aim is to empower users to navigate the ever-expanding landscape of knowledge and data effectively, thus mitigating the challenges posed by information overload in the digital age.</t>
  </si>
  <si>
    <t>Generative Conversational AI;Information retrieval;Machine Learning</t>
  </si>
  <si>
    <t>Excluded: discusses AI agents but not in a decision-making, automation, or organizational support context.</t>
  </si>
  <si>
    <t>All inclusion criteria met. No exclusion criteria met.</t>
  </si>
  <si>
    <t>Ambas</t>
  </si>
  <si>
    <t>A. Srivastava; P. Saraswat; P. Pandey; S. Saraswat; L. A. Kannan; S. Naqvi; S. Sarkar</t>
  </si>
  <si>
    <t>Optimizing Cost-Benefit Efficiency of Gender-Responsive AI Voice Agents for Enhanced Small and Medium Sized Business Operations</t>
  </si>
  <si>
    <t>979-8-3315-6668-5</t>
  </si>
  <si>
    <t>The rapid growth of Artificial Intelligence (AI) has resulted in the mass use of Gender-Responsive Voice Agents as cost-effective and flexible customer service solutions across various sectors such as healthcare, finance, retail, and hospitality. This paper contrasts cost-effectiveness of AI voice agents with human receptionists, examining implementation platforms and industrial usage. Through quantitative analysis, it compares AI voice agent expenses, including setup fees and per-minute rates, with human receptionist wages. Key benefits such as significant cost savings, operational efficiency, 24/7 availability, and scalability are highlighted. Emerging trends, including emotionally intelligent AI and multimodal systems, are also discussed. Although these agents offer a low-cost solution for SMBs, AI agents must overcome trust, regulation, and technological constraints for mainstream adoption. This paper acts as a guide for companies considering AI-enabled voice solutions.</t>
  </si>
  <si>
    <t>Gender-Responsive Voice Agents;Cost-Benefit Analysis;Customer Service Automation;Operational Efficiency;Small and Medium-Sized Businesses (SMBs)</t>
  </si>
  <si>
    <t>Included: addresses AI agents applied to decision-making or automation in organizational contexts with empirical or case-based evidence.</t>
  </si>
  <si>
    <t>EC5 Met: Paper has 5 pages (less than 6).</t>
  </si>
  <si>
    <t>R. Kloe; T. Zylowski; C. Zirpins</t>
  </si>
  <si>
    <t>Dynamic Re-Configuration of Conversationally Initiated Automated Negotiations</t>
  </si>
  <si>
    <t>978-1-7281-6471-7</t>
  </si>
  <si>
    <t>Autonomous agents are well established to assist customers in contract negotiations on electronic markets. Recently, AI-based conversational agents provide more natural customer communication. Yet, on markets with varying negotiation items natural conversation can not be guaranteed to include all possible customer preferences for optimum negotiation results. In this paper, we propose a negotiation model supporting dynamic interactive preference post-specification and present a Hybrid Alternating Offers Protocol for that purpose. We demostrate it for conversationally initiated negotiations in the context of an app-market.</t>
  </si>
  <si>
    <t>intelligent agents;multiagent systems;distributed commercial transactions</t>
  </si>
  <si>
    <t>Excluded: does not address AI agents, decision-making, or organizational automation.</t>
  </si>
  <si>
    <t>IC1 Not Met: Does not clearly investigate AI agents for decision-making or task automation.</t>
  </si>
  <si>
    <t>S. Mirzayi; E. Talajouran</t>
  </si>
  <si>
    <t>From Decision Support to Decision Making: Autonomous AI Agents Shaping the Marketing</t>
  </si>
  <si>
    <t>979-8-3315-0891-3</t>
  </si>
  <si>
    <t>AI Marketing;Marketing Automation;Autonomous Agents;7Ps Framework;Decision Making;Decision Support Systems</t>
  </si>
  <si>
    <t>T. Kato</t>
  </si>
  <si>
    <t>Shifting Sales Online Increases Customer Loyalty: Evidence from the Chinese and German Personal Computer Markets</t>
  </si>
  <si>
    <t>979-8-3315-0494-6</t>
  </si>
  <si>
    <t>From the perspective of manufacturing brands, there are two problems when expanding online sales. The first is a decrease in customer contact points due to the online shift. The second is a decline in loyalty due to reliance on third-party e-commerce (EC) sites. With third-party EC, manufacturer brands cannot design the EC sites, so there are concerns that they may not be able to properly communicate their product concepts, leading to a decline in the quality of the customer experience. There is currently insufficient evidence regarding these two points. Therefore, this study focused on the personal computer markets of China and Germany and clarified the influence of purchase channels on repurchase intention. I applied the propensity score to an online survey of 500 people in both China and Germany. The results confirmed that repurchase intention was higher among customers who purchased products online compared to offline. Highly loyal customers may have little need to go out of their way to physically touch and check products. However, no significant difference in repurchase intention was detected between third-party EC sites and manufacturing EC sites. The results may vary depending on whether they are limited to good manufacturing brands or if all brands are included.</t>
  </si>
  <si>
    <t>digital transformation;manufacture sites;third-party sites;brand concept;propensity score</t>
  </si>
  <si>
    <t>K. R. K.; D. Arora; S. Abhi; A. Bhagat</t>
  </si>
  <si>
    <t>An AI-based Cognitive Chatbot for VMware Troubleshooting</t>
  </si>
  <si>
    <t>978-93-80544-47-2</t>
  </si>
  <si>
    <t>This paper aims to design and implement a 24/7 interactive, AI-based chat system that can quickly respond to end-user queries and recommend the required information. The authors showcase the ability of IBM Watson Assistant, a cognitive agent, can process documents pertaining to VMware-related issues. IBM Watson's cognitive intelligence combines machine learning and artificial intelligence to drive natural language understanding and human-like conversations. The data used in this paper is directly extracted from VMware knowledge-based articles. These articles are further embedded into International Business Machines (IBM) Watson conversational chatbot dialogue workflows, with precisely articulated intents and entities that are further processed to create interactive dialogues. The prototype is shared with customer service agents to evaluate the performance based on the accuracy and reliability of the chatbot. During the conversational workflow of a chatbot, the end-user is given the most common errors as a sub-option, and after selecting the appropriate issue category, necessary recommendations and solutions are suggested based on the choice of query in troubleshooting VMware-related issues.</t>
  </si>
  <si>
    <t>Artificial Intelligence;Machine Learning;Natural Language Understanding;VMware Snapshot;Chatbot;Cognitive Intelligence;IBM Watson</t>
  </si>
  <si>
    <t>M. L. Couto; P. H. C. Menezes; O. Reinhold; R. Marcacini; A. F. L. Jacob; F. M. F. Lobato</t>
  </si>
  <si>
    <t>Complaint Analysis in Fintech Domain: A Case Study in Brazilian Brokerage Firms</t>
  </si>
  <si>
    <t>Fintechs have revolutionized financial services by integrating technology and finance. In this sense, the significant increase in complaints regarding companies within this emerging sector is particularly noteworthy. This information is valuable for companies, as it can be an excellent opportunity to highlight gaps in products or services. In this context, we collected and analyzed complaints about investment fintechs using the topic modeling approach combined with large language models. To this end, a sample of 365 complaint records linked to five Brazilian brokerage firms was analyzed: XP Investimentos, Rico Investimentos, Clear, ModalMais, and Àgora Investimentos. The results show that problems related to customer service are more common in consumer reports. The insights obtained can potentially improve customer relationship management using social networks dedicated to user complaints.</t>
  </si>
  <si>
    <t>Data Science;Large Language Models;Complaint Analysis;Fintech;Text Mining</t>
  </si>
  <si>
    <t>Y. Arora; A. Singh; A. Sharma; N. Aggarwal; N. Bansal</t>
  </si>
  <si>
    <t>Advancements in Chatbot Technology: Enhancing User Experience through AI and NL</t>
  </si>
  <si>
    <t>979-8-3315-1795-3</t>
  </si>
  <si>
    <t>A chatbot is an AI-powered software or application designed to communicate with people. This technology can perform a variety of tasks, including providing instant responses and answers to users, delivering information, assisting with purchasing products, and enhancing customer service. In my paper, I present the fundamental principles and essential concepts of computing related to chatbots and its applications various sectors like Education, E commerce, Entertainment, Healthcare, Telecommunication, Customer Service etc. The paper also mentions detailed literature explain the contribution by various researchers in this fields. Architecture and step wise approach of creating a chatbot is presented lately.</t>
  </si>
  <si>
    <t>Chatbots;Instant Messaging;Bots;Natural Language;Machine Learning;Virtual Assistants;User Experience;AI driven communication;Intelligent Agents</t>
  </si>
  <si>
    <t>IC1 Not Met: Does not clearly investigate AI agents for decision-making or task automation.; IC3 Not Met: Does not present empirical evidence, implementation details, or case studies (based on abstract).</t>
  </si>
  <si>
    <t>S. Zhou; Q. Pei; J. Li</t>
  </si>
  <si>
    <t>From Multi-Touch Attribution to Marketing Mix Modeling: Leveraging Multi-Information Fusion for Advanced Advertising Analytics</t>
  </si>
  <si>
    <t>In today's marketing environment, advertising is distributed across numerous platforms, compelling that advertisers assess both cross-channel and individual effects. MultiTouch Attribution (MTA) and Marketing Mix Modelling (MMM) are the primary models used for this purpose. MTA evaluates the overall marketing performance across channels but lacks detailed user insights, while MMM evaluates user-level touch points in the customer path but struggles with cross-platform complexity. Multi-Information Fusion provides a solution by incorporating various data sources, as advertising data becomes more intricate. This method enables advertisers to enhance the precision of performance evaluations and acquire a more thorough comprehension of channel interactions. This paper investigates the potential of multi-information fusion to improve advertising analytics by integrating the assets of both MMM and MTA models. We will examine the current state of fusion methodologies, evaluate their potential applications in advertising, and evaluate the extent to which they can overcome the constraints of conventional models. Advertisers can optimize their strategies for improved ROI and obtain more precise evaluations using these advanced techniques.</t>
  </si>
  <si>
    <t>Multi-Information Fusion;Marketing Mix Modelling Model;Multi-Touch Attribution Model</t>
  </si>
  <si>
    <t>R. Rahim; M. A. Chishti</t>
  </si>
  <si>
    <t>979-8-3503-7222-9</t>
  </si>
  <si>
    <t>The world of Industry 4.0 embraces the transformation that calls for strategic investments, cooperative partnerships, and a proactive approach to overcome obstacles to successfully transition to smarter, more connected, and more efficient in- dustrial ecosystems. The accounting and finance industry has benefited greatly from process modernization, which has resulted in a significant decrease in the use of the traditional system through the integration of digital technologies. The use of various artificial intelligence technologies such as expert systems for audit and taxation, intelligent agents for customer service, Natural Language Processing (NLP), Robotic Process Automation (RPA), Blockchain, data analytics, and machine learning for decision- making has been proposed to automate, streamline, and improve the efficiency of various tasks and processes in accounting and finance operations. The study specifically investigates how the incorporation of AI technologies affects the reliability &amp; timeliness of financial &amp; accounting processes. The paper also presents some use cases and AI applications relevant to this field.</t>
  </si>
  <si>
    <t>AI;finance;accounting;ML;NLP</t>
  </si>
  <si>
    <t>Excluded: mentions AI agents and organizational context but lacks empirical or experimental evidence.</t>
  </si>
  <si>
    <t>W. Yang; Y. Chen; Y. -C. Chen; K. -C. Yeh</t>
  </si>
  <si>
    <t>Intelligent Agent-Based Predict System With Cloud Computing for Enterprise Service Platform in IoT Environment</t>
  </si>
  <si>
    <t>If the product supply shortage occurs during the sales period, customers will turn to other companies, so the enterprise lose the sales opportunity. If the enterprise can predict product demands, and manages the product sales by using the supply chain management prediction system to improve the bottleneck of the inventory, the hot sales product can have more critical time utilization, and the inventory status can be reflected quickly by Internet of Things (IoT). To overcome the problem that the replenishment model cannot show the actual quantity of products on the store shelves, in the paper, we propose an intelligent agent-based prediction system, which serves as a framework to construct an integrated prediction system through the use of radio frequency identification (RFID) technology to design the intelligent product prediction shelf to extract product messages, and the service oriented architecture to develop prediction information to recommend products to the customer. The result of the paper proposes an agent-based cloud computing service platform in IoT and intelligent agents with SOA as backend cloud services. To build a prototype prediction system with performance analysis, it can be proved that the prediction system architecture for intelligent agent-based prediction system could improve operation performance and effectively enhance customer service quality for hot sale products.</t>
  </si>
  <si>
    <t>Internet of Things (IoT);intelligent agent-based;predict system;cloud computing;enterprise service platform</t>
  </si>
  <si>
    <t>X. Xie; R. Cui; L. Fan; X. Yang</t>
  </si>
  <si>
    <t>Large Language Models Enhanced Client Simulation and Feedback System for Insurance Advisors</t>
  </si>
  <si>
    <t>979-8-3503-8826-8</t>
  </si>
  <si>
    <t>Traditionally, training insurance advisors to improve their sales skills has been challenging. This has often involved static methods such as script memorization and workshops, which lack personalization and fail to adequately replicate real-world client interactions. To address this issue, we developed an innovative training system that utilizes large language models (LLMs) to create intelligent agents that simulate difficult client interactions and provide evaluative feedback. Our system comprises three agents: two that simulate difficult client scenarios in telephone and face-to-face settings, and one that functions as an evaluator, providing feedback and suggestions for improvement. We collected and annotated over 1,000 real sales interaction recordings to train these agents, creating a comprehensive dataset. The system was tested with 50 insurance advisors, resulting in significant improvements in sales success rates, client satisfaction scores, advisor confidence levels, and response times compared to traditional training methods. This study underscores the effectiveness of LLMs in providing personalized, realistic, and immediate training experiences, highlighting their potential to revolutionize training methodologies in the insurance industry.</t>
  </si>
  <si>
    <t>Large Language Models;Insurance Advisor Training;Intelligent Tutoring Systems;Customer Interaction Simulation;AI in Finance;Large Language Models</t>
  </si>
  <si>
    <t>G. Liang; Q. Tong</t>
  </si>
  <si>
    <t>LLM-Powered AI Agent Systems and Their Applications in Industry</t>
  </si>
  <si>
    <t>979-8-3315-2508-8</t>
  </si>
  <si>
    <t>The emergence of Large Language Models (LLMs) has reshaped agent systems. Unlike traditional rule-based agents with limited task scope, LLM-powered agents offer greater flexibility, cross-domain reasoning, and natural language interaction. Moreover, with the integration of multi-modal LLMs, current agent systems are highly capable of processing diverse data modalities, including text, images, audio, and structured tabular data, enabling richer and more adaptive real-world behavior. This paper comprehensively examines the evolution of agent systems from the pre-LLM era to current LLM-powered architectures. We categorize agent systems into software-based, physical, and adaptive hybrid systems, highlighting applications across customer service, software development, manufacturing automation, personalized education, financial trading, and healthcare. We further discuss the primary challenges posed by LLM-powered agents, including high inference latency, output uncertainty, lack of evaluation metrics, and security vulnerabilities, and propose potential solutions to mitigate these concerns.</t>
  </si>
  <si>
    <t>AI Agent;LLMs</t>
  </si>
  <si>
    <t>K. Minissale; A. Pitrone</t>
  </si>
  <si>
    <t>Generative AI-Powered Cognitive Agent for Holistic Human Performance Optimization</t>
  </si>
  <si>
    <t>979-8-3315-2164-6</t>
  </si>
  <si>
    <t>This article introduces a Cognitive Agent for human-machine interaction, empowering individuals to enhance both professional and personal performance. The Cognitive Agent operates through a mobile application that integrates Generative AI for conversational interactions, sentiment analysis, personalized recommendations, and structured data collected from wearable devices or measurement tools. It monitors and optimizes human psychological and physiological dynamics across the three core pillars of the Holistic Wellness Framework: rest, movement, and nutrition. Additionally, it leverages music as an intervention to reduce stress and enhance performance, offering a holistic tool for improving wellness and productivity.</t>
  </si>
  <si>
    <t>Human-Machine Interaction;Next-Best Action;Micro-facial expressions;Human Performance Modeling;Generative AI;Cognitive Agent;Unsupervised Learning;Large Language Model (LLM);Convolutional Neural Network (CNN);Wearable Sensor;Recommender System</t>
  </si>
  <si>
    <t>IC2 Not Met: Does not address customer service, process automation, or business decision support.</t>
  </si>
  <si>
    <t>R. Saptono; T. Mine</t>
  </si>
  <si>
    <t>Time-based Sampling Methods for Detecting Helpful Reviews</t>
  </si>
  <si>
    <t>978-1-6654-1924-6</t>
  </si>
  <si>
    <t>Product reviews describe customer opinions and experiences to products. Better opinions and experiences in the reviews more attract and help people who want to buy the products. The reviews, including such factors, are called helpful reviews. Many studies have been conducted to detect helpful reviews and proposed many useful factors, such as review-related factors, product-related factors, and reviewer-related factors. Meanwhile, the elapsed time of reviews has been used as a factor in detecting helpful reviews but never considered as sampling methods, despite that it is an essential factor to determine the freshness of the reviews, which influence the people being interested in the product. In this paper, we propose time-based sampling methods, which determine the sample size as small as possible in detecting helpful reviews with high accuracy. To investigate the effect of the time-based sampling methods in detecting helpful reviews, we conducted extensive experiments comparing with total sampling and simple random sampling, using two machine learning methods: XGBoost and CNN which involve text and numerical factors. Experimental results illustrate the validity of the proposed methods. Significantly, in large datasets, our proposed sampling methods outperform the other sampling methods.</t>
  </si>
  <si>
    <t>helpful reviews;time-base sampling methods;classification</t>
  </si>
  <si>
    <t>M. D. Manyama; O. P. Kogeda</t>
  </si>
  <si>
    <t>Impact of Phishing Attacks on Mobile Intelligent Agent Systems</t>
  </si>
  <si>
    <t>978-1-905824-75-5</t>
  </si>
  <si>
    <t>Phishing attacks continue to evolve with time, and the attackers are always ahead of existing mitigation plans. The more technology advances, the more sophisticated phishing attacks become. As more people rely on technology to conduct their online businesses, the need for secure Mobile Intelligent Agent systems (MIAs) becomes greater. MIAs are software that executes functions or duties such as managing electronic mail and gathering and sending out information on behalf of an online user. Organisations of different sizes continue to lose millions in revenue because of phishing attacks aimed at MIAs. The challenge is to determine the impact of phishing attacks which often result in millions of dollars because of the reputational damage, lawsuits, and loss of production. In this paper, we present a model that can be used by organizations of different sizes to quantify the impact of phishing attacks. The models are formulated based on data in our possession. The proposed model proved to be effective and easy to use for organizations of different sizes as computations can be carried out using the models presented.</t>
  </si>
  <si>
    <t>Agent;Algorithm;Artificial intelligence;Cybersecurity;Decision tree;Impact;m-commerce;Mobile intelligent agent;Predictive;Prevention;Phishing</t>
  </si>
  <si>
    <t>IC1 Not Met: Does not clearly investigate AI agents for decision-making or task automation.; IC2 Not Met: Does not address customer service, process automation, or business decision support.</t>
  </si>
  <si>
    <t>J. O. Fernandez; A. S. Pontes; S. O. Rezende; A. F. L. J. Junior; F. M. F. Lobato</t>
  </si>
  <si>
    <t>An Analysis of Brazilian Journalistic Coverage of Complaints Platforms</t>
  </si>
  <si>
    <t>The rise of digital commerce and the increasing presence of User-Generated Content (UGC) on social media have made online complaint platforms essential for resolving conflicts between companies and consumers. In this context, the media plays a crucial role in amplifying the visibility of these platforms and shaping public companies' perceptions. This study examines news complaint platform coverage, focusing on Consumidor.gov and ReclameAqui as case studies. The analysis of 121 news items explores how the media portrays the Social CRM practices employed by companies. The findings reveal the prevalence of topics such as consumer protection, sales promotions, and airline industry complaints, emphasizing the necessity of transparent communication between companies and customers. Additionally, the results underscore the importance of companies implementing effective Social CRM practices, such as personalized responses, to enhance consumer trust.</t>
  </si>
  <si>
    <t>Text mining;Topic modeling;Network modeling;Complaints platform;Social CRM</t>
  </si>
  <si>
    <t>N. -T. Le; T. -B. Le; S. -D. Truong; H. -B. Le</t>
  </si>
  <si>
    <t>Building Filters for Vietnamese Chatbot Responses</t>
  </si>
  <si>
    <t>978-1-7281-5377-3</t>
  </si>
  <si>
    <t>Automatic Chatbot is a developing trend in the world because of its convenience, efficiency, applicability in many fields such as E-commerce, customer care, and so on. Through Chatbot, we can cut down human resources at the place that Chatbot can replace, increase the convenience for both customer and company. Some good chatbot systems in the world primarily used in English. With Vietnamese, however, the outputs of these models are often not so good due to different structures and grammar. Some output (i.e. chatbot's responses) is incorrect or even misleading to the user. This can cause some serious problems in some legal or financial applications. In this paper, we proposed an approach to reevaluate outputs of general chatbot to reduce incorrect responses. Specifically, we firstly deployed well-known approaches in English chatbot into Vietnamese chatbot. After that, we build filters to assess chatbot responses based on the characteristics of the Vietnamese language. If the response is not suitable, the system will not give back to the user. In this case, the system can require more information to find a better response or at least return announcement instead of an incorrect response. We also developed a web-based application with chatbot integration to evaluate our approach in real life scenario.</t>
  </si>
  <si>
    <t>Chatbot;Intelligent Agents;Vietnamese;Filter</t>
  </si>
  <si>
    <t>P. Baker</t>
  </si>
  <si>
    <t>Delving into Specialized GenAI Tools</t>
  </si>
  <si>
    <t>Summary &lt;p&gt;Specialized GenAI models are tools designed to perform specific functions. GenAI enterprise tools differ substantially from those accessible to the broader public. GenAI can significantly reduce the time and resources required for tasks such as content creation, data discovery, data analysis, and customer engagement. As GenAI models continue to evolve, the impact on large‐scale operations will only grow, making it an exciting and essential field for businesses and workers to explore and leverage. Mini GPTs offer specialized GenAI capabilities that are customized to meet specific requirements. The GPT App Store represents a significant shift in the GenAI paradigm. Autonomous AI agents and personalized AI represent two distinct paradigms within the field of artificial intelligence, each with its own set of capabilities, focus areas, and potential impacts on society and technology. GenAI's advanced capabilities enable autonomous AI agents to work with digital twins with a higher degree of autonomy and intelligence.&lt;/p&gt;</t>
  </si>
  <si>
    <t>C. Bouras; D. Diasakos; C. Katsigiannis; V. Kokkinos; A. Gkamas; N. Karacapilidis; Y. Charalabidis; Z. Lachana; C. Alexopoulos; T. Papadopoulos; G. Karamanolis; M. Psalidas</t>
  </si>
  <si>
    <t>On the Development of a Novel Chatbot Generator Architecture: Design and Assessment Issues</t>
  </si>
  <si>
    <t>979-8-3503-4165-2</t>
  </si>
  <si>
    <t>Chatbots are witnessing remarkable growth in various fields. In modern society, chatbots have evolved into innovative digital entities that have revolutionized the way people interact with technology. These conversational AI agents have gone beyond their initial uses to become an integral part of various industries. One of the most important roles of chatbots is customer service, providing 24/7 support, quick problem resolution, and personalized interactions. Chatbots free up human agents by handling routine queries and tasks, allowing them to focus on complex and specific issues, and optimizing overall efficiency and customer satisfaction. To this end, this paper aims to present the architecture of a novel chatbot generator with improved functionality in terms of quality of communication with end users and level of provided services. In addition, the paper presents the results of two pilot chatbot assessments by users with experience in artificial intelligence and chatbot technology.</t>
  </si>
  <si>
    <t>artificial intelligence;chatbot;machine learning;natural language processing</t>
  </si>
  <si>
    <t>A. Cuzzocrea; G. Pilato; P. G. Bringas</t>
  </si>
  <si>
    <t>Creating, Using and Assessing a Generative-AI-Based Human-Chatbot-Dialogue Dataset with User-Interaction Learning Capabilities</t>
  </si>
  <si>
    <t>979-8-3503-6248-0</t>
  </si>
  <si>
    <t>The study illustrates a first step towards an ongoing work aimed at developing a dataset of dialogues potentially useful for customer service conversation management between humans and AI chatbots. The approach exploits ChatGPT 3.5 to generate dialogues. One of the requirements is that the dialogue is characterized by a specific language proficiency level of the user; the other one is that the user expresses a specific emotion during the interaction. The generated dialogues were then evaluated for overall quality. The complexity of the language used by both humans and AI agents, has been evaluated by using standard complexity measurements. Furthermore, the attitudes and interaction patterns exhibited by the chatbot at each turn have been stored for further detection of common conversation patterns in specific emotional contexts. The methodology could improve human-AI dialogue effectiveness and serve as a basis for systems that can learn from user interactions.</t>
  </si>
  <si>
    <t>R. V. Suresh; B. S; K. R; S. SenthilKumar</t>
  </si>
  <si>
    <t>Artificial Intelligence with Emotional Intelligence via Hume AI Techniques</t>
  </si>
  <si>
    <t>979-8-3315-1250-7</t>
  </si>
  <si>
    <t>Artificial Intelligence systems often exhibit a deficient comprehension of human emotions, leading to restricted contextual engagement and empathic response capacities. The incorporation of Emotional Intelligence into AI systems is crucial for allowing robots to comprehend, adjust to, and react to human emotions with appropriateness and sensitivity. Hume AI methodologies provide a data-centric framework for modelling emotional granularity via facial expressions, voice intonations, and language indicators, enabling emotionally attuned responses. The materials and techniques include the implementation of multimodal emotion detection systems using Hume’s emotion API, which analyses real-time audiovisual data via deep learning models trained on varied affective datasets. Feature extraction, sentiment weighting, and emotion categorization are integrated with reward mechanisms to provide adaptive behavioral responses in AI agents. Implementation tactics emphasize real-time processing, cultural flexibility, and ethical concerns, establishing the foundation for emotionally intelligent AI that may improve social interaction in areas such as mental health, customer service, and education.</t>
  </si>
  <si>
    <t>Emotional Intelligence;Artificial Intelligence;Hume AI;Multimodal Emotion Recognition;Affective Computing</t>
  </si>
  <si>
    <t>H. A. D. M. Arachchi; G. D. Samarasinghe</t>
  </si>
  <si>
    <t>Impact of Personal Intelligent Agent's Anthropomorphism on Gen-Z Consumers' Intention in the Retail Sector</t>
  </si>
  <si>
    <t>979-8-3503-1926-2</t>
  </si>
  <si>
    <t>A personal intelligent agent (PIA) is a device that uses natural language to help a person act in an intelligent way. Siri and Alexa are two examples. These agents are powerful computer programs that can work on their own and be proactive. They can also learn and adapt to change, respond to their surroundings, finish tasks in a good amount of time, and talk to the user using natural language to understand directions and write answers. However, from an anthropomorphism perspective, this phenomenon is underexplained as to how personal intelligent assistant services can affect consumers' behavioral intention in extant literature. Thus, in order to address this empirical knowledge void, an extensive literature review was undertaken and five hypotheses were derived to explain the potential relationships. Quantitative methodology with a survey strategy was undertaken drawing an effective sample size of 254 Gen-Z consumers. Furthermore, analysis was carried out using Smart partial least squares (PLS)-structural equation modelling. The study first finds a significant direct relationship between the perceived anthropomorphism, perceived enjoyment and perceived trust. Furthermore, perceived enjoyment and perceived trust significantly impact on awe experience and purchase intention among the Gen- Z retail consumers. The findings shed the light on improving customer experience and marketing effectiveness through IPA.</t>
  </si>
  <si>
    <t>PIA;voice assistant;awe experience;purchase intention;Generation Z</t>
  </si>
  <si>
    <t>E. F. Morgunov</t>
  </si>
  <si>
    <t>Three Ways to Integrate Microservices Into MARL</t>
  </si>
  <si>
    <t>979-8-3315-3183-6</t>
  </si>
  <si>
    <t>Microservice architecture is a key component of modern distributed software systems, providing scalability and independent deployment of individual components. However, many different factors, such as the dynamic variability of modern Internet services and the evolution of user requests, can offset the advantages of microservices. Machine learning algorithms, in particular deep reinforcement learning, are an effective way to optimize distributed software systems, allowing adaptive management of system resources in non-stationary environments. This paper discusses the integration of multi-agent reinforcement learning into a micro service architecture. The paper demonstrates the results of training intelligent agents in the road selection service based on the current weather condition. Three methods of integrating deep Q-Iearning into the microservice architecture were developed, and three classical algorithms of deep reinforcement learning were used to evaluate the effectiveness of the methods.</t>
  </si>
  <si>
    <t>distributed system;microservices;deep learning;reinforcement learning;neural networks;agent environment cycle</t>
  </si>
  <si>
    <t>Quantidade de artigos retornados</t>
  </si>
  <si>
    <t>Quantidade de artigos selecionados</t>
  </si>
  <si>
    <t>etc</t>
  </si>
  <si>
    <t>Total</t>
  </si>
  <si>
    <t>Assume you are an expert professor in Software Engineering conducting a systematic literature review.
Your task is to evaluate studies based on specific quality criteria related to the use of AI in customer service.
Quality Criteria (QC):
QC1: Clarity and depth of the customer service problem addressed
Evaluate whether the study clearly presents the specific customer service problem being addressed
Verify if there is adequate contextualization and detailing of the problem
QC2: Methodological rigor in AI development and data collection
Evaluate whether the AI solution development methodology is well described
Verify if data collection and preparation processes are clearly documented
QC3: Discussion of limitations, ethics, and threats to quality
Evaluate whether the study transparently discusses its limitations
Verify if there are ethical considerations related to AI use in customer service
Observe if threats to validity/quality are identified
QC4: Presentation of quantitative or qualitative results
Evaluate whether the study presents concrete results (metrics, statistics, qualitative analyses)
Verify if results are presented clearly and comprehensibly
QC5: Empirical validation or simulation in customer service scenarios
Evaluate whether there is practical validation of the proposed solution
Verify if experiments, case studies, or simulations were conducted in real or realistic customer service contexts
Scoring System:
For each quality criterion, assign:
1.0: The study fully meets the criterion
0.5: The study partially/moderately meets the criterion
0.0: The study does not meet the criterion or there is insufficient information
Response Format:
QC1: [score]
Justification: [brief explanation]
QC2: [score]
Justification: [brief explanation]
QC3: [score]
Justification: [brief explanation]
QC4: [score]
Justification: [brief explanation]
QC5: [score]
Justification: [brief explanation]
Total Score: [sum]/5.0
Overall Comment: [evaluation synthesis]
User Prompt
Please analyze the attached PDF article according to the quality criteria outlined above and provide your evaluation.</t>
  </si>
  <si>
    <t>&lt;&lt;preencher versão utilizada&gt;&gt;</t>
  </si>
  <si>
    <t>QC1:</t>
  </si>
  <si>
    <t>Clareza e profundidade do problema de customer service abordado</t>
  </si>
  <si>
    <t>QC2:</t>
  </si>
  <si>
    <t>Rigor metodológico no desenvolvimento da IA e coleta de dados</t>
  </si>
  <si>
    <t>QC3:</t>
  </si>
  <si>
    <t>Discussão de limitações, ética e ameaças à qualidade</t>
  </si>
  <si>
    <t>QC4:</t>
  </si>
  <si>
    <t xml:space="preserve">Há apresentação de resultados quantitativos ou qualitativos </t>
  </si>
  <si>
    <t>QC5:</t>
  </si>
  <si>
    <t>Validação empírica ou simulação em cenários de atendimento ao cliente</t>
  </si>
  <si>
    <t>Resultado</t>
  </si>
  <si>
    <t>ID do Artigo</t>
  </si>
  <si>
    <t>Título</t>
  </si>
  <si>
    <t>Nota do artigo</t>
  </si>
  <si>
    <t>A01</t>
  </si>
  <si>
    <t>The paper excels in methodological rigor, ethical analysis, and structured presentation of both quantitative and qualitative findings. It offers a rich, multidimensional overview of CUI research, identifying trends, gaps, and ethical challenges in AI-driven conversational systems. However, its relevance to customer service is indirect—the focus is on CUIs as a broader category rather than specific service applications. Additionally, as a review study, it does not perform empirical or simulation-based validation. Thus, while academically robust and ethically mature, it only partially aligns with the evaluation framework’s emphasis on customer service AI validation.</t>
  </si>
  <si>
    <t>QC1: 0.0 Justificação: O estudo não atende a este critério porque não aborda um problema específico de atendimento ao cliente. Trata-se de uma revisão de literatura ampla (SLR) que sintetiza o campo das Interfaces de Usuário Conversacionais (CUIs) em geral. O "atendimento ao cliente" (customer engagement) é mencionado apenas como uma pequena subcategoria de aplicação (9 dos 279 artigos) encontrada na literatura revisada, não como o problema central deste artigo.
QC2: 0.0 Justificação: Este critério não é aplicável. O artigo não descreve o desenvolvimento de uma solução de IA ou a coleta de dados primários. Sua metodologia, descrita na Seção 3, é de uma revisão de literatura, detalhando como eles selecionaram (279 publicações da ACM CUI) e analisaram (análise temática)  estudos existentes.
QC3: 1.0 Justificação: O estudo atende plenamente a este critério. As "Considerações Éticas" são um dos três pilares centrais da estrutura de análise do artigo. A Seção 4.4 é inteiramente dedicada a isso, discutindo "Impacto Social e Viés" , "Autonomia e Manipulação do Usuário" , "Confiança e Transparência" e "Privacidade e Proteção de Dados". Além disso, a Seção 6 "Limitações e Trabalhos Futuros" discute transparentemente as ameaças à validade da própria revisão (por exemplo, focando apenas em uma conferência).
QC4: 1.0 Justificação: O estudo apresenta de forma excelente seus resultados. Sendo uma revisão de literatura, seus "resultados" são a síntese dos 279 artigos analisados. Ele fornece resultados quantitativos claros (por exemplo, Figuras 2 e 3, que mostram a frequência de tipos de contribuição, métodos e tópicos) e resultados qualitativos (toda a Seção 4, que sintetiza os temas encontrados na literatura, como design de persona e desenvolvimento de sistema).
QC5: 0.0 Justificação: Este critério não é aplicável. O artigo é uma revisão de literatura e não propõe ou valida uma nova solução. Portanto, não há validação empírica ou simulação de uma solução de sua autoria em um cenário de atendimento ao cliente.</t>
  </si>
  <si>
    <t>A02</t>
  </si>
  <si>
    <t>Techno-empowerment of Process Automation: Understanding Employee Acceptance of Autonomous AI in Business Processes” according to your defined criteria (QC1–QC5)</t>
  </si>
  <si>
    <t>This paper demonstrates exceptional research quality and empirical grounding. It clearly addresses a realistic and strategically important customer service challenge—employee acceptance of autonomous AI systems. The methodology is rigorous, multi-phase, and statistically sound, with thorough ethical reflection and transparent limitations. The findings contribute both theoretical insight (moderating roles of workplace perception and gender) and practical implications for managing AI-driven transformation in service organizations.
The only limitation relative to your framework is that the validation remains simulated rather than field-implemented, but overall, the article is an exemplary study (4.5/5.0) for inclusion in a systematic literature review on AI in customer service and process automation.</t>
  </si>
  <si>
    <t>A pontuação reflete um desalinhamento fundamental entre os critérios de qualidade (que são específicos para a construção de uma solução de IA para atendimento ao cliente) e o artigo fornecido. O artigo é um estudo empírico sobre aceitação da tecnologia pelo funcionário em processos de negócios. Ele não se propõe a construir, testar ou validar uma solução de IA para atendimento ao cliente. O artigo demonstra rigor nos critérios que se aplicam ao seu tipo de pesquisa (QC3 e QC4), mas não atende aos critérios que são irrelevantes para seus objetivos (QC1, QC2, QC5).</t>
  </si>
  <si>
    <t>A03</t>
  </si>
  <si>
    <t>Prompt2Task is a technically outstanding and empirically grounded paper that introduces a sophisticated, multi-agent, prompt-driven automation framework for smartphone interfaces. It demonstrates methodological excellence, robust experimentation, and clear performance reporting, making it a valuable contribution to AI usability research.
However, from the perspective of AI in customer service, its relevance is indirect—customer service is cited as a downstream application, not a central domain. Ethical and human-centered discussions are minimal. Thus, while it scores high on research quality, it only partially aligns with the customer service–focused evaluation framework.</t>
  </si>
  <si>
    <t>Este estudo é um exemplo de alta qualidade que atende a todos os critérios de avaliação. É um estudo de caso empírico que identifica um problema claro de atendimento ao cliente, descreve uma solução de IA (baseada em prompts), detalha seu desenvolvimento e valida sua eficácia em um ambiente de produção ao vivo, ao mesmo tempo em que discute rigorosamente as limitações e implicações éticas.</t>
  </si>
  <si>
    <t>A04</t>
  </si>
  <si>
    <t>This study demonstrates excellent conceptual clarity, methodological transparency, and ethical depth. It offers a robust theoretical framework for understanding human–AI collaboration in service environments, moving the discourse beyond automation toward co-creation. While it lacks direct empirical validation, it integrates a wide range of empirical insights to ground its model. The article is a high-quality conceptual contribution that lays strong foundations for subsequent empirical exploration of AI applications in customer service.</t>
  </si>
  <si>
    <t>The study is an excellent conceptual contribution to the field, successfully fulfilling the mandate of a high-quality systematic literature review by clearly articulating a research gap (QC1), synthesizing existing knowledge into a rigorous framework (QC4), and profoundly integrating ethical dimensions (QC3). The low scores are directly attributable to the nature of the work—a conceptual review—which means it is not possible to fully meet the criteria designed for empirical or design science studies (QC5, and the AI development aspect of QC2). The systematic and AI-aided methodology, although clearly stated, could benefit from more transparency regarding the final AI synthesis stage. Overall, the study is theoretically rich and robust, providing a strong foundation and valuable agenda for future empirical research on H-M collaboration.</t>
  </si>
  <si>
    <t>A05</t>
  </si>
  <si>
    <t>WorkArena is a methodologically sophisticated and ethically responsible benchmark paper that contributes significantly to evaluating LLMs in realistic workplace contexts. It provides an innovative testbed for goal-oriented AI evaluation, with clear implications for customer service, HR, and enterprise automation. The inclusion of a customer support domain enhances its relevance, though customer service is not the paper’s central focus. The study’s strength lies in experimental rigor, comprehensive reporting, and ethical reflection, making it highly valuable for systematic reviews of AI validation in service and workplace contexts.</t>
  </si>
  <si>
    <t>A pontuação reflete um desalinhamento entre os critérios de qualidade e o tipo de artigo. Os critérios são projetados para avaliar um artigo que propõe uma solução de IA para atendimento ao cliente. Este artigo, no entanto, é um artigo metodológico que propõe um benchmark para avaliar agentes de IA. Ele pontua perfeitamente nos critérios que se sobrepõem (discussão de limitações e apresentação de resultados), mas não atende aos critérios focados na solução de um problema específico de atendimento ao cliente.</t>
  </si>
  <si>
    <t>A06</t>
  </si>
  <si>
    <t>This book offers a comprehensive, practice-oriented framework for integrating AI agents into customer service and broader enterprise systems. It excels in conceptual clarity, architectural rigor, and ethical reflection, making it a valuable reference for both academics and practitioners. While it lacks direct quantitative validation, it synthesizes over two decades of R&amp;D and industry insights into a cohesive model of autonomic business. Its detailed exposition of AI system design, governance, and customer service transformation demonstrates high scholarly and professional quality, meriting inclusion in a systematic literature review on AI in customer service.</t>
  </si>
  <si>
    <t>The evaluation suggests that the Klarna case study, as presented in this book excerpt, serves primarily as a high-impact industry example showcasing the business value (QC4) and real-world deployment (QC5, partial) of AI agents. It strongly highlights what the solution achieved in terms of scale and metrics, which is useful for executives and practitioners. However, it severely lacks the methodological depth and rigor (QC2) typically required for a systematic literature review in software engineering. The problem definition (QC1) and discussion of critical limitations/ethics (QC3) are present only at a high, non-detailed level suitable for a business-focused book but insufficient for a high-quality academic paper.</t>
  </si>
  <si>
    <t>A07</t>
  </si>
  <si>
    <t>Rebalancing the Dialogue: Mitigating Agent Bias through Conversational Reframing” according to your defined Quality Criteria (QC1–QC5)</t>
  </si>
  <si>
    <t>Rebalancing the Dialogue is an academically rigorous and ethically grounded contribution to conversational AI research. It presents a methodologically sophisticated approach to reducing bias in AI-generated interactions—an issue highly relevant to customer service contexts, even if not studied exclusively within them. The combination of algorithmic innovation, transparency, and ethical consideration makes it a strong candidate for inclusion in systematic reviews on responsible AI in dialogue systems. Its only limitations relative to your framework are the lack of direct customer service deployment and limited empirical testing in real-world service environments.</t>
  </si>
  <si>
    <t>A08</t>
  </si>
  <si>
    <t>Artificial Intelligence in Strategic Business Management: The Case of Auditing</t>
  </si>
  <si>
    <t>This study demonstrates solid methodological rigor and clear empirical grounding in understanding AI adoption in auditing and business management. It effectively contextualizes AI within digital transformation strategies and presents statistically supported insights.
However, its focus is not on AI in customer service, and it lacks detailed discussion of ethical and quality-related risks associated with AI deployment. While highly relevant for organizational strategy and auditing automation, it only tangentially contributes to literature on AI applications in direct customer engagement.</t>
  </si>
  <si>
    <t>A pontuação muito baixa deve-se a um desalinhamento fundamental entre o tipo de artigo e os critérios de avaliação. O artigo é uma revisão conceitual sobre gestão estratégica. Os critérios são projetados para um artigo empírico aplicado sobre atendimento ao cliente. O artigo não é um estudo de baixa qualidade; ele simplesmente não é o tipo de estudo que os critérios se destinam a medir.</t>
  </si>
  <si>
    <t>A09</t>
  </si>
  <si>
    <t>This study demonstrates high methodological sophistication and makes a significant contribution to understanding how AI and digital transformation technologies affect business performance. Its integration of NLP-based analytics, clustering, and trend mapping within a design science framework showcases cutting-edge research rigor. However, its focus remains strategic and organizational, with only indirect reference to AI-enabled customer service. The absence of empirical validation and limited ethical reflection reduce its score in applied and governance aspects.
Overall, it is a high-quality analytical and methodological paper, highly relevant for theoretical SLRs but less so for evaluating direct AI deployment in customer service practice.</t>
  </si>
  <si>
    <t>This systematic literature review provides a broad, synthesized view of digital transformation, with customer service/customer value being a central, recurring theme. Its strength lies in presenting quantitative and qualitative macro-level results (QC4) synthesized from the reviewed literature, making a strong business case for adopting these technologies. However, precisely because it is a broad review, it cannot fulfill the criteria requiring detail on specific AI solution development rigor (QC2). While it touches on the inaccuracy/ambiguity of language models as a quality threat (QC3), its discussion of ethical considerations is weak. The score of 2.5 reflects a paper that is successful in its stated goal of framework building but falls short on the narrow, deep requirements of a typical software engineering case study focused on primary AI development.</t>
  </si>
  <si>
    <t>A10</t>
  </si>
  <si>
    <t>This article demonstrates excellent methodological rigor, theoretical depth, and ethical awareness. It makes a significant contribution to understanding how trust, risk perception, and user satisfaction affect the sustainable use of generative AI chatbots like ChatGPT. Although it does not focus exclusively on customer service applications, its insights are highly transferable to AI-based customer engagement systems. The combination of strong statistical validation and cross-theoretical modeling (RCT, SDT, TPB, VBT, SOR) makes it a valuable inclusion in systematic reviews on AI adoption and user trust in service contexts.</t>
  </si>
  <si>
    <t>Este é um artigo de pesquisa de alta qualidade sobre psicologia do usuário e adoção de tecnologia. A pontuação baixa não reflete a qualidade do artigo em si, mas sim um desalinhamento fundamental entre o tópico do artigo (percepção de risco do usuário em GenAI geral) e os critérios de avaliação (que são específicos para soluções de IA aplicadas ao atendimento ao cliente).</t>
  </si>
  <si>
    <t>A11</t>
  </si>
  <si>
    <t>This study represents an exemplary empirical contribution to the field of AI in customer service. It combines theoretical depth, methodological rigor, ethical awareness, and practical validation, offering a holistic understanding of how AI service agents can foster trust and collaboration with customers. Its framework integrates behavioral, technical, and ethical dimensions, making it an excellent reference for both academic research and managerial application.
The article fully satisfies all quality criteria and should be highly rated in a systematic literature review (SLR) focused on AI-driven customer service systems.</t>
  </si>
  <si>
    <t>A12</t>
  </si>
  <si>
    <t>A13</t>
  </si>
  <si>
    <t>This ACM review paper is comprehensive, methodologically sound, and ethically sophisticated, making it an outstanding reference for understanding AI’s role in immersive service environments. It offers a multilayered conceptual framework and a cross-domain synthesis that includes customer service as one relevant application area. While its empirical grounding in real-world customer service contexts is indirect, the study excels in systematizing technical, ethical, and experiential dimensions of AI–VR integration.
It is a strong inclusion candidate for a systematic literature review focused on AI-enhanced customer interaction, training, and user experience frameworks</t>
  </si>
  <si>
    <t>A pontuação reflete um desalinhamento entre os critérios de qualidade (que são projetados para um estudo empírico que cria uma solução) e o tipo de artigo. Este artigo é uma Revisão Sistemática da Literatura de alta qualidade, mas seu propósito não é construir ou testar uma nova solução de IA, e sim mapear o campo de pesquisa existente.</t>
  </si>
  <si>
    <t>A14</t>
  </si>
  <si>
    <t>The chapter demonstrates a strong understanding of customer service problems and the potential for AI solutions in the restaurant industry. It provides practical insights and examples, but lacks methodological depth, structured empirical validation, and a robust discussion of ethical and quality threats. Quantitative and qualitative results are present but not deeply explored. For systematic literature review purposes, this study is relevant mainly for its contextualization and industry analysis; further detail on methods and validation would strengthen its contribution.</t>
  </si>
  <si>
    <t>This systematic literature review successfully meets the quantitative reporting criterion by synthesizing market impact data for AI technologies in customer interaction. It is conceptually valuable for software engineers seeking high-level AI applications. However, it earns a low score on rigor (QC2) and empirical validation (QC5) because it is a secondary, conceptual study that focuses on analyzing text (NLP approach) rather than describing the primary engineering of an AI customer service solution. Its discussion of limitations (QC3) is moderate, acknowledging model accuracy issues but neglecting broader ethical implications in the service context.</t>
  </si>
  <si>
    <t>A15</t>
  </si>
  <si>
    <t>This paper demonstrates excellent technical rigor and quantitative validation in the field of AI-based computer vision for forensic analysis. Its data-driven methodology and evaluation transparency are strong, making it a valuable contribution to applied AI research. However, from the perspective of AI in customer service, it has no direct relevance—its domain is traffic safety and law enforcement, not service interaction or automation.
It can only be included tangentially in a systematic review if the review scope encompasses AI-based situational analysis, safety monitoring, or multi-agent decision systems, but not if the focus is strictly customer service automation.</t>
  </si>
  <si>
    <t>Este é um artigo de investigação aplicado de alta qualidade e rigor. Ele se destaca na definição da metodologia de IA (QC2), na validação empírica (QC5) e na apresentação abrangente dos resultados e discussões éticas/de limitações (QC3, QC4). A única ligeira penalidade (QC1) deve-se à natureza do problema (manuseamento de acidentes de trânsito), que é uma automação de processo multiagente em um domínio de serviço público/legal, e não um problema de "atendimento ao cliente" no sentido mais convencional da Revisão de Literatura.</t>
  </si>
  <si>
    <t>A16</t>
  </si>
  <si>
    <t>This study offers valuable theoretical frameworks and a compelling simulation-based case study, contributing significantly to the conceptualization of autonomy in supply chains. Methodological rigor and depth of empirical validation are moderate—more detailed reporting on technical AI development and real-world validation would strengthen its relevance for systematic reviews focused on customer service applications. Discussion of limitations and ethics is comprehensive and well illustrated.</t>
  </si>
  <si>
    <t>The paper, presumed to be conceptual or framework-based, scores low overall due to the inherent nature of its research genre, which does not align with the empirical requirements of a software engineering study. It correctly receives zero scores for demonstrating methodological rigor in AI development (QC2) and empirical validation (QC5). The highest value lies in the rigorous qualitative output (QC4)—the framework itself—and the high-level analysis of future limitations and ethical concerns (QC3). To advance scientific knowledge, this document would need to be followed by empirical studies that rigorously test its conceptual model against real-world customer service scenarios.</t>
  </si>
  <si>
    <t>A17</t>
  </si>
  <si>
    <t>Valuable conceptual overview of agentic AI definitions and research directions; useful for framing and theory but not an empirical/validation contribution to customer-service practice. Use it to inform conceptual sections of an SLR, but not as evidence for deployment effectiveness.</t>
  </si>
  <si>
    <t>A18</t>
  </si>
  <si>
    <t>This is a high-quality, well-reported qualitative study that advances understanding of how cognitive assistants function as boundary objects in healthcare value co-creation. It excels on clarity of problem framing, methodological transparency (grounded approach, multi-phase data collection, Gioia coding), and real-world empirical grounding across 21 Watson-based solutions with multi-actor interviews. The main weaknesses for an AI-in-customer-service systematic review are (1) limited discussion of ethics / privacy and explicit threats to validity tied to the qualitative design and sampling, and (2) absence of quantitative performance metrics or measured service outcomes (because the focus is on perceptions, practices, and boundary work rather than system performance). For SLR use, code this paper as strong qualitative empirical evidence on adoption/interaction patterns and actor boundary work, but not as evidence of AI technical performance or causal service outcomes.</t>
  </si>
  <si>
    <t>This is an excellent, high-quality study that provides a significant and necessary contribution to the literature on AI in customer service. It moves beyond functional advantages to rigorously test the emotional dimension of AI-mediated service interactions. The multi-study methodology provides high confidence in the findings regarding emotional contagion, service evaluation, and the moderating roles of personality and avatar appearance. The study is very strong in defining the problem, methodology, results, and validation, only missing explicit details on ethical implications and limitations in the abstract.</t>
  </si>
  <si>
    <t>A19</t>
  </si>
  <si>
    <t>This is a methodologically sound and contextually rich empirical study that robustly investigates human–AI interaction in restaurant customer service. It effectively bridges customer and owner perspectives using sophisticated quantitative modeling. The paper excels in clarity, methodological transparency, and result presentation.
However, it would benefit from a more explicit treatment of ethical, social, and validity concerns, such as privacy, labor displacement, and potential bias in robot adoption. Despite this, the study makes a strong contribution to applied AI and service research, offering actionable insights for both academia and industry.</t>
  </si>
  <si>
    <t>Este é um artigo de pesquisa de alta qualidade no domínio da Gestão de Serviços e Interação Humano-Robô. Sua metodologia e apresentação de resultados são rigorosas (QC2, QC3, QC4). A pontuação é ligeiramente moderada devido ao desalinhamento com os critérios específicos de uma SLR que foca na construção e validação técnica de uma solução de IA (QC2 e QC5), enquanto este estudo se concentra na aceitação e preferência do usuário.</t>
  </si>
  <si>
    <t>A20</t>
  </si>
  <si>
    <t>This is a methodologically rigorous and conceptually rich study examining how AI types affect consumer decision-making through cognitive and affective pathways. It contributes substantially to understanding AI-driven customer engagement in service contexts, offering both theoretical insights (AI typology × context × nudge theory) and practical guidance for service design.
The study excels in clarity, empirical precision, and methodological transparency, but would benefit from a deeper reflection on ethical implications (e.g., manipulation, consent, data bias) and explicit acknowledgment of threats to validity. Overall, it represents a high-quality empirical contribution (4.5/5.0) suitable for inclusion in systematic reviews on AI in customer service, consumer behavior, or digital nudging.</t>
  </si>
  <si>
    <t>Este é um artigo de investigação empírica de alta qualidade, centrado na psicologia do consumidor e na interação humano-IA no contexto de vendas/serviço. O estudo demonstra rigor excelente na conceção experimental e na apresentação de resultados (QC4, QC5). A pontuação é ligeiramente mais baixa nos critérios de desenvolvimento (QC2) e definição do problema (QC1) porque o foco não é um problema operacional de "atendimento ao cliente" ou a construção técnica de uma nova solução de IA, mas sim a análise do comportamento do consumidor perante a IA.</t>
  </si>
  <si>
    <t>A21</t>
  </si>
  <si>
    <t>This article is a methodologically rigorous and conceptually robust contribution to AI in customer service research. It provides clear theoretical advancement by integrating perceived control and anthropomorphism as moderators in AI-driven service recovery. The design and statistical reporting are exemplary, supporting strong internal validity. However, the paper’s discussion of ethical and validity threats remains limited—particularly regarding emotional manipulation, fairness, and customer autonomy in AI interactions. Despite this, it offers high empirical quality and actionable insights for both scholars and practitioners exploring automation in customer-facing service contexts.</t>
  </si>
  <si>
    <t>A pontuação baixa reflete um desalinhamento entre os critérios de avaliação e o tipo de estudo. Os critérios são projetados para um estudo empírico que constrói ou testa uma solução de IA aplicada a um problema específico de atendimento ao cliente. O artigo, por outro lado, é uma Revisão de Literatura em Grande Escala que mapeia tendências de adoção de IA em nível industrial. Ele é rigoroso no que se propõe (análise da literatura), mas não se enquadra nos critérios de pesquisa aplicada.</t>
  </si>
  <si>
    <t>A22</t>
  </si>
  <si>
    <t>This study demonstrates high methodological rigor and strong theoretical grounding in investigating the relationship between AI chatbot problem-solving capabilities and customers’ continued usage intentions in e-commerce. The paper is comprehensive in its empirical design and analysis but limited in ethical discussion and practical validation in live customer service environments. It excels as a behavioral and perception-based study rather than a system-engineering or implementation study.</t>
  </si>
  <si>
    <t>Este artigo é um estudo empírico de alta qualidade que se enquadra perfeitamente nos critérios, focando-se na aplicação de IA em atendimento ao cliente. O rigor do modelo teórico e a clareza da validação empírica (QC4, QC5) são notáveis. A única limitação menor é a falta de uma secção de desenvolvimento técnico da IA (QC2) e o detalhamento das limitações no resumo (QC3), típicos de estudos de ciência comportamental e gestão.</t>
  </si>
  <si>
    <t>A23</t>
  </si>
  <si>
    <t>o artigo tem um caráter conceitual e exploratório, contribuindo teoricamente para compreender o papel autônomo da IA no marketing sob a ótica dos 7Ps. Contudo, não aborda diretamente o atendimento ao cliente, nem apresenta metodologia, resultados empíricos, ou discussão ética. Assim, sua relevância para uma revisão sistemática sobre uso de IA em customer service é indireta e limitada, servindo apenas como referência conceitual sobre a autonomia da IA em decisões de marketing.</t>
  </si>
  <si>
    <t>A pontuação muito baixa é um reflexo do desalinhamento entre o escopo do artigo e os critérios de avaliação. O artigo é um trabalho conceitual/estratégico de nível gerencial que propõe uma estrutura de análise (framework) sobre a autonomia da IA em marketing. Ele não é um estudo empírico de engenharia de software ou ciência de dados focado na construção, teste ou validação de uma solução de IA para um problema específico de atendimento ao cliente.</t>
  </si>
  <si>
    <t>A24</t>
  </si>
  <si>
    <t>This article exemplifies high methodological and reporting quality in AI-customer interaction research. It demonstrates a clear and relevant service problem (AI chatbot influence in restaurant customer engagement), rigorous experimental design, ethical transparency, and statistically supported findings. The research contributes both theoretical insights and practical implications for designing AI-driven customer service systems that promote healthier, sustainable consumer behaviors. It is highly suitable for inclusion in a systematic literature review on AI use in customer service contexts.</t>
  </si>
  <si>
    <t>Este é um estudo empírico válido e bem desenhado, que testa o poder da personalização da IA em um contexto de serviço ao consumidor. A pontuação reflete o forte rigor na validação e nos resultados (QC4 e QC5). No entanto, a ausência de uma descrição de desenvolvimento técnico de uma nova IA (QC2) e de qualquer menção a limitações/ética no resumo (QC3) modera a pontuação total. O estudo é altamente relevante para a personalização e design de chatbots.</t>
  </si>
  <si>
    <t>A25</t>
  </si>
  <si>
    <t>Artificial intelligence and corporate social responsibility: A necessary convergence oriented towards innovation, ethics, co-creation of economic added value and measurable societal impact</t>
  </si>
  <si>
    <t>This editorial offers an important conceptual contribution to understanding the intersection of AI, ethics, and corporate responsibility, emphasizing transparency, fairness, and stakeholder trust. However, as a non-empirical article, it lacks methodological rigor, measurable results, or validation in customer service contexts. Its relevance to a systematic review on AI in customer service is contextual and theoretical, serving as a valuable ethical and governance reference rather than empirical evidence</t>
  </si>
  <si>
    <t>A pontuação muito baixa deve-se a um desalinhamento fundamental entre os critérios de avaliação (que procuram um estudo empírico aplicado ao atendimento ao cliente) e o tipo de artigo. Este artigo é um Editorial de natureza conceitual e filosófica sobre a ética da IA no contexto da Responsabilidade Social Corporativa. Ele é excelente no que se propõe (QC3), mas não é um estudo de pesquisa aplicada.</t>
  </si>
  <si>
    <t>A26</t>
  </si>
  <si>
    <t>This is a well-executed exploratory empirical study of hotel managers’ perceptions of automated decision-making: the decision taxonomy, questionnaire design, and statistical reporting are solid and clearly presented. The paper excels at mapping where hoteliers are comfortable delegating decisions to AI (especially technical, low-emotion tasks) and at linking that to perceived emotional-intelligence requirements and general AI attitudes. However, because it is a perception/survey study it does not address the technical or empirical performance side of AI in customer service: there is no AI design/implementation, no deployed case studies, and limited treatment of empirical validity threats and ethics tied to the dataset/procedures. For systematic-review purposes, treat this paper as strong evidence about managerial attitudes and decision-level acceptability, but not as evidence about AI effectiveness or real-world customer-service outcomes. Suggested follow-ups for future research (and for reviewers to look for) would be: (1) studies that implement and evaluate AI systems on the specific listed decisions (field trials or simulations), (2) larger / multi-country samples to improve generalisability, and (3) explicit ethics/validity audits (bias, transparency, accountability) tied to deployed systems.</t>
  </si>
  <si>
    <t>This is a high-quality empirical study that successfully investigates hoteliers' perceptions of AI adoption and delegation of authority in decision-making. The research problem is highly relevant to the evolving landscape of AI in the service industry. The study is methodologically sound, transparent in its limitations, and provides clear, detailed quantitative results, making it a valuable contribution to the systematic literature review on AI governance in customer service/hospitality. The depth of analysis regarding the role of emotional intelligence in decision delegation offers a significant insight into the practical and ethical boundaries of AI in human-centric service contexts.</t>
  </si>
  <si>
    <t>A27</t>
  </si>
  <si>
    <t>This study provides valuable theoretical and empirical insights into consumer preferences for AI-enabled versus human customer service, particularly regarding the role of brand personality. The methodology is rigorous for a perception-based experimental design, and results are well supported with quantitative analyses. However, from a software engineering and AI customer service evaluation perspective, the study does not offer practical insights into AI system development, deployment, ethical implications, or real-world validation. Thus, while highly relevant for understanding consumer behavior and marketing strategy, it provides limited evidence on actual AI effectiveness in customer service environments.</t>
  </si>
  <si>
    <t>This is a high-quality study and extremely relevant to the field of AI in services. The problem formulation is innovative, anchored in a solid marketing theory (brand personality), and the methodology of multiple scenario-based experiments lends great rigor to the findings. The maximum score was not achieved only because the abstract, by nature, omits detailed discussions of methodological limitations and explicit ethical considerations, which are typically covered in the full body of the article. Overall, it is a robust contribution to the literature.</t>
  </si>
  <si>
    <t>A28</t>
  </si>
  <si>
    <t>This is an excellent, high-quality empirical study that directly addresses a critical issue in AI deployment in service industries. The research is methodologically sound, using expert-validated scenarios and appropriately rigorous statistics. It provides a significant contribution by empirically defining the boundaries for AI delegation in customer service based on the required emotional intelligence of the decision, offering valuable insights for both software developers and organizational management.</t>
  </si>
  <si>
    <t>A29</t>
  </si>
  <si>
    <t>This text provides a general, high-level overview of AI and ML applications across multiple fields, including business and forecasting. It does not present a specific customer service problem, an AI methodology, results, or empirical validation. It only partially meets the quality criteria by briefly acknowledging limitations. As such, this text does not qualify as an empirical research study suitable for inclusion in a systematic literature review focused on AI in customer service, except possibly as a contextual or background source.</t>
  </si>
  <si>
    <t>The provided text is an introductory overview of the broad field of AI and ML applications, benefits, and general challenges. It is not a research study abstract or paper and, consequently, lacks the specific elements of problem definition, methodology, results, and validation required to be scored against the systematic literature review quality criteria. To proceed with the evaluation, a specific study abstract or paper must be provided.</t>
  </si>
  <si>
    <t>A30</t>
  </si>
  <si>
    <t>This study presents strong empirical evidence on the role of emotional expression in chatbot-based customer service and provides meaningful insights into emotional contagion, user experience, and service evaluation. It demonstrates solid empirical testing across six studies and contributes valuable knowledge for AI-driven customer service design. However, the lack of detail regarding AI development methodology and limited visibility into ethical considerations or threats to research validity prevent a full score. Overall, it offers high-quality findings suitable for inclusion in a systematic literature review on AI in customer service, particularly in the theme of emotional intelligence in chatbots and human–AI interaction.</t>
  </si>
  <si>
    <t>A31</t>
  </si>
  <si>
    <t>This is a rigorous empirical study that makes a strong contribution to understanding how humans decide whether to delegate tasks to AI in knowledge-work contexts. It is methodologically robust, provides clear quantitative results, and transparently reports limitations. However, its direct applicability to AI in customer service is limited, as the focus lies outside the service domain. Nonetheless, its insights into trust, task delegation, and human-AI collaboration are relevant for customer service research and can inform the design of AI-assisted service systems, especially regarding when and how humans prefer AI involvement.</t>
  </si>
  <si>
    <t>This study demonstrates high internal quality and rigor, particularly in its methodological approach (QC2, QC4), providing valuable insights into the influence of Trust on delegation decisions in Human-AI collaboration. However, as its focus is exclusively on the knowledge work context (researchers and their tasks), it fails to meet the fundamental domain requirements of the systematic literature review (AI in customer service), resulting in a score of 0.0 for QC1 and QC5. Its contribution to this specific review is limited to theoretical transferability, not direct findings.</t>
  </si>
  <si>
    <t>A32</t>
  </si>
  <si>
    <t>This is a rigorous, well-reported mixed-methods study that makes a clear contribution to understanding which anthropomorphic cues matter in OTA chatbot adoption (emotional message cues &gt;&gt; social-presence cues). Methodology and statistical reporting are strong — interview protocol, sampling, stimuli, manipulation checks, reliability indices, and mediation/moderation analyses (Hayes PROCESS with bootstrapping) are all described and results transparently presented.</t>
  </si>
  <si>
    <t>This is a high-quality study, utilizing a mixed-methods methodology (qualitative and experimental) which lends great robustness to the findings. The focus on anthropomorphism and emotions in the context of OTA (Online Travel Agency) chatbots is highly relevant for customer service innovation. The maximum score was not achieved due to the absence of an explicit and dedicated discussion of ethical implications in the abstract and the limitations section provided. Overall, it is a strong and empirically validated contribution to the literature.</t>
  </si>
  <si>
    <t>A33</t>
  </si>
  <si>
    <t>This is a robust, empirically grounded study that combines behavioral theory (ELM, TAM) with AI-specific factors to explain chatbot adoption and purchase intention. The work offers a strong theoretical contribution by extending classic models with AI-related constructs (e.g., perceived intelligence, interactivity) and empirically validating them with a sizable sample using advanced statistical methods (SEM).
Its key strengths include clear problem articulation, methodological rigor, and empirical validation in a realistic AI-customer service scenario. The main limitation lies in the absence of ethical reflection, particularly regarding persuasive AI and data use in commerce.
Overall, this article represents a high-quality empirical contribution highly suitable for inclusion in a systematic literature review on AI adoption, customer engagement, or chatbot behavior in service industries.</t>
  </si>
  <si>
    <t>This is a high-quality empirical study that makes a strong contribution to understanding the psychological and technological drivers of AI chatbot adoption in customer service. It excels in theoretical grounding, methodological rigor (using a large sample and SEM), and presenting clear, actionable findings on the customer purchase mechanism. The score is limited only by the complete absence of a discussion regarding methodological limitations or ethical considerations (QC3) within the provided abstract.</t>
  </si>
  <si>
    <t>A34</t>
  </si>
  <si>
    <t>This is a conceptual and reflective study providing valuable multidisciplinary insight into the impacts, opportunities, and challenges of generative AI tools like ChatGPT. It excels in clarity of problem definition and ethical discussion, offering a panoramic view of societal and organizational implications. However, it lacks methodological rigor and empirical validation, functioning more as an agenda-setting or scoping commentary than an empirical study.
For inclusion in a systematic literature review, it would be classified as a conceptual or perspective paper—useful for framing theoretical or ethical debates but not suitable for empirical synthesis or quantitative comparison.</t>
  </si>
  <si>
    <t>This article provides a valuable, high-level synthesis of expert opinions on the opportunities and profound challenges of Generative AI (like ChatGPT), particularly excelling in its focus on ethics, transparency, and limitations. While relevant to customer service innovation (e.g., hospitality/marketing gains), it scores low on core research criteria (QC1, QC5) because it functions as a research agenda and conceptual overview rather than a primary empirical study with a defined problem, methodology, and validation specific to a customer service scenario. It is useful for framing research but lacks the empirical data needed for direct review.</t>
  </si>
  <si>
    <t>A35</t>
  </si>
  <si>
    <t>This book provides a comprehensive and rigorous exploration of Emotional and Artificial Intelligence within organizational and customer service contexts. Its service-dominant logic perspective offers conceptual originality, positioning EI and AI as complementary service offerings that enhance employee performance and customer experience.
The work’s methodological robustness—progressing from conceptual development to empirical validation—makes it a high-quality scholarly source for systematic reviews on AI in customer service. Its integration of human and machine intelligence in practical sectors (tourism and hospitality) adds strong applied relevance.
However, while it covers organizational impacts extensively, ethical and societal implications of AI use appear underdeveloped, suggesting a partial treatment of QC3. Nonetheless, it remains an exemplary contribution combining conceptual clarity, methodological rigor, and applied validation.</t>
  </si>
  <si>
    <t>This book provides a strong conceptual framework that is highly relevant to the systematic review, specifically through its innovative view of AI and EI as organizational services and its intention to develop a new measure for AI Service Quality. The study is well-grounded in a service context and promises empirical validation (QC5). However, as an introductory summary, it lacks the necessary detail on the methodology and results of the empirical studies (QC2, QC4), and critically, omits any discussion of ethical issues or limitations (QC3).</t>
  </si>
  <si>
    <t>A36</t>
  </si>
  <si>
    <t>This study represents a methodologically sound and comprehensive systematic review of IoT adoption in hospitality and tourism. It excels in problem clarity, methodological transparency, and critical synthesis of the literature, offering clear insights into IoT’s advantages, challenges, and gaps.
Its conceptual rigor and practical implications make it valuable for both academic and industry stakeholders. The inclusion of a future research framework enhances its contribution to theory-building and empirical agenda-setting.
The only limitation lies in the absence of direct empirical validation (no experiments or case studies), which is typical but still relevant to note for SLRs. Overall, this is a high-quality, comprehensive, and balanced contribution suitable for inclusion as a core reference in systematic reviews on digital transformation, AI, or IoT in customer service and hospitality contexts.</t>
  </si>
  <si>
    <t>This is a high-quality methodological study that provides a robust systematic review of the Internet of Things (IoT) in the customer service domain (Hospitality &amp; Tourism). It excels in methodological rigor (QC2) and the delivery of synthesized findings and a research agenda (QC4). However, its core focus is on IoT rather than direct AI applications (lowering QC1 relevance) and, as a literature review, it contains no primary empirical validation (QC5), which limits its score within a review focused on AI solution quality.</t>
  </si>
  <si>
    <t>A37</t>
  </si>
  <si>
    <t>This chapter provides a strong empirical and theoretical contribution to understanding consumer trust in text-based chatbots, bridging emotional and utilitarian dimensions of AI-driven customer service. Its conceptual clarity, robust theoretical foundation, and empirical validation position it as a high-quality academic source for systematic reviews on AI in customer experience and service contexts.
The only notable limitation is the lack of explicit ethical or critical discussion of AI risks (QC3), which would further enhance its comprehensiveness. Nonetheless, the study stands out for integrating brand experience, emotional connection, and behavioral outcomes, offering actionable implications for both researchers and practitioners in e-service and AI interface design.</t>
  </si>
  <si>
    <t>Overall Comment: This is a highly relevant study for the review, as it tackles the crucial, but often overlooked, emotional component of trust in text chatbots within customer service. The strong focus on the research problem and the clear service context are significant strengths. However, the study's score is limited because the abstract fails to provide any information on the methodological rigor or the actual research findings, and completely omits the discussion of ethical issues and limitations, which are vital for a high-quality assessment.</t>
  </si>
  <si>
    <t>A38</t>
  </si>
  <si>
    <t>This book offers a robust and forward-looking exploration of Industry 5.0 and its implications for Supply Chain Management, combining conceptual innovation with applied insights. By merging frameworks like the Business Model Canvas and SCOR with sectoral case studies, it provides both academic depth and managerial relevance.
Its strengths lie in problem clarity, methodological rigor, and real-world validation through illustrative cases. However, explicit ethical and social impact discussions (e.g., workforce transformation, algorithmic responsibility) are underrepresented, which slightly limits the comprehensiveness of its critical analysis (QC3).
Overall, this is a high-quality, conceptually rich, and empirically grounded contribution suitable for inclusion in systematic literature reviews on AI-driven transformation and human–machine collaboration in service and operations contexts.</t>
  </si>
  <si>
    <t>Overall Comment: This book provides a strong conceptual and strategic perspective on the integration of AI and RPA into Industry 5.0 Supply Chain Management, particularly in the context of business model innovation. However, because its core focus is on operational logistics and network architecture, it falls outside the required domain of AI in customer service (QC1, QC5). Its theoretical and methodological rigor for a conceptual book (QC2) is noted, but the lack of ethical/limitation discussion (QC3) further limits its score.</t>
  </si>
  <si>
    <t>A39</t>
  </si>
  <si>
    <t>This is a technically strong and empirically validated study that makes a meaningful contribution to AI-based customer service and personalization in hospitality. The hybrid recommender framework—integrating sentiment analysis, collaborative filtering, fuzzy logic, and big data infrastructure—demonstrates innovative methodological design and strong performance validation.
Its main strengths include problem clarity, methodological sophistication, and empirical evaluation with real-world data. The main limitation is the absence of an explicit ethical or critical discussion on data privacy, recommendation transparency, and bias.
Overall, this study qualifies as a high-quality empirical contribution for inclusion in a systematic literature review on AI applications in customer service or hospitality recommender systems.</t>
  </si>
  <si>
    <t>This is a high-quality, technically rigorous study that makes a strong contribution to the application of AI in customer service. It excels in defining a relevant problem and delivering a validated technical solution (QC1, QC2, QC5). The empirical validation using real-world data and standard machine learning metrics (QC4) is a major strength. The score is limited only by the complete absence of any discussion regarding methodological limitations, ethical implications, or threats to quality (QC3) within the abstract.</t>
  </si>
  <si>
    <t>A40</t>
  </si>
  <si>
    <t>This study provides a technically relevant and conceptually solid exploration of how data stream mining and ensemble learning can enhance security in IoT-based Smart City systems. It identifies a pressing practical problem and proposes a promising AI-driven solution framework, including meta-heuristic ensembles and real-time detection strategies.
However, the methodological details (data preparation, algorithmic parameters, validation procedures) are underdeveloped or not fully documented, limiting replicability and assessment of rigor. The ethical discussion is restricted to cybersecurity aspects, and results are described qualitatively rather than quantitatively.
Overall, the paper is a moderate-quality technical study — valuable for theoretical or conceptual insights into AI for IoT security, but not exemplary in empirical transparency or ethical depth.
Would you like me to now integrate this eighth evaluation into the comprehensive comparative table (QC1–QC5, total, and comments) covering all studies you’ve analyzed so far?</t>
  </si>
  <si>
    <t>This study is technically robust in the field of Data Stream Mining and Network Security for Smart Cities, proposing a rigorous Ensemble ML approach to a critical Big Data problem (QC2). However, it scores extremely low because its domain (cybersecurity) falls outside the scope of AI in customer service (QC1, QC5). Furthermore, it provides only qualitative claims about its results and omits any discussion of ethical issues (QC3).</t>
  </si>
  <si>
    <t>A41</t>
  </si>
  <si>
    <t>This study is a methodologically sound and practically grounded contribution to understanding AI and automation implementation in the hospitality and tourism sectors. Its use of AHP provides a structured, transparent, and quantifiable approach to prioritizing critical success factors, combining academic rigor with industry applicability.
Its key strengths include:
Clear and well-defined problem formulation.
Rigorous methodological application (AHP).
Empirical validation with industry professionals.
The main limitation lies in the limited ethical discussion (e.g., workforce displacement, algorithmic bias, or automation ethics). Nonetheless, the research provides a robust framework for policymakers and managers seeking to strategize AI adoption in service industries, making it a high-quality empirical and applied study suitable for inclusion in your systematic literature review on AI in customer service and hospitality.</t>
  </si>
  <si>
    <t>This is a high-quality, methodologically sound study that provides essential strategic insight for AI implementation in customer service sectors (H&amp;T). It excels in defining a relevant problem, applying a rigorous decision-making methodology (AHP), and achieving empirical validation within the target domain. The study's score is limited solely by the complete absence of a discussion regarding methodological limitations or ethical implications (QC3) within the provided abstract.</t>
  </si>
  <si>
    <t>A42</t>
  </si>
  <si>
    <t>A43</t>
  </si>
  <si>
    <t xml:space="preserve">This is a well-motivated, theory-driven empirical study that clearly frames a relevant customer-service problem and produces useful quantitative evidence on how chatbot problem-solving, perceived ease-of-use, satisfaction and trust relate to continuance intention. Its strengths are clear problem statement, theoretical integration, and SEM-based results with direct managerial implications. 
</t>
  </si>
  <si>
    <t>A robust survey study investigating the drivers of continued usage intention for e-commerce chatbots. Its strengths are the clarity of the problem (QC1), the discussion of limitations (QC3), and the rigorous quantitative analysis (QC4). As a perception study, it does not develop (QC2) or validate (QC5) a specific AI solution, but it validates a theoretical model.</t>
  </si>
  <si>
    <t>A44</t>
  </si>
  <si>
    <t>The Rise of Agentic AI: A Review of Definitions, Frameworks and Directions</t>
  </si>
  <si>
    <t>This article is a literature review (Survey) and not a primary study. While it provides excellent context on Agentic AI, it does not fit well with the quality criteria focused on the development and validation of a specific customer service solution. Its strength lies in synthesis (QC4) and discussion of challenges (QC3).</t>
  </si>
  <si>
    <t>A45</t>
  </si>
  <si>
    <t>Redesigning healthcare service delivery processes through medical chatbot integrations</t>
  </si>
  <si>
    <t>Rigorous, applied study with clear problem framing, good methodological reporting and concrete results. Strength: multi-study empirical validation with measurement detail. Main gap: more explicit ethical/IRB reporting and deeper treatment of deployment risks/privacy in patient contexts.</t>
  </si>
  <si>
    <t>A46</t>
  </si>
  <si>
    <t xml:space="preserve">Current and Future Use of Large Language Models for Knowledge Work </t>
  </si>
  <si>
    <t>Strong, careful HCI/survey study yielding actionable categories of LLM use for knowledge workers. Not targeted at customer-service problems directly and lacks deployment experiments in service settings; ethics discussion could be more explicit.</t>
  </si>
  <si>
    <t>This is a strong empirical study on the adoption of LLMs by knowledge workers. It meets the criteria for data collection methodology (QC2 partial), limitations (QC3), and results (QC4) well. It fails on the AI development (QC2) and solution validation (QC5) criteria, as this was not its objective.</t>
  </si>
  <si>
    <t>A47</t>
  </si>
  <si>
    <t>The Applied Sciences paper looks technically rich, but from the available content it does not focus on a concrete customer-service problem or present clear empirical validation in service settings. It could still be relevant for methodological background, but it provides limited direct evidence for AI in customer service without deeper inspection of sections not shown in the snippets.</t>
  </si>
  <si>
    <t>he solution development methodology (a prediction method based on MP ANN) is the central focus of the article and is described with extreme rigor, including the conceptual model (Figure 1 ), the algorithm (Figure 3 ), and the mathematical model (Equations 1-7 ). The data process (training, datasets) is also detailed .</t>
  </si>
  <si>
    <t>A48</t>
  </si>
  <si>
    <t>Next-Gen Marketing - AI - Digital Transformation and the Future of Consumer Engagement</t>
  </si>
  <si>
    <t>This is an empty document</t>
  </si>
  <si>
    <t>s document is a book cover and promotional/biographical material, not a research article. It does not contain any of the elements required for the quality assessment.</t>
  </si>
  <si>
    <t>Nenhuma</t>
  </si>
  <si>
    <t>A49</t>
  </si>
  <si>
    <t>Millennials' experiences and satisfaction with chatbots: a study of self-service technology in emerging markets</t>
  </si>
  <si>
    <t>Strong empirical assessment of satisfaction drivers but limited real-world validation and ethics discussion.</t>
  </si>
  <si>
    <t>This is a robust empirical study that successfully validates a theoretical model for chatbot satisfaction among millennials in an emerging market. The study is strong in its problem definition (QC1), methodological rigor for data analysis (QC4), and its transparent discussion of limitations (QC3).</t>
  </si>
  <si>
    <t>A50</t>
  </si>
  <si>
    <t>A systematic review of virtual reality in tourism and hospitality: The known and the paths to follow</t>
  </si>
  <si>
    <t>Good strategic insights into organizational adoption, but lacks empirical evaluation and real-world testing.</t>
  </si>
  <si>
    <t>This is a high-quality systematic literature review focused on VR in tourism/hospitality. It excels at synthesizing knowledge (QC4) and transparently stating its own limitations (QC3). It does not fit the quality criteria designed for primary empirical studies (QC1, QC2-dev, QC5).</t>
  </si>
  <si>
    <t>A51</t>
  </si>
  <si>
    <t>What Influences Potential Users' Intentions to Use Hotel Robots?</t>
  </si>
  <si>
    <t>This is a solid behavioural/acceptance study: it constructs a clear theoretical model (HRAM), uses mixed methods, and reports statistical results and measurement diagnostics thoroughly (a strength). The manuscript is well suited to answer questions about psychological and perceptual antecedents to hotel-robot adoption (social presence, playfulness, trust, PEOU, PU, attitude). However, because it is not a systems paper, it does not describe any AI/robot development, technical evaluation, or real-world deployment testing — so it is limited when judged against criteria that expect AI engineering rigor or practical service trials. The sampling approach (convenience sampling in commercial streets) and the absence of field experiments reduce external validity for operational hotel contexts. Finally, although some social and sustainability implications are discussed, the paper would be stronger if it explicitly addressed ethics/privacy concerns and provided a clearer threats-to-validity / mitigation plan tied to the AI/human-robot interaction aspects.</t>
  </si>
  <si>
    <t>This is a strong empirical study that validates a theoretical model (HRAM) for hotel robot adoption using a robust mixed-methods design. Its strengths lie in its clear problem definition (QC1), rigorous data analysis (QC4), and transparent discussion of limitations (QC3).</t>
  </si>
  <si>
    <t>A52</t>
  </si>
  <si>
    <t>This article offers strong managerial insight into AI adoption in hospitality, emphasizing workforce transformation, adoption drivers, and inhibiting factors. It contributes a conceptual managerial framework and specifies critical frontline skills required in AI-infused service environments. Thematic analysis is well structured and grounded in real professional experience. However, from an AI engineering standpoint, the absence of system development methodology, technical constraints, and explicit ethical frameworks slightly reduce its score. Experimental validation of AI in live customer service flows is not conducted.</t>
  </si>
  <si>
    <t>This is a strong exploratory qualitative study that provides valuable managerial insights into AI adoption in the hospitality (customer service) industry. It excels in problem definition (QC1), methodological rigor for qualitative research (QC2), discussion of limitations (QC3), and clear presentation of results (QC4). Its goal was framework generation, not solution validation (QC5).</t>
  </si>
  <si>
    <t>A53</t>
  </si>
  <si>
    <t>Useful, broad collection focused on CX with mixed empirical depth — quality will depend on individual chapters; not a single systems-engineering evaluation.</t>
  </si>
  <si>
    <t xml:space="preserve">This entry is an edited book, not an empirical article. The authors listed in the query are the editors of the volume. As such, it fails to meet the specified Quality Criteria, which are designed to evaluate primary research. The score of 0.5 is not a "poor" grade for the book's value as a collection, but a reflection that it is foundationally incommensurable with the user's evaluation protocol. The "study" itself is a container for other studies, not a study in its own right.   
</t>
  </si>
  <si>
    <t>A54</t>
  </si>
  <si>
    <t>Practical, domain-targeted chapter — good on problem framing and applied design, but public metadata does not show rigorous reproducible ML development details or published deployment metrics.</t>
  </si>
  <si>
    <t>This is a strong conceptual book chapter. It excels at defining its problem (QC1) and is transparent about high-level challenges (QC3). However, as a forthcoming chapter, its abstract lacks the specific methodological detail (QC2), empirical results (QC4), and validation data (QC5) required to score highly against a protocol designed for empirical software engineering.</t>
  </si>
  <si>
    <t>A55</t>
  </si>
  <si>
    <t>Good applied focus on hospitality chatbots and value co-creation; mostly exploratory/preliminary — limited AI engineering and formal validation in the public chapter metadata.</t>
  </si>
  <si>
    <t>This is another conceptual book chapter, and it is transparent about its nature as a "preliminary reflection". Its value lies in its theoretical framing (QC1) and identification of risks (QC3) rather than in any empirical contribution. Like the other conceptual chapters, it cannot satisfy the engineering-focused criteria (QC2, QC4, QC5) of the protocol.</t>
  </si>
  <si>
    <t>A56</t>
  </si>
  <si>
    <t>The article it's useful conceptual and managerial synthesis about disruptive administrative technologies; limited empirical/engineering depth for AI system assessment</t>
  </si>
  <si>
    <t>This work represents the low-scoring bound for this protocol. It is a high-level, conceptual book chapter that is not focused on a specific problem (QC1) and provides no evidence for any of the other criteria. This demonstrates the profound mismatch between the Conceptual Cluster of the corpus and the Empirical nature of the evaluation protocol.</t>
  </si>
  <si>
    <t>A57</t>
  </si>
  <si>
    <t>This study is a empirical organizational/behavioral study on the impact of CA as digital employees; high on measurement and analysis, low on engineering-level AI development and live system validation.</t>
  </si>
  <si>
    <t>This is a strong empirical paper, a stark contrast to the preceding book chapters. It excels at problem definition (QC1), results presentation (QC4), and empirical validation (QC5). Its primary weaknesses, based on the available text, are a lack of transparency regarding its specific data collection methodology (QC2) and a missing discussion of limitations (QC3).</t>
  </si>
  <si>
    <t>A58</t>
  </si>
  <si>
    <t>It's strong on customer perception theory and experiments; limited in engineering/AI system development and operational deployment validation.</t>
  </si>
  <si>
    <t>Based on the provided text, this is the highest-quality paper in the corpus according to the specified protocol. It demonstrates rigor across the board, with a clear problem (QC1), a robust (though non-AI) experimental methodology (QC2), transparent limitations (QC3), concrete results (QC4), and strong empirical validation (QC5). Its only weakness, from a Software Engineering perspective, is that it is a behavioral study about robots, not an engineering study of the AI itself.</t>
  </si>
  <si>
    <t>A59</t>
  </si>
  <si>
    <t>Strong empirical insight into expectation management and user expertise; limited engineering/system validation.</t>
  </si>
  <si>
    <t xml:space="preserve"> This study provides a strong problem definition (QC1) and clear qualitative results (QC4). However, the provided text is critically deficient in describing the methodology (QC2) and validation (QC5). This is a significant gap. From a scientific and engineering perspective, the findings (QC4) are rendered unverifiable by the total lack of methodological description (QC2), making it impossible to assess their rigor or validity.</t>
  </si>
  <si>
    <t>A60</t>
  </si>
  <si>
    <t xml:space="preserve">Navigating Organizational Behavior in the Digital Age With AI
</t>
  </si>
  <si>
    <t>This edited volume is a useful, broad survey of AI’s intersections with organizational behavior and several customer-facing areas (segmentation, personalization, copywriting, strategy, ethics). Its strength is breadth and topical coverage—useful for gaining a landscape view and for locating specific applied topics (see chapters on segmentation and the mixed-methods study). However, for a systematic literature review that requires assessing individual studies on rigorous methodological and empirical criteria for customer service AI, the book’s contributions are uneven: many chapters are conceptual or descriptive, methodological reporting is inconsistent, and real-world customer service validation is limited. If you need material to inform a SLR focusing on high-quality empirical studies of AI in customer service, this volume can serve as a source of candidate works and conceptual framing, but you will need to complement it with targeted peer-reviewed empirical papers that provide full methodological detail, datasets/code, clear limitations/threats-to-validity sections, and field/deployment evaluations.</t>
  </si>
  <si>
    <t>This study is best classified as a position paper or an extended abstract. While it provides an excellent and comprehensive analysis of the ethical landscape (QC3), it is critically deficient in methodological detail (QC2), empirical results (QC4), and demonstrated validation (QC5). The work establishes the "what" and "why" but provides insufficient evidence of the "how" or "how well."</t>
  </si>
  <si>
    <t>A61</t>
  </si>
  <si>
    <t>The chapter provides a solid state-of-the-art and applied overview of how Intelligent Process Automation (IPA) is transforming marketing. It covers key concepts, benefits, risks, trends, and real-world examples from well-known companies. It serves well as an introductory or theoretical framing source within a systematic literature review.
However, it is not a rigorous empirical study of AI use in customer service contexts: it lacks an operationally defined problem, reproducible descriptions of methods and data, original statistical analyses, and field validations conducted by the authors.
For an SLR focused on high-rigor empirical evidence, this chapter should therefore be used as contextual and conceptual background, and complemented with empirical articles that provide datasets, detailed methodologies, and experimental or operational evaluations.</t>
  </si>
  <si>
    <t>This article is a high-quality literature review chapter, not a primary empirical study. It excels at defining the problem space (QC1) and critically discussing risks and ethics (QC3). Its weakness only in the context of these specific criteria is that it is not a primary study; therefore, it does not present its own methodology (QC2) and only reports on the results (QC4) and validation (QC5) of other organizations.</t>
  </si>
  <si>
    <t>A62</t>
  </si>
  <si>
    <t>This is a practically oriented, data-driven study that convincingly applies clustering and classification methods to an RMFS case to improve storage assignment and reduce travel cost. Strengths are: clear problem framing (with AS-IS/TO-BE), a large real dataset, explicit algorithm choices, modified path-cost modelling, and thorough quantitative results. Main weaknesses are reproducibility and generalizability concerns tied to expert-derived labels and some missing low-level details about data preprocessing and parameter selection; and a notable omission of discussion on ethical implications (privacy, accountability, bias) of applying RPA/AI in customer-facing workflows. That makes the paper strong on engineering evaluation and simulation but only partially complete on methodological transparency and ethics.</t>
  </si>
  <si>
    <t>This article presents a methodologically robust and data-rich analysis of AI for logistics and warehouse optimization. It provides strong empirical validation for its clustering and classification models. Its relevance to customer service is indirect, positioning logistics efficiency as a driver for customer satisfaction rather than testing the AI in a customer-facing application. The lack of ethical discussion regarding RPA implementation is its most notable weakness.</t>
  </si>
  <si>
    <t>A63</t>
  </si>
  <si>
    <t>This study provides a well-structured, methodologically solid, and conceptually valuable framework for understanding how AI-based chatbots integrate into diverse software contexts, including customer service applications. Its greatest strength lies in the systematic mapping and classification of chatbot integration patterns, offering clarity and organization to a rapidly evolving domain. However, it is less focused on empirical validation and ethical implications, which limits its contribution from a practical AI evaluation perspective. The paper is best characterized as a high-quality conceptual and architectural synthesis, ideal for foundational understanding rather than performance assessment or applied experimentation.</t>
  </si>
  <si>
    <t>This is an academically rigorous review paper that maps the field of chatbot integration. Its low score in this rubric does not reflect the quality of the paper, but rather the fact that the rubric is designed to evaluate implementation papers (which build and test a system), while this is a taxonomy paper (which classifies and reviews the field). It identifies customer service as a key driver, but does not develop (QC2) or test (QC5) a solution for it.</t>
  </si>
  <si>
    <t>A64</t>
  </si>
  <si>
    <t>Understanding Collaboration with Virtual Assistants – The Role
of Social Identity and the Extended Self</t>
  </si>
  <si>
    <t>The study is a strong contribution to the field of AI in customer service, offering a clear problem framing and practical evaluation. It demonstrates effective application of AI in real-world customer support scenarios and presents tangible results. However, it would benefit from greater methodological transparency and a deeper ethical discussion to enhance reproducibility and address social implications of AI deployment in service environments.</t>
  </si>
  <si>
    <t>This is a high-quality experimental research article with excellent methodological rigor (QC2) and clear presentation of results (QC4). Its score in this rubric is impacted only because its scope is not customer service (QC1, QC5), but rather internal employee collaboration. The main gap, according to the criteria, is the absence of an ethical discussion (QC3).</t>
  </si>
  <si>
    <t>A65</t>
  </si>
  <si>
    <t>The paper offers a valuable conceptual framework for understanding AI-driven “one-voice” strategies that integrate human and automated intelligence across the customer journey. It excels in contextual clarity (QC1) and provides rich managerial insights but falls short on technical rigor (QC2), empirical validation (QC5), and ethical reflection (QC3). Overall, it contributes meaningfully to the strategic and theoretical understanding of AI in customer engagement but lacks experimental or technical depth expected in empirical AI research.</t>
  </si>
  <si>
    <t>This is a high-level conceptual framework paper, not an implementation study. It brilliantly defines a central customer service problem (QC1) and presents its qualitative data robustly (QC4). However, it does not meet the criteria for the rubric focused on building (QC2), testing (QC5), or ethically critiquing (QC3) a specific AI solution.</t>
  </si>
  <si>
    <t>A66</t>
  </si>
  <si>
    <t>Industry 4.0 and Business Process Management: An Exploratory Study on the Bilateral Effects</t>
  </si>
  <si>
    <t>This study contributes conceptually to understanding the interplay between Business Process Management and Industry 4.0 technologies such as AI, IoT, and Digital Twins. It provides a strong contextual background and identifies research gaps but lacks methodological rigor, empirical validation, and discussion of ethical implications. While relevant to digital transformation, its application to customer service or AI implementation is indirect and largely theoretical.</t>
  </si>
  <si>
    <t>This is an exploratory literature review, not an implementation study. Its low score reflects a mismatch with the rubric, as the paper's goal is not to build or test an AI solution (QC2, QC5) but to review the academic landscape. The topic is internal manufacturing and business processes, not customer service (QC1). It clearly presents its qualitative review findings (QC4) but only partially discusses its limitations and omits ethics (QC3).</t>
  </si>
  <si>
    <t>A67</t>
  </si>
  <si>
    <t>Design Foundations for AI Assisted Decision-Making: A Self Determination Theory Approach</t>
  </si>
  <si>
    <t>his paper offers a well-reported, theory-driven experimental study with a large sample and rigorous quantitative analysis that yields useful insights about how SDT needs (competence, relatedness, autonomy) relate to satisfaction, engagement, decision accuracy and efficiency when users interact with a chatbot. Its strengths are the clear experimental design, reliable measurement scales, and transparent statistical reporting. However, for a systematic review focused on AI in customer service, its usefulness is moderate: the work studies chatbots for decision-making in a laboratory task rather than a concrete customer-service problem or deployed system, the “AI” was simulated (non-dynamic), competency manipulation failed, and the paper gives only limited attention to ethics, privacy, and real-world validity. If you include this study in an SLR, treat it as strong experimental evidence about psychological design levers for conversational decision aids but not as evidence of performance or impact in operational customer-service deployments.</t>
  </si>
  <si>
    <t>This is a strong, methodologically rigorous experimental paper (QC2, QC4). It successfully isolates key psychological factors (autonomy, relatedness, competency) in human-chatbot interaction. Its relevance to customer service is high at the theory level (chatbots) but low at the practical/validation level, as it uses a generic logic puzzle for its task  instead of a customer service scenario</t>
  </si>
  <si>
    <t>A68</t>
  </si>
  <si>
    <t>This is a high-quality empirical study on AI use in customer service within the hospitality sector. It excels in theoretical integration, methodological rigor, and statistical clarity. The main weaknesses lie in limited ethical discussion and lack of operational AI testing. For a systematic literature review on AI in customer service, this paper should be classified as a strong empirical contribution focusing on user acceptance and behavioral intention, rather than on technical AI performance or ethical deployment frameworks.</t>
  </si>
  <si>
    <t>This paper presents a strong empirical validation of a technology acceptance model (TAM/TPB/VAM) for service robots in a hotel (customer service) context. It clearly defines the real-world customer service problem of robot failures (QC1) and provides extensive quantitative results from its survey data to validate its model (QC4, QC5). Its primary weaknesses, based on this rubric, are that it does not develop an AI solution (QC2) and, while it transparently discusses its methodological limitations, it omits any ethical considerations (QC3).</t>
  </si>
  <si>
    <t>A69</t>
  </si>
  <si>
    <t>This is a technically detailed and methodologically solid paper that proposes and implements a multimodal generative AI system capable of handling text, audio, and image data for information retrieval and analysis. It contributes meaningfully to the understanding of how generative AI can assist customer service and data analysis tasks through context-aware, multimodal processing. Its strengths are the clear system design, comprehensive methodological detail, and multi-model performance benchmarking.
However, the study’s ethical analysis and real-world validation are limited. It functions more as a proof of concept than an evaluation of effectiveness in practical customer-service settings. For a systematic review on AI in customer service, this work should be classified as a strong technical development study with moderate empirical support.</t>
  </si>
  <si>
    <t>This article details the development of a multimodal AI agent for information retrieval. It stands out for its methodological rigor (QC2), clearly documenting the models and architectures used, and provides robust qualitative and quantitative results (QC4). While it identifies customer service as a key application, its validation scenario is generic (a "Research Assistant" analyzing a school policy), not a customer service context (QC1, QC5). Its weakest point is the lack of a discussion of the study's limitations, although it acknowledges ethics as an important topic for future work (QC3).</t>
  </si>
  <si>
    <t>A70</t>
  </si>
  <si>
    <t>This paper exemplifies excellent quality across all evaluation dimensions. It clearly defines a relevant and timely customer-service problem—optimizing AI voice agent deployment for SMBs—and applies a rigorous mixed-method approach to evaluate cost-effectiveness and ethical implications. Quantitative depth (cost modeling, platform benchmarking) and ethical awareness (gender bias, inclusivity) are well balanced. The findings have direct implications for AI-driven customer service design, business automation, and gender-sensitive technology adoption.
For your systematic review, this study qualifies as a high-impact empirical and analytical contribution that strongly meets all quality criteria.</t>
  </si>
  <si>
    <t>This paper is a strong example of a quantitative cost-benefit analysis, rather than a technical implementation study. It perfectly aligns with the rubric's criteria for addressing a customer service problem (QC1), presenting clear quantitative results (QC4), and conducting a simulation in a relevant context (QC5). Crucially, it is the only paper analyzed so far that explicitly and adequately discusses the ethical implications of the AI (QC3). Its only "gap" according to this specific rubric is that its methodology is analysis, not AI development (QC2).</t>
  </si>
  <si>
    <t>A71</t>
  </si>
  <si>
    <t>This is a well-structured and theoretically rich study offering a valuable framework for understanding how AI autonomy is reshaping marketing decision-making. It combines academic synthesis with practical examples to show AI’s impact across marketing dimensions. The research excels in problem clarity, conceptual depth, and ethical awareness but falls short on empirical validation and quantitative evidence.
For your systematic literature review on AI in customer service or marketing decision automation, this paper qualifies as a high-quality conceptual and theoretical contribution, providing strategic insight rather than empirical measurement.</t>
  </si>
  <si>
    <t>This is a conceptual paper (a narrative review) that builds a theoretical framework, not an empirical study. It excels at defining the customer-facing problem (QC1) and presenting its qualitative findings clearly (QC4). Its weakness, relative to the rubric, is the lack of AI development (QC2) or empirical validation (QC5), as this is not its purpose. It briefly mentions ethical challenges (QC3).</t>
  </si>
  <si>
    <t>A72</t>
  </si>
  <si>
    <t>The paper presents a coherent, well-motivated exploratory study that combines topic modeling with an LLM (Llama3.1) to analyze complaints from a recognized Brazilian ODR platform. Strengths include a clear pipeline (DST stages), an explained sampling rationale, and interpretable outputs (taxonomy, topic counts) that are immediately useful as diagnostic signals for brokers. The principal weaknesses are reproducibility and rigor: absence of prompts/code, limited quantitative evaluation metrics for the modeling, scarce discussion of ethical/privacy issues and threats to validity, and no operational validation with stakeholders. These gaps constrain confidence in generalizability and practical applicability.</t>
  </si>
  <si>
    <t>A73</t>
  </si>
  <si>
    <t>This is a good survey article that maps the technical landscape of LLM-driven agents and clearly discusses key challenges (latency, uncertainty, benchmarks, security/privacy). It serves well as a conceptual reference and as a catalog of related solutions and research. However, being a survey, it does not address operational customer service problems with empirical detail, nor does it provide reproducible methods, data, or practical validations—limitations that reduce its usefulness for those seeking experimental evidence or immediate implementation guidance in contact centers.</t>
  </si>
  <si>
    <t>This is a high-quality, comprehensive survey paper (literature review) that excels in its specific domain. It clearly defines the customer service problem (QC1) and provides an extensive, transparent discussion of the key challenges and limitations of LLM agents, including ethics and security (QC3). Its qualitative results, in the form of a proposed architecture and agent categorization, are clear (QC4). Its low score is only because the rubric is designed for implementation papers, and this article's purpose is not to build (QC2) or test (QC5) a new AI solution, but to review the existing field.</t>
  </si>
  <si>
    <t>A74</t>
  </si>
  <si>
    <t>This article is strong in its real-world context (a problem clearly linked to customer service/citizens), strong in its empirical validation (two chatbot instances evaluated with metrics), and very strong in its architectural description. Its weaknesses lie at the AI ​​methodological level: there is no transparency regarding datasets, models, training process, or NLU/DM/IRS tuning; the discussion of limitations/ethics is superficial. Even so, it is one of the few works that closes the cycle: requirement → architecture → real-world use → quantitative measurement. For AI SLRs in customer service, this paper is highly relevant and of high quality in its empirical validation.</t>
  </si>
  <si>
    <t>This paper is a strong example of an AI development and design paper. It aligns perfectly with all five quality criteria. It introduces a real-world customer service problem (QC1) , provides a highly rigorous and detailed methodology for the AI's architecture (QC2) , includes a discussion of limitations and ethical/security considerations (QC3) , presents clear quantitative results from its user assessment (QC4) , and validates its pilot chatbots in a real-world citizen service context (QC5).</t>
  </si>
  <si>
    <t>A75</t>
  </si>
  <si>
    <t xml:space="preserve">Creating, Using and Assessing a Generative-AI-Based Human-Chatbot-Dialogue Dataset with User-Interaction Learning Capabilities
</t>
  </si>
  <si>
    <t>This article is very methodologically valuable for generating a dataset (emotion + CEFR) for customer service, with strong quantitative experimentation in readability. However—as a dataset paper—it still lacks applied validation of its use in a customer service model; and it does not discuss ethics/limitations. For SLR, this paper is relevant for data to train agents, but not for evaluating agent performance in real-world operations.</t>
  </si>
  <si>
    <t>This is a very strong methodological paper focused on dataset creation for customer service AI. It clearly defines the customer service problem (QC1) and provides a highly rigorous, replicable methodology for developing and processing the AI-generated dataset (QC2). The results are extensive, providing both qualitative examples of the dialogues and quantitative validation of the language complexity (QC4). This validation occurs within a realistic, simulated customer service scenario (QC5). Its only minor weakness is the omission of a discussion on the ethical implications (e.g., potential biases) of using an LLM to generate such a dataset.</t>
  </si>
  <si>
    <t>A76</t>
  </si>
  <si>
    <t xml:space="preserve">Artificial Intelligence with Emotional Intelligence via Hume AI Techniques
</t>
  </si>
  <si>
    <t>The article is conceptually rich and has a good ethical discussion (a distinguishing feature). However, it is not empirical. It lacks a reproducible method, an implemented AI pipeline, a dataset, and a real-world customer service experiment. For a SLR on the use of AI in customer service, this paper contributes more as a conceptual background on multimodal emotion than as evidence of an applied solution.</t>
  </si>
  <si>
    <t>This paper strongly advocates for and describes an emotionally intelligent AI, citing customer service as a key application. It excels in defining the problem (QC1) and provides a robust discussion of ethical considerations and limitations (QC3). It also presents clear quantitative results from an assessment (QC4). Its main weakness is a lack of methodological rigor in describing how the AI was developed and how the assessment (validation) was actually conducted, failing to specify the context or task used (QC2, QC5).</t>
  </si>
  <si>
    <t>A77</t>
  </si>
  <si>
    <t>It is a methodologically and experimentally sound article, but it does not discuss ethics/limitations. For SLR on AI in customer service, it contributes as "experimental evidence of MARL application in a route handling service". However, the research focus is on microservices architecture + MARL and only secondarily on customer service.</t>
  </si>
  <si>
    <t>This is a strong, rigorous technical paper detailing the development and testing of a new AI architecture. It excels in its methodological rigor (QC2) and its clear, quantitative validation of the proposed systems within a realistic customer service simulation (a route planner) (QC1, QC4, QC5). Its only weakness, according to the rubric, is the complete omission of a "Limitations" section or any discussion of ethical considerations (QC3)</t>
  </si>
  <si>
    <t>A78</t>
  </si>
  <si>
    <t>Intelligent Agent-Based Predict System With
Cloud Computing for Enterprise Service
Platform in IoT Environment</t>
  </si>
  <si>
    <t>This article is conceptual. It defines a proposed intelligent agent system in the cloud for an IoT service platform, but it does not demonstrate, measure, or validate it. It is also not specifically focused on customer service. It is more suitable as a "vision" / "suggestion paper" than as scientific evidence for SLR of AI applied to customer service.</t>
  </si>
  <si>
    <t>This paper is an excellent and highly rigorous study detailing the design and validation of an intelligent agent system for a real-world retail environment. It clearly defines the customer service problem (out-of-stock items and poor in-store interaction). Its methodological rigor (QC2) is high, with detailed architectures for both the AI agents and the RFID-based data collection. It presents extensive quantitative results from a real-world prototype (QC4, QC5), showing clear improvements in customer satisfaction, conversion rates, and stock shortages. Its only minor weakness is the lack of a formal "Limitations" section, though it does address security and privacy as a design concern (QC3)</t>
  </si>
  <si>
    <t>A79</t>
  </si>
  <si>
    <t>Why can’t we help but love mobile banking chatbots? Perspective of stimulus-organism-response SCOPUS</t>
  </si>
  <si>
    <t>The article empirically demonstrates how key CAIC characteristics—anthropomorphism, smart experience, and engagement—are associated with brand love in mobile banking, offering actionable insights for chatbot design. However, based solely on the abstract, it lacks an in-depth articulation of the underlying customer service problem, detailed methodological description, explicit discussion of ethical issues and limitations, and transparent presentation of results. For a systematic literature review focused on rigorous AI in customer service, it can be considered a relevant contribution, but with moderate methodological robustness.</t>
  </si>
  <si>
    <t>The study is strong in defining the customer service problem (QC1) and providing empirical validation with real consumers (QC5), while also presenting clear results (QC4). However, the abstract indicates weakness in methodological transparency regarding the AI development itself (focus is on consumer perception, not software construction) and a complete omission of any discussion on limitations, ethics, or threats to quality (QC3). These latter points are crucial in applied AI research. To improve, the full text should detail the data collection process (QC2) and address these critical validity issues (QC3).</t>
  </si>
  <si>
    <t>A80</t>
  </si>
  <si>
    <t>This study offers a solid and practice-oriented contribution by qualitatively examining how AI-driven chatbots in CRM generate economic and managerial implications across industries, grounded in expert interviews. It clearly defines its purpose, reports concrete thematic results, and acknowledges ethical concerns in sensitive domains such as healthcare. Nonetheless, based solely on the abstract, the transparency of methodological procedures and the systematic treatment of limitations and threats to validity remain under-specified. For a systematic literature review on AI in customer service, it stands as a relevant and generally robust source, particularly valuable for understanding managerial impacts and cross-industry applicability.</t>
  </si>
  <si>
    <t>This study demonstrates a strong focus on the strategic and managerial implications of AI chatbots in CRM (QC1, QC4) and fully satisfies the requirement for discussing ethical issues and limitations (QC3), explicitly mentioning concerns in the healthcare sector. The use of expert interviews provides a solid basis for field validation (QC5 is partially met). However, as is common in strategy-focused papers, there is a lack of methodological rigor regarding the technical development of the AI (QC2). For a software engineering perspective, the full paper would need to detail the qualitative analysis procedure, but based on the abstract, the study is well-structured and highly relevant, particularly for its attention to ethical constraints.</t>
  </si>
  <si>
    <t>A81</t>
  </si>
  <si>
    <t>This work is conceptually relevant for advanced optimization in supply chain management and highlights how quantum computing could transform data-intensive decision-making. However, within the scope of AI in customer service, it offers no clear problem framing, empirical validation, or systematic treatment of ethical and methodological issues directly related to customer-facing interactions. As such, for a systematic literature review centered on AI-driven customer service quality, it should be classified as peripheral background material rather than core empirical evidence.</t>
  </si>
  <si>
    <t>The document provided appears to be an abstract for a theoretical or conceptual book, not a research paper detailing an empirical study. Consequently, it fails to meet most quality criteria established for evaluating AI implementation in Customer Service. Specifically, it addresses Supply Chain Optimization, not direct customer service (QC1: 0.0), and lacks any evidence of methodological rigor in data collection, presentation of results, or empirical validation (QC4 and QC5: 0.0). It only partially meets QC2 by proposing a theoretical framework. The complete absence of any discussion on limitations or ethical considerations (QC3: 0.0) further reduces its score as a quality piece of research.</t>
  </si>
  <si>
    <t>A82</t>
  </si>
  <si>
    <t>This document is a call for chapters rather than an empirical study, so it does not provide direct evidence for AI in customer service. It is conceptually relevant, as it frames key themes such as AI in CRM, customer experience, ethics, and performance, and could lead to high-quality contributions. However, for a systematic literature review focused on evaluating existing studies against rigorous quality criteria, this source should be treated as contextual background or venue information, not as primary empirical evidence.</t>
  </si>
  <si>
    <t>This call for chapters outlines a publication with an exceptionally high potential for quality and rigor, scoring strongly across most criteria. It explicitly mandates a structured methodology, results, and contributions (QC2, QC4), and, critically, demonstrates a strong commitment to ethical and critical reflexivity, requiring discussion of obstacles, risks, and ethical issues (QC3: 1.0). Furthermore, the book prioritizes both theoretical modeling and empirical applications/simulations (QC5: 1.0). The only slight reduction in score relates to QC1, as the primary focus is on Marketing in general, only moderately including specific Customer Service problems (e.g., chatbots, CRM, customer experience) as one of its many tracks. This book represents a high-quality venue for applied research in AI and Data Engineering.</t>
  </si>
  <si>
    <t>A83</t>
  </si>
  <si>
    <t>This article is a strong and directly relevant contribution for AI in customer service, offering experimentally grounded evidence on when chatbot humor is beneficial versus harmful. By distinguishing between chit-chat and task-oriented dialogues and identifying underlying mechanisms (entertainment vs distraction), it provides actionable design insights for service chatbots. However, based solely on the abstract, transparency around methodology, limitations, and ethical considerations is not visible. In a systematic literature review, it should be classified as a valuable, empirically robust source with partial reporting on quality dimensions that would need to be confirmed in the full text.</t>
  </si>
  <si>
    <t>This study demonstrates high quality across its core research elements. It successfully identifies a clear and relevant customer service problem (QC1: 1.0) and uses a strong methodology of four experimental studies to establish boundary conditions and influence mechanisms (QC2, QC5: 1.0). The results are concrete and actionable, distinguishing the effects of humor in chit-chat (entertainment) versus task-oriented (distraction) dialogues (QC4: 1.0). The primary weakness, based on the abstract, is the complete lack of discussion regarding limitations, ethical considerations, or threats to validity (QC3: 0.0), which are crucial points for any study involving the emotional manipulation or influence of AI on user experience.</t>
  </si>
  <si>
    <t>A84</t>
  </si>
  <si>
    <t>This publication is centered on agentic AI evolution and intelligent chip design for future wireless communication systems, not on AI-driven customer service. It offers high-level conceptual insights into computational infrastructure but provides no defined customer service problem, no methodological detail, no empirical results, and no validation in service contexts. For a systematic literature review on AI in customer service, it should be excluded as out of scope rather than evaluated as primary evidence.</t>
  </si>
  <si>
    <t>This document is structured as a Vision or Conceptual Paper, focusing on high-level technical infrastructure (Intelligent Chip Design and Agentic AI integration for Wireless Communication Systems) rather than a direct Customer Service problem (QC1: 0.0). Consequently, it scores very low because it lacks the core components of empirical research: there is no mention of a defined methodology (QC2), no discussion of limitations or ethics (QC3: 0.0), and no presentation of concrete results or empirical validation (QC4, QC5: 0.0). While technically relevant to advanced AI systems, it does not meet the criteria for evaluating studies on AI implementation in customer service.</t>
  </si>
  <si>
    <t>A85</t>
  </si>
  <si>
    <t>This chapter offers a broad and relevant conceptual overview of multichannel CRM, highlighting the role of AI-powered chatbots, virtual assistants, and self-service tools in delivering integrated customer experiences. However, it does not present a clearly defined customer service problem, empirical methodology, results, or validation specific to AI in service contexts. For a systematic literature review focused on rigorous, evidence-based evaluations of AI in customer service, this source should be treated as contextual or theoretical background rather than primary empirical evidence.</t>
  </si>
  <si>
    <t>This document describes a conceptual and strategic chapter intended as a guide for businesses, not an empirical research study. It effectively identifies a highly relevant Customer Service problem—multichannel consistency and AI integration (QC1: 1.0)—but fails to meet all other quality criteria. There is a complete lack of defined methodology, results presentation, or empirical validation (QC2, QC4, QC5: 0.0). Furthermore, it omits any critical discussion of limitations or ethical considerations (QC3: 0.0), which are crucial for a comprehensive strategic guide on AI integration in CRM. It provides high conceptual relevance but low research rigor.</t>
  </si>
  <si>
    <t>A86</t>
  </si>
  <si>
    <t>This book is positioned as a comprehensive conceptual and practical resource on artificial emotional intelligence in Industry 5.0, with explicit attention to ethical and responsible deployment—making it intellectually relevant to discussions of human-computer interaction and, indirectly, customer service. However, within a systematic literature review focused on rigorous empirical evidence for AI in customer service, it lacks a clearly delimited service problem, explicit methodology, reported results, and formal validation. It should therefore be treated primarily as high-level background and framing material rather than as a core empirical study to be scored equally with data-driven research.</t>
  </si>
  <si>
    <t>This document outlines a high-quality resource focused on Artificial Emotional Intelligence (AEI), demonstrating a strong commitment to methodological rigor (QC2) by featuring contributions from leading experts on affective computing and human-robot interaction. Crucially, it fully satisfies the requirement for addressing ethics and responsible deployment (QC3: 1.0), which is paramount for AEI research. However, the study's primary focus is Industry 5.0 and industrial automation, meaning its relevance to direct Customer Service is secondary (QC1: 0.5). While the content promises practical implementations and real-world impact (QC4, QC5: 0.5), this validation is primarily targeted at manufacturing and collaborative robotics, not consumer service scenarios. The overall score reflects high quality research intent but moderate fit with the specific customer service criteria.</t>
  </si>
  <si>
    <t>A87</t>
  </si>
  <si>
    <t>This book provides a broad, practice-oriented framework for integrating AI into leadership, emphasizing ethics, change management, data quality, and strategic alignment. It is conceptually valuable for understanding organizational conditions that may indirectly affect AI-enabled customer service. However, it does not directly address a defined customer service problem, lacks explicit methodological rigor and empirical results related to AI in customer support contexts, and therefore should be treated as contextual background rather than primary evidence in a systematic literature review on AI in customer service.</t>
  </si>
  <si>
    <t>This document describes a high-quality guide focusing on the strategic and ethical integration of AI into organizational leadership, successfully meeting the criterion for discussing ethics, organizational change, and limitations (QC3: 1.0). It also shows a strong awareness of technical aspects like data quality and model refinement (QC2: 0.5) and promises real-world performance results (QC4: 0.5). However, its score is low because the study's scope does not address any direct Customer Service problem (QC1: 0.0), and its practical validation is exclusively set within a management/leadership scenario (QC5: 0.0), making it poorly aligned with the required subject matter.</t>
  </si>
  <si>
    <t>A88</t>
  </si>
  <si>
    <t>This qualitative study provides structured and insightful evidence on librarians’ attitudes toward RPA adoption, clarifying enablers and barriers that matter for technology deployment in academic library services. It is methodologically transparent regarding data collection and analysis and yields clearly articulated themes, which makes it a useful source for understanding organizational readiness around automation. However, it does not directly evaluate an implemented AI/RPA service in customer-facing contexts, nor does it report limitations or ethical reflections. In a systematic literature review on AI in customer service, it should be considered a relevant complementary source on adoption and perceptions, but not a core empirical evaluation of AI-based service performance.</t>
  </si>
  <si>
    <t>This qualitative study demonstrates clarity in its research design (QC2) and presents concrete findings derived from thematic analysis (QC4: 1.0). However, the study does not align with the core focus of the systematic review, as it investigates internal RPA adoption attitudes among librarians rather than a direct Customer Service problem (QC1: 0.0). It also lacks any discussion of limitations, ethics, or threats to validity (QC3: 0.0) and does not involve the empirical validation of an AI solution in a real-world scenario (QC5: 0.0). The high relevance is for organizational change management and technology acceptance, not customer service effectiveness.</t>
  </si>
  <si>
    <t>A89</t>
  </si>
  <si>
    <t>This book is a practical and conceptually rich guide to agile project management and IT service delivery, offering useful frameworks for understanding customer needs and managing iterative development. However, it does not directly evaluate or validate AI-based customer service systems, lacks explicit methodological reporting in that domain, and does not engage with ethics or quality threats specific to AI in customer interactions. For a systematic literature review on AI in customer service, it should be categorized as tangential background material rather than as core empirical evidence.</t>
  </si>
  <si>
    <t>This document describes a conceptual and guidance book focused on Agile Project Management in IT, making it a poor fit for a systematic review focused on AI in customer service. It fails to address a direct Customer Service problem (QC1: 0.0) and lacks any focus on Artificial Intelligence technology (QC2: 0.0). Furthermore, it provides no concrete results or empirical validation of its frameworks (QC4, QC5: 0.0). It only partially meets QC3 by addressing organizational challenges related to change management, but its overall score is low due to a fundamental mismatch with the required research scope and rigor criteria.</t>
  </si>
  <si>
    <t>A90</t>
  </si>
  <si>
    <t>This article offers robust and directly useful empirical evidence on managerial acceptance of AI-driven and automated decision-making in the hotel sector, clarifying when managers are more willing to delegate decisions to AI and when human involvement remains essential—particularly for emotionally complex or interaction-heavy tasks. Its methodological clarity and concrete findings make it a valuable source for understanding organizational readiness and governance models around AI in service settings. However, it does not empirically evaluate AI systems in real customer interactions, nor does it explicitly address ethics, limitations, or threats to validity, so it should be used in a systematic literature review as strong contextual and governance evidence rather than as direct evaluation of AI customer service performance.</t>
  </si>
  <si>
    <t>This study demonstrates high methodological rigor (QC2: 1.0) through its quantitative design, detailed evaluation of decision-making approaches, and sophisticated statistical analysis. It also presents clear and actionable quantitative results (QC4: 1.0), notably identifying the limits of AI preference to tasks requiring low emotional intelligence. However, its overall score is moderated because the focus is on managerial decision-making rather than direct customer service interaction (QC1: 0.5), and it uses indirect empirical validation via surveys of attitudes (QC5: 0.5). Crucially, the abstract lacks any discussion of ethical considerations, limitations, or threats to validity (QC3: 0.0), which is a significant omission for a study on automated decision-making.</t>
  </si>
  <si>
    <t>A91</t>
  </si>
  <si>
    <t>This text is fully outside the scope of AI in customer service, focusing instead on the role of AI in environmental monitoring and ecosystem management. It does not define a service-related problem, report methodology, present empirical findings, or validate AI applications in customer-facing contexts. For a systematic literature review on AI in customer service, it should be excluded or, at most, cited as an example of AI’s broader societal applications, not as primary evidence.</t>
  </si>
  <si>
    <t>This document is a conceptual abstract focusing on the application of AI in Environmental Monitoring and Conservation, which is outside the scope of Customer Service (QC1: 0.0). Consequently, it fails to meet most empirical research quality criteria. It only partially addresses QC2 by highlighting the technical need for handling vast environmental data. It scores zero for lacking any discussion of limitations or ethics (QC3: 0.0) and for not presenting concrete results or empirical validation of an AI solution (QC4, QC5: 0.0). This document is highly relevant to environmental science but shows low research rigor for a systematic review in applied software engineering.</t>
  </si>
  <si>
    <t>A92</t>
  </si>
  <si>
    <t>This monograph provides a methodologically grounded and practically oriented contribution to risk assessment in Logistics 4.0, treating internal transport as a complex human–cyber–physical system. It is valuable for understanding automation and autonomous systems in industrial contexts. However, it lies outside the core scope of AI in customer service: it does not address service interactions, customer experience, or AI-mediated support, and the available description lacks transparent reporting of empirical validation and limitations. For a systematic literature review on AI in customer service, it should be classified as peripheral background on automation and risk, not as primary evaluative evidence.</t>
  </si>
  <si>
    <t>This document describes a monograph focused on risk assessment in Logistics 4.0 internal transport systems, making it a poor fit for the systematic review, as it fails to address any direct Customer Service problem (QC1: 0.0). The study shows moderate rigor by being based on critical literature analysis and empirical research in implementing companies (QC2, QC4: 0.5), but its scope is strictly logistical and operational. Critically, the abstract lacks any discussion of limitations, ethical considerations, or threats to quality (QC3: 0.0), and the validation scenario is logistics/supply chain, not customer service interaction (QC5: 0.0).</t>
  </si>
  <si>
    <t>A93</t>
  </si>
  <si>
    <t>This paper delivers a conceptually relevant and institutionally focused analysis of how AI can transform financial management in higher education, offering structured models and managerial implications that are useful for internal process optimization. However, it does not target AI in customer service, lacks transparent methodological detail and explicit ethical or validity discussions, and provides only high-level findings without rigorous empirical validation. For a systematic literature review on AI in customer service, it should be classified as tangential background on AI-enabled organizational efficiency rather than as core empirical evidence.</t>
  </si>
  <si>
    <t>This research focuses on the integration of AI into Financial Management within Higher Education, making it a poor match for the systematic review as it does not address a Customer Service problem (QC1: 0.0). While it shows conceptual rigor by detailing the construction of a three-level intelligent system (QC2: 0.5), it is severely weakened by the complete lack of discussion regarding limitations, ethics, or threats to validity (QC3: 0.0). Furthermore, the abstract fails to present the concrete results or empirical validation that support its claims about efficiency and productivity (QC4, QC5: 0.0). The study provides high relevance to financial technology but low research rigor according to the established criteria.</t>
  </si>
  <si>
    <t>A94</t>
  </si>
  <si>
    <t>This bibliometric study is methodologically sound within its scope and provides clear quantitative insights into where and how AI research in accounting and finance has been published. However, it does not address AI applications in customer service, nor does it evaluate specific systems, ethical issues, or practical deployments in service contexts. For a systematic literature review on AI in customer service, it may be cited only as meta-level context on AI research trends, not as core empirical evidence on service-oriented AI.</t>
  </si>
  <si>
    <t>This study demonstrates strong methodological rigor (QC2: 1.0) and clear presentation of quantitative results (QC4: 1.0) for its specific research type (bibliometric analysis). However, its score is low because it fails the relevance test: the research topic is academic publication trends in Accounting and Finance, not a direct Customer Service problem (QC1: 0.0). Furthermore, like other meta-research documents, it lacks any discussion of the ethical issues or limitations of its own bibliometric process (QC3: 0.0) and provides no empirical validation of an AI solution (QC5: 0.0).</t>
  </si>
  <si>
    <t>A95</t>
  </si>
  <si>
    <t>This article is a strong, domain-relevant empirical contribution to AI in customer service, rigorously examining how chatbot-expressed humor shapes service satisfaction through cognitive, emotional, and social mechanisms, and identifying identity disclosure as an important boundary condition. It offers actionable design implications for online service providers and chatbot developers. However, based on the abstract alone, transparency regarding methodological detail, explicit limitations, and ethical considerations is missing. In a systematic literature review, it should be classified as a high-value, experimentally grounded source with incomplete reporting on some quality dimensions that should be checked in the full text.</t>
  </si>
  <si>
    <t>This study demonstrates high overall quality and strong research rigor, effectively meeting the requirements for a quality empirical study in this domain. It successfully addresses a clear and relevant customer service problem (QC1: 1.0) and utilizes a robust, multi-method experimental design to establish causal relationships, mediating pathways, and boundary conditions (QC2, QC5: 1.0). The results are specific and highly actionable for chatbot design (QC4: 1.0). The primary area of weakness is the complete omission of any discussion regarding limitations, ethical considerations (especially pertinent given the focus on emotional influence and identity disclosure), or threats to validity (QC3: 0.0).</t>
  </si>
  <si>
    <t>A96</t>
  </si>
  <si>
    <t xml:space="preserve"> The work appears valuable as a conceptual/theoretical treatment of personalization and digital-economy transformations and may provide useful context for thinking about AI-driven changes in customer–firm relations. However, based on the abstract alone it lacks the methodological, ethical, and empirical detail required to assess an AI solution for customer service from a software‑engineering perspective. Recommend reviewing the full text (methods and empirical chapters) to locate concrete AI methods, data descriptions, results, and ethical/validity discussions before inclusion in a systematic review focused on AI in customer service.</t>
  </si>
  <si>
    <t xml:space="preserve"> The provided text is an abstract for a book-length analysis of broad developments and disruptions in the digital economy, focusing on concepts like personalization, new market relationships, and the resulting emergence of AI automation and new social organization. The scope is primarily macro-level and theoretical/empirical analysis of a large-scale phenomenon. Because the abstract does not describe a focused research study that proposes and validates a specific AI solution to a well-defined customer service problem, it fails to provide the necessary information to satisfy any of the quality criteria. The study's scope is fundamentally misaligned with the requirements for a literature review focusing on methodological rigor and empirical validation of AI in customer service.</t>
  </si>
  <si>
    <t>A97</t>
  </si>
  <si>
    <t xml:space="preserve"> This study is fundamentally misaligned with the specified quality criteria, which are designed to evaluate AI applications in customer service contexts. The research investigates AI's impact on logistics efficiency in e-commerce through supply chain consistency, last-mile delivery, and inter-firm collaboration—domains that are operational and back-end focused rather than customer-facing. While the study demonstrates strong methodological rigor in quantitative research design and presents clear statistical results, it does not address customer service problems, AI solution development for customer interactions, or validation in customer service scenarios. The low overall score reflects this domain mismatch rather than poor research quality. For a systematic literature review on AI in customer service, this study should likely be excluded as it falls outside the scope of customer service</t>
  </si>
  <si>
    <t>The study is significantly limited by the misalignment between its core topic (AI in logistics performance) and the required focus of the quality criteria (AI in customer service). The problem addressed (QC1) and the context of the empirical validation (QC5) are outside the scope of the systematic review's requirement. While the abstract clearly communicates the statistical findings (QC4), it lacks essential details regarding AI development methodology (QC2) and fails to address the transparency criteria of limitations, ethics, or validity threats (QC3). Consequently, its contribution to a review on AI in customer service is minimal.</t>
  </si>
  <si>
    <t>A98</t>
  </si>
  <si>
    <t>This study presents a well-defined and contextually grounded exploration of consumer perceptions toward robot baristas using a sound theoretical base (TAM2) and qualitative methodology. It contributes meaningful insights into AI-driven customer service in China’s coffee sector. However, its methodological transparency, ethical discussion, and practical validation could be strengthened to enhance reliability and applicability beyond its specific cultural and simulated setting.</t>
  </si>
  <si>
    <t>This is a strong qualitative study focused on the social science aspect of AI/automation adoption in customer service. It excels in contextualizing the problem, presenting clear qualitative findings, and discussing limitations and social/ethical implications (QC1, QC3, QC4). Its score is slightly limited by the nature of the criteria, which are geared towards technical development studies. It does not describe an AI development methodology, but it incorporates a simulation and collects empirical data, warranting a partial score for QC2 and QC5 based on its own design rigor. The study provides valuable pre-implementation insight into consumer attitudes.</t>
  </si>
  <si>
    <t>A99</t>
  </si>
  <si>
    <t>This conceptual paper provides a strong theoretical contribution by redefining how service interactions can be understood under AI-mediated “zero-social-touch” models. It excels in problem clarity and ethical/philosophical depth, offering a rigorous intellectual exploration within S-D logic. However, the lack of empirical validation, concrete results, and methodological detail regarding AI development limits its applicability and practical assessment potential. It stands as a valuable conceptual foundation rather than an applied empirical study.</t>
  </si>
  <si>
    <t>This is a high-quality qualitative study that provides essential pre-adoption insights into consumer perception of AI-mediated zero-social-touch services. It excels in contextual clarity, transparent discussion of limitations/social implications, and the comprehensive presentation of qualitative findings. The lower score in the methodology and validation criteria is primarily due to the paper's social science focus rather than any lack of rigor within its chosen domain. The paper is highly valuable for informing the practical design and marketing of robotic customer service solutions.</t>
  </si>
  <si>
    <t>A100</t>
  </si>
  <si>
    <t>This study achieves full marks across all quality criteria. It provides a clear, well-contextualized problem statement, a methodologically robust explanation of AI implementation, and multiple empirical validations supported by quantitative results. It further distinguishes itself by offering a comprehensive discussion of limitations, ethics, and risks, along with practical recommendations for adoption. The combination of theoretical depth and applied case evidence makes it a high-quality and exemplary contribution to the literature on AI in customer service and enterprise automation.</t>
  </si>
  <si>
    <t>This is a strong, practical, and well-structured analytical paper that successfully uses case studies and quantitative metrics to illustrate the value of a commercial AI solution (SAP Joule AI) across the enterprise. It is highly transparent regarding risks and ethical/social considerations (QC3 and QC5 are fully met). The total score is primarily limited by the study's scope and nature: it is an analysis of a commercial platform's applications rather than an academic study on the development of an AI solution (QC2 is not met), and customer service is a discussed application area but not the core problem addressed (QC1 is only partially met).</t>
  </si>
  <si>
    <t>A101</t>
  </si>
  <si>
    <t>This is a methodologically strong and empirically grounded study that robustly explores the dynamics of AI in customer service environments within hospitality. It excels in problem clarity, methodological transparency, and data-driven results. Its only moderate area of weakness is the limited discussion of ethics and research validity threats. Overall, it represents a high-quality empirical contribution to understanding how AI integration enhances service performance and customer satisfaction in real-world business settings.</t>
  </si>
  <si>
    <t>This is a high-quality empirical, quantitative study providing valuable insights into the organizational and customer-facing impacts of AI integration within a crucial service sector. It excels in contextual clarity, presenting clear quantitative findings, and establishing strong empirical validation in a real-world setting. The score is slightly limited by the study's focus being on the strategic impact of AI integration rather than AI system development (affecting QC2), and the lack of an explicit discussion on ethical considerations in the abstract (affecting QC3).</t>
  </si>
  <si>
    <t>A102</t>
  </si>
  <si>
    <t>The publication offers a conceptually rich and practically relevant discussion on the transformative role of AI in the food service industry, specifically within ghost kitchens. It excels in problem clarity and contextualization, providing valuable insights for practitioners and researchers. However, it remains primarily conceptual and descriptive, with limited methodological detail, empirical evidence, or explicit ethical reflection. It serves as a useful overview or applied reference rather than a rigorous academic or empirical study on AI-driven customer service systems.</t>
  </si>
  <si>
    <t>This resource appears to be a conceptual, forward-looking, and applications-focused book providing a broad overview of AI's potential in the food service sector. It clearly identifies a relevant customer service problem (QC1). However, as it is presented as a compilation of guidelines and examples rather than a primary empirical study, it fails to meet the criteria requiring rigor in methodology, limitations/ethics discussion, and the presentation of original empirical results or validation (QC2, QC3, QC4, QC5). For a systematic literature review focused on research quality, this document provides contextual background but lacks the necessary methodological rigor for a high-quality empirical entry.</t>
  </si>
  <si>
    <t>A103</t>
  </si>
  <si>
    <t>This study provides a methodologically sound and practically valuable investigation into e-commerce automation. Its mixed-method design and workshop canvas framework bridge empirical research and managerial application effectively. However, it would benefit from deeper reflection on ethical implications, threats to validity, and empirical validation of its proposed framework in real business environments. Overall, it stands as a high-quality, practice-oriented contribution to AI-enabled automation and customer experience optimization in e-commerce contexts.</t>
  </si>
  <si>
    <t>This is a high-quality mixed-method empirical investigation that provides a holistic, validated view of e-commerce automation, directly addressing the customer experience component. It excels in methodological rigor for a primary data collection study (QC2, QC4, QC5) and clearly defines its scope (QC1). The score is limited only by the lack of an explicit mention of discussing research limitations and ethical concerns in the provided abstract (QC3).</t>
  </si>
  <si>
    <t>ID do artigo</t>
  </si>
  <si>
    <t>Tipo de publicação</t>
  </si>
  <si>
    <t>Local de publicação</t>
  </si>
  <si>
    <t>Link</t>
  </si>
  <si>
    <t xml:space="preserve">Ano </t>
  </si>
  <si>
    <t>Autores</t>
  </si>
  <si>
    <t>País</t>
  </si>
  <si>
    <t>RQ (Pergunta de Pesquisa)</t>
  </si>
  <si>
    <t>Extração LLM 1 (ChatGPT)</t>
  </si>
  <si>
    <t>Extração LLM 2 (Gemini)</t>
  </si>
  <si>
    <t>Extração validada (humana)</t>
  </si>
  <si>
    <t>ChatGPT acertou?</t>
  </si>
  <si>
    <t>Gemini acertou?</t>
  </si>
  <si>
    <t>Concordância entre LLMs</t>
  </si>
  <si>
    <t>Observações / Comentários</t>
  </si>
  <si>
    <t xml:space="preserve">A01 </t>
  </si>
  <si>
    <t>Conference</t>
  </si>
  <si>
    <t>ACM Conference on Conversational User Interfaces (CUI ’25)</t>
  </si>
  <si>
    <t>https://dl.acm.org/doi/10.1145/3719160.3736621</t>
  </si>
  <si>
    <t>USA (Both authors are affiliated with Drexel University, Philadelphia, PA, USA</t>
  </si>
  <si>
    <t>RQ1</t>
  </si>
  <si>
    <t>“task-oriented chatbots designed to improve user interactions” in customer engagement and business operations</t>
  </si>
  <si>
    <t>Extraction: "In customer engagement and business operations (N=9, 3.2%), studies examined task-oriented chatbots designed to improve user interactions [155]." 
Extraction: "Recommender and decision support systems (N=8, 2.9%) have also been studied, with tools like collaborative restaurant selection systems that streamline group decision-making [89]." 
Extraction: "...linking CUIs to real-time factory systems improves decision-making by allowing assistants to analyze and respond based on current operational conditions [87]."</t>
  </si>
  <si>
    <t>In customer engagement and business operations (N=9, 3.2%), studies examined task-oriented chatbots designed to improve user interactions, task-oriented chatbots designed to improve user interactions” in customer engagement and business operations</t>
  </si>
  <si>
    <t>Parcialmente</t>
  </si>
  <si>
    <t>RQ2</t>
  </si>
  <si>
    <t>“advancements in natural language processing (NLP), machine learning, and neural networks” 
The Art of Talking Machines
“Prosody, Emotion, &amp; Sentiment Analysis… Data Strategies &amp; Training Techniques… Advanced Reasoning… Fact-Checked Responses… Speech Recognition &amp; Understanding… Efficiency &amp; On-device Optimization” 
The Art of Talking Machines
“retrieval-augmented generation (RAG)” for improving factual accuracy and dialogue performance 
The Art of Talking Machines
“self-reflection mechanisms” and “fallback mechanisms using LLMs” to enhance response quality</t>
  </si>
  <si>
    <t>Extraction: "Technological advancements such as AI-driven large language models and multimodal systems have expanded the adaptability and usability of CUIs." 
Extraction: "Natural language processing examines how CUIs process and generate text or speech, including language models, dialogue management, and response generation techniques." 
Extraction: "Recent methods such as Retrieval-Augmented Generation (RAG) help maintain factual consistency while improving conversational engagement [82]." 
Extraction: "Researchers found that integrating LLMs further refines these interactions by allowing CUIs to personalize responses dynamically..." 
Extraction: "Simpler machine learning models, such as Random Forest, can achieve similar accuracy as deep learning models while using fewer resources, making them suitable for resource-limited settings [78]." 
Extraction: "Future research should integrate Chain-of-Thought (CoT) prompting, which enables CUIs to explain their reasoning step by step [144]. This can be combined with Self-Consistency techniques... For more advanced decision-making, Tree-of-Thought (ToT) reasoning should be explored [148]."</t>
  </si>
  <si>
    <t>Technological advancements such as AI-driven large language models and multimodal systems have expanded the adaptability and usability of CUIs, Recent methods such as Retrieval-Augmented Generation (RAG) help maintain factual consistency while improving conversational engagement, Researchers found that integrating LLMs further refines these interactions by allowing CUIs to personalize responses dynamically, Simpler machine learning models, such as Random Forest, can achieve similar accuracy as deep learning models while using fewer resources, making them suitable for resource-limited settings Future research should integrate Chain-of-Thought (CoT) prompting, which enables CUIs to explain their reasoning step by step [144]. This can be combined with Self-Consistency techniques... For more advanced decision-making, Tree-of-Thought (ToT) reasoning should be explored, Prosody, Emotion, &amp; Sentiment Analysis… Data Strategies &amp; Training Techniques… Advanced Reasoning… Fact-Checked Responses… Speech Recognition &amp; Understanding… Efficiency &amp; On-device Optimization</t>
  </si>
  <si>
    <t>RQ3</t>
  </si>
  <si>
    <t>Information not available in the text.</t>
  </si>
  <si>
    <t>Extraction: "Studies indicated that users expect chatbots to manage complex inquiries, which suggests the need for systems with advanced functionalities to enhance customer service [69]." 
Extraction: "Beyond maintaining conversation flow, memory in CUIs contributes to learning experiences by tracking user progress and feedback." 
Extraction: "In task automation, intelligent agents assist users in streamlining daily activities, yet usability challenges persist..." 
Extraction: "...linking CUIs to real-time factory systems improves decision-making by allowing assistants to analyze and respond based on current operational conditions [87]."</t>
  </si>
  <si>
    <t>Studies indicated that users expect chatbots to manage complex inquiries, which suggests the need for systems with advanced functionalities to enhance customer service, Beyond maintaining conversation flow, memory in CUIs contributes to learning experiences by tracking user progress and feedback, In task automation, intelligent agents assist users in streamlining daily activities, yet usability challenges persist, linking CUIs to real-time factory systems improves decision-making by allowing assistants to analyze and respond based on current operational conditions</t>
  </si>
  <si>
    <t>RQ4</t>
  </si>
  <si>
    <t>“bias in persona design, trust calibration, and data privacy” 
The Art of Talking Machines
“trust &amp; transparency… explainability &amp; reliability of CUIs” 
The Art of Talking Machines
“data privacy and protection… security &amp; consent in CUI data handling… compliance with regulations such as GDPR” 
The Art of Talking Machines
“avoid dark patterns,” “prevent manipulative design,” “ensure users remain in control” 
The Art of Talking Machines
“accountability… especially when mistakes occur” 
The Art of Talking Machines</t>
  </si>
  <si>
    <t>"Ethical considerations, including social bias, user autonomy, and transparency, remain central to discussions on responsible CUI design." 
"Privacy is a dominant issue, as users often express distrust due to data collection practices, unauthorized data access, and lack of transparency in voice assistants [61, 127]." 
"Trust-building mechanisms, such as personalization and transparency, are also highlighted as key factors influencing user adoption [121]." 
"Research indicated that clear and simple explanations are essential, especially when providing fact-based information..." 
"Studies indicated that prioritizing fact-checked news in Voice User Interfaces is essential for maintaining journalistic integrity... robust fact-checking mechanisms are necessary in sensitive fields..."</t>
  </si>
  <si>
    <t>“bias in persona design, trust calibration, and data privacy,” along with “trust &amp; transparency,” “explainability &amp; reliability,” and “data privacy and protection… security &amp; consent.” The article highlights avoiding “manipulative design tactics,” ensuring “clear explanations,” providing “accountability,” and adhering to privacy regulations such as “GDPR.”, "Ethical considerations, including social bias, user autonomy, and transparency, remain central to discussions on responsible CUI design." 
"Privacy is a dominant issue, as users often express distrust due to data collection practices, unauthorized data access, and lack of transparency in voice assistants [61, 127]." 
"Trust-building mechanisms, such as personalization and transparency, are also highlighted as key factors influencing user adoption [121]." 
"Research indicated that clear and simple explanations are essential, especially when providing fact-based information..." 
"Studies indicated that prioritizing fact-checked news in Voice User Interfaces is essential for maintaining journalistic integrity... robust fact-checking mechanisms are necessary in sensitive fields..."</t>
  </si>
  <si>
    <t>RQ5</t>
  </si>
  <si>
    <t>Extraction: "Research found that transparency about data collection and system capabilities is essential to maintaining ethical interactions [10]." 
Extraction: "Studies showed that allowing users to customize how they receive notifications—whether through vibrations, visuals, or voice prompts—improves comfort and engagement [7]." 
Extraction: "Constitutional AI enables CUIs to critique their own responses based on predefined ethical guidelines, refining refusals to ensure clarity, fairness, and constructive engagement." 
Extraction: "Federated Learning offers a promising solution by allowing CUIs to train on decentralized user data while preserving privacy [149]." 
Extraction: "Future research should focus on developing standardized design principles through large-scale usability studies... Expert-driven workshops... can refine these principles to ensure inclusivity."</t>
  </si>
  <si>
    <t>"Research found that transparency about data collection and system capabilities is essential to maintaining ethical interactions [10]." 
"Studies showed that allowing users to customize how they receive notifications—whether through vibrations, visuals, or voice prompts—improves comfort and engagement [7]." 
"Constitutional AI enables CUIs to critique their own responses based on predefined ethical guidelines, refining refusals to ensure clarity, fairness, and constructive engagement." 
"Federated Learning offers a promising solution by allowing CUIs to train on decentralized user data while preserving privacy [149]." 
"Future research should focus on developing standardized design principles through large-scale usability studies... Expert-driven workshops... can refine these principles to ensure inclusivity."</t>
  </si>
  <si>
    <t>BPM 2024 (Business Process Management Conference), Lecture Notes in Computer Science (LNCS 14940)</t>
  </si>
  <si>
    <t>Techno-empowerment of Process Automation: Understanding Employee Acceptance of Autonomous AI in Business Processes</t>
  </si>
  <si>
    <t>https://dl.acm.org/doi/10.1007/978-3-031-70396-6_29</t>
  </si>
  <si>
    <t>Artur Modliński, Damian Kedziora, Andrzej Hak, Jaroslaw Motylewski, Joanna Kedziora, Hajo A. Reijers, Adela del-Río-Ortega</t>
  </si>
  <si>
    <t>Poland (first author’s institution: Łódź University, Poland)</t>
  </si>
  <si>
    <t>"Two companies belonged to the banking sector, one company dealt with accounting, one offered consulting and outsourcing services".
"involved 126 employees within four international companies residing in Poland that had already been routinely applying RPA for the automation of parts of their business processes".
"The announced, innovative side of this software is its ability to make decisions on its own, i.e. buying some product when AI detects some shortage after the process analysis"</t>
  </si>
  <si>
    <t>"Two companies belonged to the banking sector, one company dealt with accounting, one offered consulting and outsourcing services".
"involved 126 employees within four international companies residing in Poland that had already been routinely applying RPA for the automation of parts of their business processes".
"The announced, innovative side of this software is its ability to make decisions on its own, i.e. buying some product when AI detects some shortage after the process analysis"</t>
  </si>
  <si>
    <t>“Autonomy in decision-making is associated with reward function engineering… particularly in reinforcement learning, the algorithm (agent) makes decisions in interaction with the environment to maximize received rewards.”</t>
  </si>
  <si>
    <t>"The convergence of AI, process automation, and customer data has given rise to the concept of intelligent process automation... alternatively referred to as hyperautomation".
"intelligent process automation combines RPA and AI to deliver powerful tools that can mimic human interaction and make advanced decisions based on the outputs of those robotic inputs".
"Autonomous software is the driving engine of the transition from the internet-based stage of AI into the autonomous stage of AI... In reinforcement learning, the algorithm (agent) makes decisions in interaction with the environment to maximize received rewards".
"AI-enhanced Robotic Process Automation (RPA)".</t>
  </si>
  <si>
    <t>“Employees may initially appreciate the decrease in monotonous tasks, they can also be expected to voice worries regarding their job stability in the future… workplace perceptions and gender… shape intentions to techno-empower AI-enhanced RPA technology.”</t>
  </si>
  <si>
    <t>"Organizations that have effectively implemented RPA and streamlined business processes have witnessed favorable effects on their strategic objectives, workforce efficiency, and customer service".
"This development has brought about further benefits such as improved productivity, enhanced decision-making through data-driven insights, and cost reduction".
"although employees may initially appreciate the decrease in monotonous tasks, they can also be expected to voice worries regarding their job stability in the future".
"When an employee perceives having control and influence over their workplace, job satisfaction increases, and turnover intentions decrease".</t>
  </si>
  <si>
    <t>"Organizations that have effectively implemented RPA and streamlined business processes have witnessed favorable effects on their strategic objectives, workforce efficiency, and customer service".
"This development has brought about further benefits such as improved productivity, enhanced decision-making through data-driven insights, and cost reduction".
"although employees may initially appreciate the decrease in monotonous tasks, they can also be expected to voice worries regarding their job stability in the future".
"When an employee perceives having control and influence over their workplace, job satisfaction increases, and turnover intentions decrease".</t>
  </si>
  <si>
    <t>"Entrusting decision-making autonomy to technology is associated with the phenomenon of techno-empowerment. In the current literature, techno-empowerment is defined as 'the process of transferring autonomy in decision-making to intelligent machines'".
"gender [26], trust, perceived risk, usefulness, ease of use [37], awareness about the strengths and weaknesses, skills to interact with technology [19], and previous exposure to and positive experience with AI [5,18] influence the attitudes and intentions towards autonomous technologies".
"men tend to take greater risks associated with the use of new technologies".</t>
  </si>
  <si>
    <t>"Entrusting decision-making autonomy to technology is associated with the phenomenon of techno-empowerment. In the current literature, techno-empowerment is defined as 'the process of transferring autonomy in decision-making to intelligent machines'".
"gender [26], trust, perceived risk, usefulness, ease of use [37], awareness about the strengths and weaknesses, skills to interact with technology [19], and previous exposure to and positive experience with AI [5,18] influence the attitudes and intentions towards autonomous technologies".
"men tend to take greater risks associated with the use of new technologies".</t>
  </si>
  <si>
    <t>“Managers need to ensure that software currently used is positively perceived by employees… monitor how employees perceive their workplace… and take into account that a workforce is a diverse, heterogeneous community.”</t>
  </si>
  <si>
    <t>"managers need to ensure that software currently used is positively perceived by employees. If employee perceptions are negative, a further analysis is called for to establish the reasons for this and take actions accordingly".
"managers would be advised to monitor how employees perceive their workplace. If their perceptions are negative, it is important to understand the underlying causes and, where possible, intervene for the better".
"recommendation to include questions on this topic [employee perceptions of RPA technology] in regular surveys measuring job satisfaction and employee perceptions of the organization".
"sharing peer opinions on a certain technology can be more important to women in shaping their opinion".</t>
  </si>
  <si>
    <t>"managers need to ensure that software currently used is positively perceived by employees. If employee perceptions are negative, a further analysis is called for to establish the reasons for this and take actions accordingly".
"managers would be advised to monitor how employees perceive their workplace. If their perceptions are negative, it is important to understand the underlying causes and, where possible, intervene for the better".
"recommendation to include questions on this topic [employee perceptions of RPA technology] in regular surveys measuring job satisfaction and employee perceptions of the organization".
"sharing peer opinions on a certain technology can be more important to women in shaping their opinion".</t>
  </si>
  <si>
    <t>Journal</t>
  </si>
  <si>
    <t>ACM Transactions on Computer-Human Interaction</t>
  </si>
  <si>
    <t>https://dl.acm.org/doi/10.1145/3716132</t>
  </si>
  <si>
    <t>Tian Huang, Chun Yu, Weinan Shi, Zijian Peng, David Yang, Weiqi Sun, Yuanchun Shi</t>
  </si>
  <si>
    <t>China</t>
  </si>
  <si>
    <t>"Prompt2Task presents promising applications in fields such as tutorial creation, smart assistance, and customer service."
"UI task automation enables efficient task execution by simulating human interactions with GUIs, without modifying the existing application code."
"...comprehend various task-related textual prompts (e.g., goals, procedures), thereby generating and performing the corresponding automation tasks."</t>
  </si>
  <si>
    <t>“We propose Prompt2Task, a multi-agent system that accepts unrestricted textual expressions of task requirements and automates corresponding UI tasks.” 
“Prompt2Task incorporates a suite of intelligent agents that mimic human cognitive functions... including the Analysis Agent, the Retrieval Agent, the Parsing Agent, the Grounding Agent, and the Assessment Agent.” 
The system uses LLMs (GPT-4) for reasoning, parsing, and decision-making:
“Prompt2Task’s agents utilize the GPT-4 API for their LLM needs.” 
The architecture is a three-stage pipeline:
“Prompt2Task spans three stages—from information collection and instruction generation to operation mapping.” 
Includes knowledge sources:
“A comprehensive knowledge base… historical task repository, context library, instruction set, and mobile interaction graph.”</t>
  </si>
  <si>
    <t xml:space="preserve">"Prompt2Task incorporates a suite of intelligent agents that mimic human cognitive functions, specializing in interpreting user intent, managing external information for task generation, and executing operations on smartphones."
"Prompt2Task incorporates a suite of intelligent agents... Grounding Agent and the Assessment Agent..."
"...large language models..."
"The agents can lea"mobile interaction graph..."rn from user feedback and continuously improve their performance based on the accumulated knowledge."
</t>
  </si>
  <si>
    <t>"Prompt2Task incorporates a suite of intelligent agents that mimic human cognitive functions, specializing in interpreting user intent, managing external information for task generation, and executing operations on smartphones."
"Prompt2Task incorporates a suite of intelligent agents... Grounding Agent and the Assessment Agent..."
"...large language models..."
"The agents can lea"mobile interaction graph..."rn from user feedback and continuously improve their performance based on the accumulated knowledge."</t>
  </si>
  <si>
    <t>"Experimental results indicated a performance jump from a 22.28% success rate in the baseline to 95.24% with Prompt2Task, requiring an average of 0.69 user interventions for each new task."
"Table C1... Manual: 110.47 (sd = 54.86)... Prompt2Task (Second Time): 33.11 (sd = 6.14)"
"You can finish the task easily: 6.33 (sd = 0.65)</t>
  </si>
  <si>
    <t>Information not available in the text</t>
  </si>
  <si>
    <t>"However, its broader adoption is constrained by the need for expertise in both scripting languages and workflow design."
"If a significant app update alters the page transition relationships, the mobile interaction graph might provide incorrect information, potentially leading both agents to erroneous decisions."
"The Assessment Agent will request user intervention... If multiple erroneous attempts occur..."</t>
  </si>
  <si>
    <t>"The agents can learn from user feedback and continuously improve their performance based on the accumulated knowledge."
"The system’s requests for user assistance are appropriately made..."
"...incorporating a suite of intelligent agents that mimic human cognitive functions..."</t>
  </si>
  <si>
    <t>Journal of Service Management</t>
  </si>
  <si>
    <t>https://www.researchgate.net/publication/395598385_Beyond_replacement_human-machine_collaboration_in_the_age_of_AI</t>
  </si>
  <si>
    <t>Werner H. Kunz, Laszlo Sajtos, and Carlos Flavián</t>
  </si>
  <si>
    <t>USA, New Zealand, Spain</t>
  </si>
  <si>
    <t>"transforming key industries such as healthcare, education, communication, entertainment, and hospitality"
"Phillips et al. (2025) conducted a mixed-methods study examining how frontline employees (FLEs) respond to and manage their well-being when service robots alter traditional employee-customer relationships"
"FLEs actively use robots as a task allocation strategy to maintain their well-being, with results showing that using robots instead of human colleagues had positive well-being outcomes."</t>
  </si>
  <si>
    <t>"transforming key industries such as healthcare, education, communication, entertainment, and hospitality"
"Phillips et al. (2025) conducted a mixed-methods study examining how frontline employees (FLEs) respond to and manage their well-being when service robots alter traditional employee-customer relationships"</t>
  </si>
  <si>
    <t>“AI algorithms, models, and platforms for tasks like data analysis, decision-making, and language processing… large, well-structured datasets… system connectivity… intuitive user interfaces...  robotic...”</t>
  </si>
  <si>
    <t>"AI-driven robots are now better at sensing their surroundings by collecting and analyzing large sets of data"
"GenAI and large language models (LLMs) mark a new era"
"collaborative AI systems that empower workers to enhance responsibility and fulfillment"
"offering guidance on how human and robotic agents can work in tandem to achieve optimal outcomes"</t>
  </si>
  <si>
    <t>"AI-driven robots are now better at sensing their surroundings by collecting and analyzing large sets of data"
"GenAI and large language models (LLMs) mark a new era"
"collaborative AI systems that empower workers to enhance responsibility and fulfillment"</t>
  </si>
  <si>
    <t>“productivity gains… competitive position… innovation opportunities… increased responsibilities… upskill needs… job security concerns… personalization value… authenticity perception...”</t>
  </si>
  <si>
    <t>"The effects of human-machine collaboration on organizational performance, including productivity gains, competitive advantage through optimized service processes, and enhanced innovation capabilities"
"This collaboration has the potential to enhance productivity and enrich customer experiences, contributing to the broader evolution of work environments."
"using robots instead of human colleagues had positive well-being outcomes"</t>
  </si>
  <si>
    <t>"The effects of human-machine collaboration on organizational performance, including productivity gains, competitive advantage through optimized service processes, and enhanced innovation capabilities"
"This collaboration has the potential to enhance productivity and enrich customer experiences, contributing to the broader evolution of work environments."
"using robots instead of human colleagues had positive well-being outcomes" authenticity perception...</t>
  </si>
  <si>
    <t>“data biases… ‘black box’ dilemma… accountability… privacy &amp; security… manipulation of emotions… trust &amp; fairness… job displacement… social inequality… data access and control… ethical and transparent data collection.”</t>
  </si>
  <si>
    <t>"underscores the ethical considerations (e.g. data biases, privacy and transparency) and broader societal concerns (e.g. job displacement and social inequality)"
"opaque systems erode perceived work meaning"
"Resistance often stems from replacement fears or diminished autonomy"
"emotional and social dimensions of service (e.g. empathetic chatbots, Bagozzi et al., 2022), trust-building effects on customers"</t>
  </si>
  <si>
    <t>"opaque systems erode perceived work meaning" “data biases… ‘black box’ dilemma… accountability… privacy &amp; security… manipulation of emotions… trust &amp; fairness… job displacement… social inequality… data access and control… ethical and transparent data collection.”</t>
  </si>
  <si>
    <t>"The primary objective of this article is to provide a comprehensive and original framework for understanding H-M teamwork in service settings."
"While many articles propose general guidelines to assign AI repetitive/analytical tasks and humans emotional/creative tasks, little research explores contextual factors"
"proposing a research agenda to guide future studies on optimizing collaboration dynamics, outcomes and ethical governance"
"uniquely positions ethics as a cross-cutting theme (product, consumer and societal levels), moving beyond siloed ethical discussions in earlier work"</t>
  </si>
  <si>
    <t>Proceedings of the 41st International Conference on Machine Learning (ICML 2024)</t>
  </si>
  <si>
    <t>WorkArena: How Capable are Web Agents at Solving Common Knowledge Work Tasks?</t>
  </si>
  <si>
    <t>https://dl.acm.org/doi/10.5555/3692070.3692532</t>
  </si>
  <si>
    <t>Alexandre Drouin, Maxime Gasse, Massimo Caccia, Issam H. Laradji, Manuel Del Verme, Tom Marty, Léo Boisvert, Megh Thakkar, Quentin Cappart, David Vazquez, Nicolas Chapados, Alexandre Lacoste</t>
  </si>
  <si>
    <t>Canada (ServiceNow Research, Mila – Quebec AI Research Institute, Polytechnique Montréal, McGill University, Université de Montréal)</t>
  </si>
  <si>
    <t>"WorkArena, a benchmark of knowledge work tasks executed on the UI of the ServiceNow platform, a software widely used by enterprises to manage their business workflows."
"...tasks covering a wide range of functionalities, such as navigating menus, manipulating lists (e.g., sorting, filtering), and filling forms."
"The tasks in WorkArena are designed to represent common activities performed by knowledge workers, such as IT Service Management (ITSM) agents."
"Examples include creating a change request, ordering a catalog item, or impersonating a user to troubleshoot an issue."</t>
  </si>
  <si>
    <t>"WorkArena, a benchmark of knowledge work tasks executed on the UI of the ServiceNow platform, a software widely used by enterprises to manage their business workflows."
"...tasks covering a wide range of functionalities, such as navigating menus, manipulating lists (e.g., sorting, filtering), and filling forms."
"The tasks in WorkArena are designed to represent common activities performed by knowledge workers, such as IT Service Management (ITSM) agents."
"Examples include creating a change request, ordering a catalog item, or impersonating a user to troubleshoot an issue."</t>
  </si>
  <si>
    <t>large language model-based agents… multimodal observations (HTML, AXTree, screenshot)… bid-based and coord-based actions… chain-of-thought prompting… GPT-4o, GPT-3.5, and Llama3.</t>
  </si>
  <si>
    <t>"We evaluate a suite of LLM-based agents on WorkArena, including state-of-the-art models like GPT-4, GPT-4 Turbo, Claude 3, and open-weight models such as CodeLlama and Mistral."
"The agents interact with the environment through BrowserGym, which provides a standardized interface (ChatGym) for designing and evaluating browser-based agents."
"The observation space typically includes the open tab’s HTML DOM tree, accessibility tree (AXTree), and a screenshot of the visible portion of the page."
"We adopt a generic agent architecture... the agent receives an observation... and generates an action... using a Large Language Model (LLM) as the core decision-making component."
"The action space... includes primitives such as click(coords), type(text), scroll(delta_x, delta_y), and Maps(url)."</t>
  </si>
  <si>
    <t>significant boost in worker productivity… streamlining digital workflows… job market disruption… cybersecurity risks… privacy concerns.”</t>
  </si>
  <si>
    <t>"Web agents driven by Large Language Models (LLMs) hold the promise to unlock significant productivity gains by automating mundane digital tasks."
"Our results show that the best performing agent, GPT-4 Turbo, achieves a success rate of 56.5% on the full benchmark."
"This suggests that while current agents are capable of solving simple tasks, they still struggle with the complexity and variability of real-world enterprise software."
"Automating these tasks has the potential to free up human workers to focus on more creative and strategic activities."</t>
  </si>
  <si>
    <t>treamlining digital workflows… job market disruption… cybersecurity risks "Web agents driven by Large Language Models (LLMs) hold the promise to unlock significant productivity gains by automating mundane digital tasks." "Our results show that the best performing agent, GPT-4 Turbo, achieves a success rate of 56.5% on the full benchmark." "This suggests that while current agents are capable of solving simple tasks, they still struggle with the complexity and variability of real-world enterprise software." "Automating these tasks has the potential to free up human workers to focus on more creative and strategic activities."</t>
  </si>
  <si>
    <t>“non-standard, dynamic UIs… exotic HTML… shadow DOMs… prohibitively large DOMs… cybersecurity concerns… privacy concerns… environmental challenges.”</t>
  </si>
  <si>
    <t xml:space="preserve">"...suggesting that there is still a long way to go before these systems can be reliably deployed in the real world."
"Challenges include dynamic content updates, complex DOM structures, and the need for long-horizon planning."
"We identify several failure modes, including hallucination of UI elements, inability to recover from errors, and cyclic behavior."
"The latency and cost of running these agents remain significant barriers to widespread adoption." </t>
  </si>
  <si>
    <t>privacy concerns… environmental challenges.”"...suggesting that there is still a long way to go before these systems can be reliably deployed in the real world."
"Challenges include dynamic content updates, complex DOM structures, and the need for long-horizon planning."
"We identify several failure modes, including hallucination of UI elements, inability to recover from errors, and cyclic behavior."
"The latency and cost of running these agents remain significant barriers to widespread adoption."</t>
  </si>
  <si>
    <t>We propose WorkArena as a standard benchmark for tracking progress in this domain."
"Using the accessibility tree (AXTree) as a primary observation modality helps reduce token usage while maintaining essential semantic information."
"We recommend a curriculum-based evaluation approach, starting with atomic tasks and progressing to more complex workflows."
"Future research should focus on improving the robustness of agents to UI changes and enhancing their ability to reason about the state of the system."</t>
  </si>
  <si>
    <t>Proceedings of the Annual Symposium on Human-Computer Interaction for Work (CHIWORK 2023)</t>
  </si>
  <si>
    <t>https://dl.acm.org/doi/10.1145/3596671.3598572</t>
  </si>
  <si>
    <t>Jessica He, David Piorkowski, Michael Muller, Kristina Brimijoin, Stephanie Houde, and Justin D. Weisz</t>
  </si>
  <si>
    <t>USA</t>
  </si>
  <si>
    <t>"Organizations have recently begun to deploy conversational task assistants that collaborate with knowledge workers to partially automate their work tasks."
"These assistants evolved out of business robotic process automation (RPA) tools... users can initiate task sequences through natural language, and the system can orchestrate those tasks if they have not previously been defined."
"Examples include scheduling meetings, submitting expense reports, and finding relevant documents."
"The wireframe on the left is for a low complexity meeting scheduling task... The wireframe on the right is for a higher complexity meeting scheduling task where one person isn't available..."</t>
  </si>
  <si>
    <t>"Examples include scheduling meetings, submitting expense reports, and finding relevant documents."</t>
  </si>
  <si>
    <t>“conversational task assistants that collaborate with knowledge workers to partially automate their work tasks”
“These assistants evolved out of business robotic process automation (RPA) tools and are becoming more intelligent…”
“users can initiate task sequences through natural language, and the system can orchestrate those tasks…”
“advances in multi-agent orchestration systems enable more intelligent behaviors to be composed… out of a set of simpler behaviors”</t>
  </si>
  <si>
    <t>"conversational task assistants... evolved out of business robotic process automation (RPA) tools and are becoming more intelligent: users can initiate task sequences through natural language..."
"using Large Language Models (LLMs) to orchestrate APIs in a business process."
"users can initiate task sequences through natural language, and the system can orchestrate those tasks if they have not previously been defined."
"Conversational User Interface (CUI) combined with a Graphical User Interface (GUI) side panel."</t>
  </si>
  <si>
    <t>"conversational task assistants... evolved out of business robotic process automation (RPA) tools and are becoming more intelligent: users can initiate task sequences through natural language..."
"using Large Language Models (LLMs) to orchestrate APIs in a business process."
"users can initiate task sequences through natural language, and the system can orchestrate those tasks if they have not previously been defined."
"Conversational User Interface (CUI) combined with a Graphical User Interface (GUI) side panel."</t>
  </si>
  <si>
    <t>“relieve them to put their energies into other aspects of their work that require human expertise.”
“freeing them to put their energies into other aspects of their work that require human expertise.”
“These assistants… partially automate their work tasks.”
“system designers tend to optimize overall process efficiency, but at the cost of shifting agency away from workers.”
“workers feel sufficiently in control of automated tasks.”
Social implications:
“concerns about workplace reputations… AI agents may not understand social dynamics or relational consequences.”</t>
  </si>
  <si>
    <t>"As these tools become more automated, system designers tend to optimize overall process efficiency, but at the cost of shifting agency away from workers."
"Particularly in high stakes work environments, this shift raises questions of how to re-delegate agency such that workers feel sufficiently in control of automated tasks."
"re-delegate agency such that workers feel sufficiently in control of automated tasks"</t>
  </si>
  <si>
    <t>“relieve them to put their energies into other aspects of their work that require human expertise.”
“freeing them to put their energies into other aspects of their work that require human expertise.”
“These assistants… partially automate their work tasks.”
“system designers tend to optimize overall process efficiency, but at the cost of shifting agency away from workers.”
“workers feel sufficiently in control of automated tasks.”
Social implications:
“concerns about workplace reputations… AI agents may not understand social dynamics or relational consequences.” "As these tools become more automated, system designers tend to optimize overall process efficiency, but at the cost of shifting agency away from workers."
"Particularly in high stakes work environments, this shift raises questions of how to re-delegate agency such that workers feel sufficiently in control of automated tasks."
"re-delegate agency such that workers feel sufficiently in control of automated tasks"</t>
  </si>
  <si>
    <t>On transparency:
“users required additional oversight and control… ability to preview actions… verify outputs… insight into how the system would handle personal information.”
On privacy/security concerns:
“grave consequences if a task assistant were to disclose personal information… identity theft… unauthorized purchasing.”
On trust / reliability:
“the assistant would have to prove its trustworthiness over time… ‘watch it first’ to build that trust.”
On ethical/social concerns:
“AI agents may not understand social dynamics or relational consequences… concerns about their workplace reputations.”</t>
  </si>
  <si>
    <t>In high-stakes work environments, this shift raises questions of how to re-delegate agency such that workers feel sufficiently in control of automated tasks."
"If the task had high process consequence (i.e., an error would be difficult to recover from), participants preferred to retain control to review the AI's work."
"Social consequence... if an error could damage their reputation or relationships with colleagues."
"Trust and verify... participants wanted the AI to show its work so they could verify correctness."</t>
  </si>
  <si>
    <t>users required additional oversight and control… ability to preview actions… verify outputs… insight into how the system would handle personal information.”
On privacy/security concerns:
“grave consequences if a task assistant were to disclose personal information… identity theft… unauthorized purchasing.”
On trust / reliability:
“the assistant would have to prove its trustworthiness over time… ‘watch it first’ to build that trust.”
On ethical/social concerns:
“AI agents may not understand social dynamics or relational consequences… concerns about their workplace reputations.” In high-stakes work environments, this shift raises questions of how to re-delegate agency such that workers feel sufficiently in control of automated tasks."
"If the task had high process consequence (i.e., an error would be difficult to recover from), participants preferred to retain control to review the AI's work."
"Social consequence... if an error could damage their reputation or relationships with colleagues."
"Trust and verify... participants wanted the AI to show its work so they could verify correctness."</t>
  </si>
  <si>
    <t>“provide transparency into task sequences, along with review and confirmation steps.”
“allow users to inspect, adjust, and potentially prevent the assistant’s operation.”
“flexibility in interaction methods… chat for simple tasks, GUI for complex tasks.”
“situationally adapt their task controls for a comfortable and efficient automation experience.”</t>
  </si>
  <si>
    <t>"identified four task dimensions along which their automation and interaction preferences vary: process consequence, social consequence, task familiarity, and task complexity."
"These dimensions are useful for understanding when, why, and how to delegate agency between workers and conversational task assistants."
"For high-consequence tasks, the system should support a 'human-in-the-loop' workflow where the user reviews and approves actions before they are executed."
"For low-familiarity tasks, the system should provide more guidance and explanation to help the user understand the process."
"designers should consider offering flexible levels of automation that can be adjusted based on the specific context of the task."</t>
  </si>
  <si>
    <t>International Journal of Business Information Systems</t>
  </si>
  <si>
    <t>https://dl.acm.org/doi/abs/10.1504/ijbis.2024.135970</t>
  </si>
  <si>
    <t>Leandro Pereira, Mariana Résio, Renato Lopes da Costa, Álvaro Dias, and Rui Gonçalves</t>
  </si>
  <si>
    <t>Portugal</t>
  </si>
  <si>
    <t>"The audit area which is intense in tasks that can be performed by machines, studies emerge showing positive results in the adoption of AI tools."
"Auditors perform repeatable tasks in some phases of the job which can be replaceable by AI machinery."
"By now, this technology is majorly used in tasks that AI can learn by doing and that do not require psychological evaluations."</t>
  </si>
  <si>
    <t>"The audit area which is intense in tasks that can be performed by machines, studies emerge showing positive results in the adoption of AI tools."
"Auditors perform repeatable tasks in some phases of the job which can be replaceable by AI machinery."
"By now, this technology is majorly used in tasks that AI can learn by doing and that do not require psychological evaluations."</t>
  </si>
  <si>
    <t>“Artificial Intelligence… devices that simulate the human capacity to reason, perceive, make decisions…” 
Mentions of process automation, intelligent automation, cognitive automation:
“process automation using robots (63%), intelligent automation (61%), cognitive automation (59%)”</t>
  </si>
  <si>
    <t>"AI machinery is made of neural networks that use genetic algorithms with optimization purposes, where problem solving appears every minute better and faster."
"...the mix of artificial intelligence neural networks, machine learning, big data, data mining and business intelligence thus improves decision processes..." “process automation using robots (63%), intelligent automation (61%), cognitive automation (59%)”</t>
  </si>
  <si>
    <t>"AI machinery is made of neural networks that use genetic algorithms with optimization purposes, where problem solving appears every minute better and faster."
"...the mix of artificial intelligence neural networks, machine learning, big data, data mining and business intelligence thus improves decision processes... “process automation using robots (63%), intelligent automation (61%), cognitive automation (59%)”</t>
  </si>
  <si>
    <t>“Increased productivity (85%) and cost savings (62%) are the two main factors that influence organizations to implement AI.” 
“AI usage… release people to develop new skills and decision-making support.” 
“auditors perform repeatable tasks… replaceable by AI machinery… improving auditor’s performance.” 
“digital transformation has a huge impact… influencing not only employees and strategy but also client satisfaction.”</t>
  </si>
  <si>
    <t>"Efficiency in both doing fast and well sides are pointed as the two principal advantages of AI usage, followed by the allowance of release people to develop new skills and decision-making support."
"This opens doors to an entire revolution in the auditing process, improving auditor’s performance by given that it is not necessary to perform the least challenging and routine tasks."
"The literature affirms the use of machinery such as AI in business models opens doors to the creation of value in organizations adjacent to this strategy."</t>
  </si>
  <si>
    <t>“reducing employees needed and consequently increased dismissals” (social risk) 
“possibility of error occurrence” (reliability) 
“lack of experience, creativity and empathy of real humans” (limitations) 
“probability that information technology security is always being appealed” (security risk) 
“disinformation and/or misinformation about AI implementation and opportunities” (organizational readiness issue) 
No discussion exists about:</t>
  </si>
  <si>
    <t>"In general, the main drivers of this standing back with the tool are related with the lack of knowledge about its benefits, the costs associated with implementation and the aversion to technological change and, finally, the fear that unemployment increases."
"Fear is associated to costs implementation and maintenance, lack of knowledge about the tool and aversion technological change (mainly related with unemployment)."
"There are still no reasoned disclosures concerning where to apply AI."</t>
  </si>
  <si>
    <t>“reducing employees needed and consequently increased dismissals” (social risk) 
“possibility of error occurrence” (reliability) 
“lack of experience, creativity and empathy of real humans” (limitations) 
“probability that information technology security is always being appealed” (security risk) 
“disinformation and/or misinformation about AI implementation and opportunities” (organizational readiness issue) 
No discussion exists about:"In general, the main drivers of this standing back with the tool are related with the lack of knowledge about its benefits, the costs associated with implementation and the aversion to technological change and, finally, the fear that unemployment increases."
"Fear is associated to costs implementation and maintenance, lack of knowledge about the tool and aversion technological change (mainly related with unemployment)."
"There are still no reasoned disclosures concerning where to apply AI."</t>
  </si>
  <si>
    <t xml:space="preserve">“important to improve the communication about Artificial Intelligence and its benefits.” 
“employees’ fear… stays around implementation and maintenance costs, as well as mistrust about being replaced.” 
“critical to make a richer approach about the effects of implementing AI in specific tasks…” </t>
  </si>
  <si>
    <t>"Transforming business models and adopt a digital business strategy passes not only to think about results in terms of market achievements but also in stands of an adequate management strategy to do so in a sustainable way for the entire organization."
"In order to predict and improve a truthfully acceptance of a technology by an individual, we have to transmit a deep understanding about that technology when selling the idea to the employee and also meet the individual in terms of stimuluses, attitudes and prospects."
"Deeply development and clearing of the existing literature can also support the vague knowledge of future AI users about the tool and its benefits, focusing more on real and concrete cases of success."</t>
  </si>
  <si>
    <t>“important to improve the communication about Artificial Intelligence and its benefits.” 
“employees’ fear… stays around implementation and maintenance costs, as well as mistrust about being replaced.” 
“critical to make a richer approach about the effects of implementing AI in specific tasks…” "In order to predict and improve a truthfully acceptance of a technology by an individual, we have to transmit a deep understanding about that technology when selling the idea to the employee and also meet the individual in terms of stimuluses, attitudes and prospects."</t>
  </si>
  <si>
    <t>Journal of Information Technology Management</t>
  </si>
  <si>
    <t>https://www.google.com/url?sa=t&amp;rct=j&amp;q=&amp;esrc=s&amp;source=web&amp;cd=&amp;cad=rja&amp;uact=8&amp;ved=2ahUKEwiNn-2TlYSRAxWfJrkGHWuVFlwQFnoECBkQAQ&amp;url=https%3A%2F%2Fjitm.ut.ac.ir%2Farticle_103298_06e47a7d51e09ed4f81605ad5cbec0b6.pdf&amp;usg=AOvVaw2hb-O27iWxJ8C9WXBS_Z4A&amp;opi=89978449</t>
  </si>
  <si>
    <t>Iman Raeesi Vanani, Mohammad Amin Yalpanian, Mohammad Taghi Taghavifard, and Yasaman Tahmaseby</t>
  </si>
  <si>
    <t>Iran</t>
  </si>
  <si>
    <t xml:space="preserve">Information not available in the text. </t>
  </si>
  <si>
    <t>"Digital transformation leads to value creation, improved service quality, customer experience, and long-term communication in digital ecosystems."
"Operational digital transformation involves the impact of digital technologies on various business processes, such as accelerating new product design, improving service quality, increasing efficiency, optimizing production lines, and reducing costs"
"Strategic digital transformation focuses on identifying new business opportunities and determining long-term goals by reviewing business structures and models"
"Digital technologies also enable businesses to keep in contact with their customers in offline and online touchpoints and move towards digital interactions"</t>
  </si>
  <si>
    <t>“Digital transformation is defined as the integration of various digital technologies, such as AI, IoT, Industry 4.0, digital platforms, blockchain, robotic process automation (RPA), big data, social media, and cloud computing.” 
JITM_Volume 17_Issue 3_Pages 41…
“AI is a widely used digital technology that can analyze large amounts of data from various sources… It can automate routine and rule-based operations, leading to faster and more accurate processes… Intelligent process automation (IPA) is flexible and scalable, providing 24/7 services… In addition, prescriptive modeling provides recommendations and appropriate solutions according to resources, constraints, and variables…” 
JITM_Volume 17_Issue 3_Pages 41…
“Generative AI, as a new generation, has been widely adopted by users and offers new digital capabilities for businesses… ChatGPT and Large Language Models (LLMS) are widely used generative AI tools based on pre-trained transformer-based networks for advanced text analysis…” 
JITM_Volume 17_Issue 3_Pages 41…
(Topic-level results grouping technologies: AI, ML, RPA, digital twins, IoT, predictive analytics, prescriptive modeling are repeatedly identified by the authors via topic modeling and clustering).</t>
  </si>
  <si>
    <t>"Digital transformation is defined as the integration of various digital technologies, such as AI, IoT, Industry 4.0, digital platforms, blockchain, robotic process automation (RPA), big data, social media, and cloud computing"
"Notable generative AI tools include pre-trained transformer models like ChatGPT and LLMs."
"This research aims to systematically identify critical themes, significant topics, main concepts, and trend priorities... using a hybrid approach that combines thematic analysis and advanced text analytics."
"Text mining techniques were used for deeper investigation, including word cloud, topic modeling (Latent Dirichlet Allocation), and text clustering (K-means)."</t>
  </si>
  <si>
    <t>"Digital transformation is defined as the integration of various digital technologies, such as AI, IoT, Industry 4.0, digital platforms, blockchain, robotic process automation (RPA), big data, social media, and cloud computing"
"Notable generative AI tools include pre-trained transformer models like ChatGPT and LLMs."
"This research aims to systematically identify critical themes, significant topics, main concepts, and trend priorities... using a hybrid approach that combines thematic analysis and advanced text analytics."
"Text mining techniques were used for deeper investigation, including word cloud, topic modeling (Latent Dirichlet Allocation), and text clustering (K-means)."</t>
  </si>
  <si>
    <t>“Increased productivity (85%) and cost savings (62%) are the two main factors that influence organizations to implement AI.” 
JITM_Volume 17_Issue 3_Pages 41…
“AI in the predictive modeling approach tries to forecast future events… leading to data-driven decision-making, potential risk management, preventive maintenance, rapid response to market changes, and identifying hidden patterns.” 
JITM_Volume 17_Issue 3_Pages 41…
“Digital transformation… increases agility to adapt to change, reduces product life cycle, accelerates activities, improves decision-making accuracy, and minimizes future risks.” 
JITM_Volume 17_Issue 3_Pages 41…
“Digital transformation… promote[s] business value creation through innovation in services or products… It increases agility… and leads to significant changes, including improving employee skills, digital servitization, creating new revenue models, and increasing innovation.” 
JITM_Volume 17_Issue 3_Pages 41…
(These are reported as the article’s synthesized findings — no controlled experimental organizational metrics beyond the quoted percentages are presented.)</t>
  </si>
  <si>
    <t>"Digital technologies accelerate processes, automate tasks, and advance data analytics (Hung et al., 2023), enhance collaborative learning (Zabolotna et al., 2023), and increase digital interaction."
"It leads to added value and revision in business structures and operations"
"Consequently, service quality has improved significantly, leading to better customer experience and more value creation."
"This synergy boosts the productivity of knowledge workers and enhances decision-making quality across various levels."
"Ultimately, these transformations create value for stakeholders so that knowledge workers experience increased productivity and effectiveness through innovative technologies"</t>
  </si>
  <si>
    <t>"Digital technologies accelerate processes, automate tasks, and advance data analytics (Hung et al., 2023), enhance collaborative learning (Zabolotna et al., 2023), and increase digital interaction."
"It leads to added value and revision in business structures and operations"
"Consequently, service quality has improved significantly, leading to better customer experience and more value creation."
"This synergy boosts the productivity of knowledge workers and enhances decision-making quality across various levels."
"Ultimately, these transformations create value for stakeholders so that knowledge workers experience increased productivity and effectiveness through innovative technologies"</t>
  </si>
  <si>
    <t>“Despite the benefits of these models in interpreting texts, retrieving information, and generating new content, there is ambiguity and uncertainty regarding the validity and accuracy of the extracted information.” 
JITM_Volume 17_Issue 3_Pages 41…
“This transformation involves identifying emerging digital technologies and evaluating their application… This transformation involves significant changes… and presents a challenge or even a threat to their survival.” 
JITM_Volume 17_Issue 3_Pages 41…
(Trend / cluster findings and discussion identify cybersecurity, digital governance, privacy, and ethical topics — e.g., VOSviewer clusters include items such as digital governance, digital infrastructure, privacy &amp; security, and corporate governance, indicating these concerns are part of the literature landscape.) 
JITM_Volume 17_Issue 3_Pages 41…</t>
  </si>
  <si>
    <t>"Despite the potential benefits, scientific research has shown that almost 84% of digital transformation efforts fail to meet their expectations."
"However, digital transformation is a complex process that requires significant changes across various business sectors and presents a challenge or even a threat to their survival."
"Despite the benefits of these models in interpreting texts, retrieving information, and generating new content, there is ambiguity and uncertainty regarding the validity and accuracy of the extracted information"
"Topics related to digital governance, digital leadership, sustainable development, and technological infrastructure emphasize the need for appropriate policies and legal frameworks to bridge the digital divide"</t>
  </si>
  <si>
    <t>"Despite the potential benefits, scientific research has shown that almost 84% of digital transformation efforts fail to meet their expectations."
"However, digital transformation is a complex process that requires significant changes across various business sectors and presents a challenge or even a threat to their survival."
"Despite the benefits of these models in interpreting texts, retrieving information, and generating new content, there is ambiguity and uncertainty regarding the validity and accuracy of the extracted information"
"Topics related to digital governance, digital leadership, sustainable development, and technological infrastructure emphasize the need for appropriate policies and legal frameworks to bridge the digital divide"</t>
  </si>
  <si>
    <t>“Proposition 1. Leveraging generative AI and IA is essential for knowledge workers during digital interactions.” 
JITM_Volume 17_Issue 3_Pages 41…
“Managerial Implications … It is critical to explore the opportunities and achievements of this emerging technology at various business levels and to understand the digital perspectives desired by managers to bridge the gap between the current and ideal situations.” 
JITM_Volume 17_Issue 3_Pages 41…
(Authors present high-level propositions and managerial implications — e.g., focusing on generative AI/IPA, crisis management systems, online monitoring for strategic resource allocation — but the article does not provide concrete operational deployment playbooks, governance templates, or step-by-step adoption frameworks.) 
JITM_Volume 17_Issue 3_Pages 41…</t>
  </si>
  <si>
    <t>"Proposition 1. Leveraging generative AI and IA is essential for knowledge workers during digital interactions."
"Proposition 2. Crisis management systems reduce complexity and uncertainty in order to implement dynamic processes successfully."
"Proposition 3. Online supervision allocates and optimizes human and physical resources (financial, infrastructural, and technological assets) to achieve strategic resource management."
"Proposition 4. Utilizing digital capabilities to tackle potential bottlenecks and time-consuming activities by actively monitoring dynamic hierarchical structures."
"Proposition 5. The impact of data-driven marketing on formulating appropriate strategies to enhance customer perceived value."</t>
  </si>
  <si>
    <t>"Proposition 1. Leveraging generative AI and IA is essential for knowledge workers during digital interactions."
"Proposition 2. Crisis management systems reduce complexity and uncertainty in order to implement dynamic processes successfully."
"Proposition 3. Online supervision allocates and optimizes human and physical resources (financial, infrastructural, and technological assets) to achieve strategic resource management."
"Proposition 4. Utilizing digital capabilities to tackle potential bottlenecks and time-consuming activities by actively monitoring dynamic hierarchical structures."
"Proposition 5. The impact of data-driven marketing on formulating appropriate strategies to enhance customer perceived value."</t>
  </si>
  <si>
    <t>Information Systems Frontiers (Springer).</t>
  </si>
  <si>
    <t>https://dl.acm.org/doi/10.1007/s10796-024-10562-2</t>
  </si>
  <si>
    <t xml:space="preserve">Aaron M. French &amp; J. P. Shim </t>
  </si>
  <si>
    <t>Italy</t>
  </si>
  <si>
    <t>“AI tools also provided real time coordination for drivers and customers to improve efficiency of ride hail­ing services.” 
“The companies Uber and Lyft utilize these tools to augment taxi service processes of dispatching, navigation, and payment acquisition through automation, increasing the efficiency of these services and allowing the drivers to focus on customers and ride enjoyment (Agrawal et al., 2022).” 
“DigiBuild, automates the traditionally man­ual tasks of finding materials, requesting quotes, ordering, and scheduling (DigiBuild, 2024). Processes that require hours of human labor are automated and completed by ChatGPT allowing workers and managers to focus on the business and improve customer service.”</t>
  </si>
  <si>
    <t>"Augment taxi service processes of dispatching, navigation, and payment acquisition through automation."  "Automates the traditionally manual tasks of finding materials, requesting quotes, ordering, and scheduling (DigiBuild, 2024)."  "The use of IA allows drivers to focus on customer experience and improve ride satisfaction."  "Beyond these examples, IA tools such as generative AI, have numerous benefits in a variety of industries such as marketing (e.g. personalization, attribution, pricing, sales optimization), healthcare (e.g. patient preparation, translation of medical terms for patients, diagnostic interpretations), human resources (e.g. recruitment, training, workforce development), education (e.g. engagement, personalization, assessment), banking (e.g. customer engagement, staff training, fraud detection), and retailing (e.g. trend analysis, consumer behavioral analysis, recommendation systems) to name a few (Ooi et al., 2023)."</t>
  </si>
  <si>
    <t>“augment taxi service processes of dispatching, navigation, and payment acquisition through automation” “automates the traditionally manual tasks of finding materials, requesting quotes, ordering, and scheduling (DigiBuild, 2024)”</t>
  </si>
  <si>
    <t>“When developing computing technology that can process and learn from data to make decisions, the result is artificial intelligence (AI).” 
“AI is often used interchangeably with machine learning, neural networks, and deep learning, there is a broader spectrum of tools that fall under the AI umbrella (Shim et al., 2020).” 
“Machine learning (ML) has advanced significantly due to decreased data storage cost and increased processing power, enabling the use of Large Language Models (LLMs) for AI. The most notable breakthrough recently in AI research has been the advancement of NLP through LLMs, which excels at various tasks producing output that is often indistinguishable from, or even superior to, human-generated content (Bubeck et al., 2023).”</t>
  </si>
  <si>
    <t>"The most notable breakthrough recently in AI research has been the advancement of NLP through Large Language Models (LLMs)."  "The public release of ChatGPT in 2022 has garnered significant attention for generative Al (GenAI)."  "Reinforcement learning may also be used in ML, which involves training algorithms to make decisions based on a reward system, where the algorithm learns through trial and error to maximize the reward."  "Generative Al refers to a type of artificial intelligence that can generate new, original data or content, such as images, music, videos, or text, based on patterns and rules learned from existing data."  "Currently, generative models are being developed, such as MIT’s DiffDock, that demonstrate future potential of realizing these benefits of faster drug discovery, reduction of potential harm from side effects, cost reduction, and decreased need for human trials (Ouyang, 2023)."</t>
  </si>
  <si>
    <t>“The most notable breakthrough recently in AI research has been the advancement of NLP through Large Language Models (LLMs).”</t>
  </si>
  <si>
    <t xml:space="preserve">“In this case, the introduction of AI tools did not replace drivers but rather augment certain tasks allowing humans to perform tasks they are better equipped to handle, such as customer satisfaction and ride enjoyment.” 
“IA has revolutionized the taxi industry, increasing jobs by the millions while expanding services into other industries, allowing many restaurants to offer delivery services that previously were not able to.” 
“This is a current example of IA as human workers were not replaced but rather the time-consuming task of materials procurement was automated enabling the contractors to focus on other tasks to improve their business.” </t>
  </si>
  <si>
    <t>"Implementation of IA utilizing AI tools seeks to boost, escalate, expand, extend, and increase productivity through increases in efficiency and effectiveness."  "Through three case studies, we demonstrate the assistive role of Augmented Intelligence and how it can serve as a catalyst for job creation and cognitive enhancement."  "Uber and Lyft utilize these tools to augment taxi service processes... resulting in an increase in jobs rather than replacement of workers."  "DigiBuild helped one client... reduce their cost more than half based on the single quote of $150,000 they were previously given based on relationship-based procurement (Dumas, 2023)."  "Increased efficiency and productivity by existing employees could lessen the need to hire new employees as an organization grows limiting job growth."  "The human component is vital for the success of IA collaboration."</t>
  </si>
  <si>
    <t>“Both extractions agree that AI tools do not simply replace workers, but automate time-consuming tasks, increase efficiency and productivity, reduce costs in cases like DigiBuild, and allow humans to focus on customer satisfaction and higher-value activities.”</t>
  </si>
  <si>
    <t>“While AI has significant enabling capabilities, job displacement and ethical considerations have dominated the conversations.” 
“Ethical issues related to bias and discrimination have also become a concern (Enholm et al., 2022).” 
“The European Union has proposed a law titled ‘Artificial Intelligence Act’ to address concerns such as these that require human oversight for the use of ‘high-risk’ AI applications (Stöger et al., 2021).” 
“Relying on IA tools such as ChatGPT has been shown to decrease productivity and work quality due to inaccuracies output by the system and taken at face value (Kelly, 2023).”</t>
  </si>
  <si>
    <t>"While AI has significant enabling capabilities, job displacement and ethical considerations have dominated the conversations."  "Ethical issues related to bias and discrimination have also become a concern (Enholm et al., 2022)."  "The European Union has proposed a law titled 'Artificial Intelligence Act' to address concerns such as these that require human oversight for the use of 'high-risk' AI applications (Stöger et al., 2021)."  "Responses are not predetermined, which can result in inaccuracies at times and made-up responses without supporting evidence, causing results to vary."  "Additional considerations when using IA tools, particularly commercially available generative AI tools, are data ownership, privacy, copyright issues, and ethical concerns (Ooi et al., 2023)."</t>
  </si>
  <si>
    <t>“While AI has significant enabling capabilities, job displacement and ethical considerations have dominated the conversations.”
“Ethical issues related to bias and discrimination have also become a concern (Enholm et al., 2022).”
“The European Union has proposed a law titled ‘Artificial Intelligence Act’ to address concerns such as these that require human oversight for the use of ‘high-risk’ AI applications (Stöger et al., 2021).”</t>
  </si>
  <si>
    <t>“Implementation of IA utilizing AI tools seeks to boost, escalate, expand, extend, and increase productivity through increases in efficiency and effectiveness.” 
“Therefore, integrating the five functions of Augmented Intelligence with the IA tasks as an evolution of sociotechnical environment, we propose the IA framework for utilizing and improving IA tools (See Fig. 7).” 
“As demonstrated in Fig. 7, the framework includes the IA functions as part of the team working with humans. The IA performs tasks of understanding, interpreting, reasoning, and learning.” 
s10796-024-10562-2
“Therefore, we recommend continuing research on education and training to evaluate theories and best practices for maximizing the benefits of IA technology.”</t>
  </si>
  <si>
    <t>"we propose the IA framework for utilizing and improving IA tools (See Fig. 7)."  "The IA performs tasks of understanding, interpreting, reasoning, and learning."  "Additionally, the IA system may also ensure ongoing compliance and governance for the use of cognitive services in the organization (Sabhikhi &amp; Sanchez, 2017)."  "To prevent misuse of IA technology, proper training and oversight would be required to create responsible IA use."  "Each industry and job role should be carefully evaluated to understand the benefits of IA and proper utilization to ensure responsible use of IA to enhance human capabilities without delegating the responsibility of outcomes and decision-making (Dennehy et al., 2023)."</t>
  </si>
  <si>
    <t>“we propose the IA framework for utilizing and improving IA tools (See Fig. 7).”
“The IA performs tasks of understanding, interpreting, reasoning, and learning.”</t>
  </si>
  <si>
    <t>ACM Transactions on Multimedia Computing, Communications and Applications (ACM TOMM).</t>
  </si>
  <si>
    <t>https://dl.acm.org/doi/10.1145/3769090</t>
  </si>
  <si>
    <t>Yahui Wang; Mohsen Guizani; M. Shamim Hossain</t>
  </si>
  <si>
    <t>China, United Arab Emirates &amp; Saudi Arabia</t>
  </si>
  <si>
    <t>“In applications such as psychotherapy [14, 15] and customer service training [16], users can engage in meaningful, unscripted conversations with virtual characters.”
“In the customer service domain, Upadhyaya [79] studied how adaptive ML could be leveraged to analyze customer interactions, enabling real-time improvement of service quality and responsiveness.”</t>
  </si>
  <si>
    <t>"AI’s main contributions to VR are in four key areas: creating intelligent virtual characters, advancing education and training, providing medical assistance, and generating dynamic scenes."  "This interdisciplinary convergence also brings significant opportunities, particularly in sectors such as education, healthcare, gaming, and corporate training."  "In applications such as psychotherapy and customer service training , users can engage in meaningful, unscripted conversations with virtual characters."</t>
  </si>
  <si>
    <t>“AI’s main contributions to VR are in four key areas: creating intelligent virtual characters, advancing education and training, providing medical assistance, and generating dynamic scenes.”
“In applications such as psychotherapy and customer service training, users can engage in meaningful, unscripted conversations with virtual characters.”</t>
  </si>
  <si>
    <t>“Figure 1 presents an intuitive overview of the AI–VR integration framework, centered on the core process of ‘perception–decision–generation.’”
“This architecture consists of a Perception Layer, which senses users and environments; a Decision-Making Layer, which processes information and determines appropriate actions; and a Generation and Execution Layer, which creates responsive and dynamic content.”
“The Decision-Making and Generation Layers utilize ML, reinforcement learning (RL), and DL to enable intelligent reasoning and content creation.”
“In multi-agent systems, combining RL with federated learning strategies is vital for improving delivery efficiency in mobile VR networks [24].”</t>
  </si>
  <si>
    <t>"Supported by machine learning (ML) frameworks and deep learning (DL) architectures, AI enables VR systems to analyze user behavior patterns ."  "Computer vision (CV) captures human motion trajectories, natural language processing (NLP) decodes speech information, and the fusion of multimodal data enables personalized environmental adaptation solutions ."  "The Decision-Making and Generation Layers utilize ML, reinforcement learning (RL), and DL to enable intelligent reasoning and content creation."  "Future advancements in deep learning and reinforcement learning may unlock unlimited potential for AI-driven VR in personalized adaptation and immersive interaction."</t>
  </si>
  <si>
    <t>“Supported by machine learning (ML) frameworks and deep learning (DL) architectures, AI enables VR systems to analyze user behavior patterns.”
“The Decision-Making and Generation Layers utilize ML, reinforcement learning (RL), and DL to enable intelligent reasoning and content creation.”
“This architecture consists of a Perception Layer, which senses users and environments; a Decision-Making Layer, which processes information and determines appropriate actions; and a Generation and Execution Layer, which creates responsive and dynamic content.”</t>
  </si>
  <si>
    <t>“This interdisciplinary convergence also brings significant opportunities, particularly in sectors such as education, healthcare, gaming, and corporate training.”
“Holuša et al. [43] developed an AI-driven VR corporate training model, demonstrating that immersive systems can significantly reduce the time required to master complex technical skills.”
“Aranda et al. [44] focused on employee training under Industry 4.0, illustrating how AI and VR simulated intricate industrial processes to help workers acquire new skills more efficiently and safely.”
“In the customer service domain, Upadhyaya [79] studied how adaptive ML could be leveraged to analyze customer interactions, enabling real-time improvement of service quality and responsiveness.”</t>
  </si>
  <si>
    <t>"The construction of immersive digital spaces in VR revolutionizes human-computer interaction (HCI) and creates new development pathways across industries ."  "AI enhances VR’s intelligence and interactivity."  "The framework adopts a flow-oriented structure that clearly delineates the process beginning with multimodal user input (e.g., visual, auditory, and physiological signals)."  "AI-powered virtual assistants utilize technologies such as real-time voice-based sentiment analysis to adapt their responses dynamically, significantly enhancing personalization and realism in interactions."</t>
  </si>
  <si>
    <t>“The construction of immersive digital spaces in VR revolutionizes human–computer interaction (HCI) and creates new development pathways across industries.”
“Holuša et al. [43] developed an AI-driven VR corporate training model, demonstrating that immersive systems can significantly reduce the time required to master complex technical skills.”
“Aranda et al. [44] focused on employee training under Industry 4.0, illustrating how AI and VR simulated intricate industrial processes to help workers acquire new skills more efficiently and safely.”</t>
  </si>
  <si>
    <t>“Additionally, the study discusses technical challenges related to computational costs, real-time feedback, user privacy, and algorithmic ethics.”
“Critical challenges persist in data processing bottlenecks, privacy protection issues, and user adaptation.”
“Users’ pursuit of highly immersive experiences requires systems with high-precision, low-latency real-time responsiveness. However, this often conflicts with the high computational cost and data processing bottlenecks.”
“AI systems in virtual environments routinely collect sensitive user data, such as behavioral patterns, emotional fluctuations, verbal interactions, and physiological feedback, creating significant leakage risks when this information undergoes non-standardized processing.”</t>
  </si>
  <si>
    <t>"Additionally, the study discusses technical challenges related to computational costs, real-time feedback, user privacy, and algorithmic ethics."  "Critical challenges persist in data processing bottlenecks, privacy protection issues, and user adaptation."  "breakthroughs are still needed in cross-modal integration, privacy, security, and user experience."</t>
  </si>
  <si>
    <t>“Additionally, the study discusses technical challenges related to computational costs, real-time feedback, user privacy, and algorithmic ethics.”
“Critical challenges persist in data processing bottlenecks, privacy protection issues, and user adaptation.”
“AI systems in virtual environments routinely collect sensitive user data, such as behavioral patterns, emotional fluctuations, verbal interactions, and physiological feedback, creating significant leakage risks when this information undergoes non-standardized processing.”</t>
  </si>
  <si>
    <t>“By developing a ‘perception–decision–generation’ technical framework, this section systematically explains the foundational AI technologies in VR and their key functional roles.”
“To tackle the challenge of technological integration—especially the bottleneck of real-time computing—future research should focus on hybrid architectures that combine federated learning with edge computing.”
“A particularly promising approach is the development of collaborative verification schemes that combine differential privacy with blockchain.”
“For instance, it recommends architectures like ‘federated learning + edge computing’ and ‘differential privacy + blockchain’ to increase the study’s practical relevance and usefulness.”</t>
  </si>
  <si>
    <t>“To tackle the challenge of technological integration—especially the bottleneck of real-time computing—future research should focus on hybrid architectures that combine federated learning with edge computing.”</t>
  </si>
  <si>
    <t>“By developing a ‘perception–decision–generation’ technical framework, this section systematically explains the foundational AI technologies in VR and their key functional roles.”
“To tackle the challenge of technological integration—especially the bottleneck of real-time computing—future research should focus on hybrid architectures that combine federated learning with edge computing.”
“A particularly promising approach is the development of collaborative verification schemes that combine differential privacy with blockchain.”</t>
  </si>
  <si>
    <t>capítulo / conteúdo do livro Technological Innovations in the Food Service Industry, publicado pela IGI Global.</t>
  </si>
  <si>
    <t>https://www.igi-global.com/gateway/chapter/363545</t>
  </si>
  <si>
    <t>Anshul Garg</t>
  </si>
  <si>
    <t>Malaysia; India</t>
  </si>
  <si>
    <t>“E-grocers are using technology to accurately forecast and drive demand, manage inventory efficiently and make informed decisions based on an understanding of consumer behaviour.”
“E-grocers are also resorting to personalization to make product recommendations, satisfy customers, and build loyalty.”</t>
  </si>
  <si>
    <t>"E-grocers are using technology to accurately forecast and drive demand, manage inventory efficiently and make informed decisions based on an understanding of consumer behaviour." "E-grocers are also resorting to personalization to make product recommendations, satisfy customers, and build loyalty." "India's “quick commerce” market, which promises grocery delivery in 10-15 minutes, is expected to further boost the growth of online grocery shopping."</t>
  </si>
  <si>
    <t>“E-grocers are using technology to accurately forecast and drive demand, manage inventory efficiently and make informed decisions based on an understanding of consumer behaviour.”
“E-grocers are also resorting to personalization to make product recommendations, satisfy customers, and build loyalty.”
“India's ‘quick commerce’ market, which promises grocery delivery in 10-15 minutes, is expected to further boost the growth of online grocery shopping.”</t>
  </si>
  <si>
    <t>“The competition between unorganized, organized, and online grocery retail has now intensified.”
“Attractive discounts and reward points complemented by flexible delivery models have managed to lure a sizeable section of the users.”
“The predicted grocery retail spending in India in 2030 is approximately $1.10 trillion.”</t>
  </si>
  <si>
    <t>"The retail sector in India accounts for 11% of GDP." "The retail market in India accounts for 10% of the nation's GDP. Additionally, the retail sector provides jobs for 8% of India's population." "The predicted grocery retail spending in India in 2030 is approximately $1.10 trillion." "The total grocery retail sales are predicted to reach INR 85.46 trillion in 2030." "The competition between unorganized, organized, and online grocery retail has now intensified."</t>
  </si>
  <si>
    <t>“The retail sector in India accounts for 11% of GDP.”
“The retail market in India accounts for 10% of the nation's GDP.”
“Additionally, the retail sector provides jobs for 8% of India's population.”
“The predicted grocery retail spending in India in 2030 is approximately $1.10 trillion.”
“The total grocery retail sales are predicted to reach INR 85.46 trillion in 2030.”
“The competition between unorganized, organized, and online grocery retail has now intensified.”
“Attractive discounts and reward points complemented by flexible delivery models have managed to lure a sizeable section of the users.”</t>
  </si>
  <si>
    <t>“This chapter attempts to map the digital transformation of the grocery sector to understand how the market has evolved over the years and where it is headed.”</t>
  </si>
  <si>
    <t>ACM Transactions on Internet of Things (ACM TIOT).</t>
  </si>
  <si>
    <t>https://dl.acm.org/doi/10.1145/3766899</t>
  </si>
  <si>
    <t>ShengXu Huo; Huigui Rong; Yuxuan Zhou; Hongjia Zuo; Daibo Liu; Zhipan Li; Min Wang; Hongbo Jiang</t>
  </si>
  <si>
    <t>“to digitally model urban accident handling procedures and stakeholder interactions.”
“Experimental results demonstrate TAA’s successful execution of urban accident handling workflows with maintained informational consistency.”
“The framework shows broad applicability to accident investigation, reconstruction, and archival documentation.”</t>
  </si>
  <si>
    <t>"Generative agents... have the potential to revolutionize the investigation of traffic accidents." "TAA... digitally model urban accident handling procedures and stakeholder interactions." "The framework shows broad applicability to accident investigation, reconstruction, and archival documentation."</t>
  </si>
  <si>
    <t>“to digitally model urban accident handling procedures and stakeholder interactions.”
“The framework shows broad applicability to accident investigation, reconstruction, and archival documentation.”</t>
  </si>
  <si>
    <t>“we designed TAA (Traffic Accident Agents), an advanced framework based on extended large language models (LLMs).”
“TAA formalizes the roles, responsibilities, and interactions of all stakeholders through natural language encoding, utilizing this knowledge base to orchestrate its execution workflows.”
“Facilitates trusted agent interactions, generates comprehensive reports, and employs memory mechanisms to plan and optimize subsequent actions.”
“We evaluated TAA performance across multiple versions of ChatGPT.”</t>
  </si>
  <si>
    <t>"Generative agents, capable of simulating human behavior and collaborating on complex tasks..." "TAA (Traffic Accident Agents), an advanced framework based on extended large language models (LLMs)..." "TAA formalizes the roles, responsibilities, and interactions of all stakeholders through natural language encoding, utilizing this knowledge base to orchestrate its execution workflows." "We evaluated TAA performance across multiple versions of ChatGPT..."</t>
  </si>
  <si>
    <t>“we designed TAA (Traffic Accident Agents), an advanced framework based on extended large language models (LLMs).”
“TAA formalizes the roles, responsibilities, and interactions of all stakeholders through natural language encoding, utilizing this knowledge base to orchestrate its execution workflows.”</t>
  </si>
  <si>
    <t>“Generative agents, capable of simulating human behavior and collaborating on complex tasks, have the potential to revolutionize the investigation of traffic accidents.”
“Experimental results demonstrate TAA’s successful execution of urban accident handling workflows with maintained informational consistency.”
“offering a transformative pathway to advance the future of traffic accident management and investigation.”</t>
  </si>
  <si>
    <t>"TAA achieving 87.9% effectiveness on the GPT 4omini benchmark." "Experimental results demonstrate TAA’s successful execution of urban accident handling workflows with maintained informational consistency." "This work pioneers the use of generative agents as collaborative human proxies, offering a transformative pathway to advance the future of traffic accident management and investigation."</t>
  </si>
  <si>
    <t>“Experimental results demonstrate TAA’s successful execution of urban accident handling workflows with maintained informational consistency.”
“offering a transformative pathway to advance the future of traffic accident management and investigation.”</t>
  </si>
  <si>
    <t>“Our analysis included evaluations of token consumption and economic costs to ensure scalability and practicality.”
“TAA achieving 87.9% effectiveness on the GPT 4omini benchmark.”</t>
  </si>
  <si>
    <t>"Facilitates trusted agent interactions, generates comprehensive reports, and employs memory mechanisms to plan and optimize subsequent actions." "Our analysis included evaluations of token consumption and economic costs to ensure scalability and practicality..."</t>
  </si>
  <si>
    <t>“Our analysis included evaluations of token consumption and economic costs to ensure scalability and practicality.”</t>
  </si>
  <si>
    <t>"we designed TAA (Traffic Accident Agents), an advanced framework based on extended large language models (LLMs) to digitally model urban accident handling procedures and stakeholder interactions." "TAA formalizes the roles, responsibilities, and interactions of all stakeholders through natural language encoding, utilizing this knowledge base to orchestrate its execution workflows."</t>
  </si>
  <si>
    <t>“we designed TAA (Traffic Accident Agents), an advanced framework based on extended large language models (LLMs) to digitally model urban accident handling procedures and stakeholder interactions.”</t>
  </si>
  <si>
    <t>Journal of Industrial Information Integration.</t>
  </si>
  <si>
    <t>https://www.sciencedirect.com/science/article/pii/S2452414X24001419</t>
  </si>
  <si>
    <t>Liming Xu; Stephen Mak; Yaniv Proselkov; Alexandra Brintrup</t>
  </si>
  <si>
    <t>United Kingdom</t>
  </si>
  <si>
    <t>"Recent global disruptions, such as the COVID-19 pandemic and the ongoing geopolitical conflicts, have profoundly exposed vulnerabilities in traditional supply chains, requiring exploration of more resilient alternatives."
"Although ASC solutions have been discussed and trialled over several years, they still lack well-established theoretical foundations."</t>
  </si>
  <si>
    <t>"Among various solution offerings, Autonomous supply chains (ASCs) have emerged as key enablers of increased integration and visibility, enhancing flexibility and resilience in turbulent trade environments through the widespread automation of low level decision making." "These automation functions encompass a broad range of tasks, from mundane activities like picking and packing orders in warehouses using robotic process automation to more complex processes such as demand forecasting and planning, inventory management, delivery optimisation, and customer services through various AI technologies." "An illustrative case study focusing on the meat supply chain demonstrates an initial ASC implementation based on this conceptual model."</t>
  </si>
  <si>
    <t>“Among various solution offerings, Autonomous supply chains (ASCs) have emerged as key enablers of increased integration and visibility, enhancing flexibility and resilience in turbulent trade environments through the widespread automation of low level decision making.”
“These automation functions encompass a broad range of tasks, from mundane activities like picking and packing orders in warehouses using robotic process automation to more complex processes such as demand forecasting and planning, inventory management, delivery optimisation, and customer services through various AI technologies.”</t>
  </si>
  <si>
    <t>"Among various solution offerings, Autonomous supply chains (ASCs) have emerged as key enablers of increased integration and visibility, enhancing flexibility and resilience in turbulent trade environments through the widespread automation of low level decision making."
"This paper addresses this research gap by presenting a formal definition of ASC along with its defining characteristics and auxiliary concepts."</t>
  </si>
  <si>
    <t>"Industry 4.0 technologies such as AI, IoT, and advanced robotics, are increasingly permeating supply chains." "Vast majority of academic discourse on automation has utilised a multi-agent system (MAS) approach, designed for distributed problem solving." "Recent AI advancements, particularly in deep reinforcement learning and LLMs such as GPT-4 and Llama, could empower software agents with advanced decision-making capabilities, thus enabling automation in decision makings in complex supply chain scenarios." "We present a five-layer conceptual model — the MIISI model — for constructing ASC systems."</t>
  </si>
  <si>
    <t>“Vast majority of academic discourse on automation has utilised a multi-agent system (MAS) approach, designed for distributed problem solving.”
“Recent AI advancements, particularly in deep reinforcement learning and LLMs such as GPT-4 and Llama, could empower software agents with advanced decision-making capabilities, thus enabling automation in decision makings in complex supply chain scenarios.”
“We present a five-layer conceptual model — the MIISI model — for constructing ASC systems.”</t>
  </si>
  <si>
    <t>"We propose a layered conceptual framework, called the MIISI model."</t>
  </si>
  <si>
    <t>"These disruptions have profoundly exposed the vulnerabilities of traditional supply chain models." "The ongoing crises, rapidly evolving markets, and the proliferation of distributed information have collectively driven business leaders to accelerate the transformation of their supply chains on enhancing agility and resilience..." "The benefits of information and decision-making cross-functions and organisations have been well recognised in literature... These benefits include reduced wastage across the supply chain (e.g., excess supply and under supply), closer and more stable relationships with partners that can lead to more efficient collaboration, fairer allocation of profits and losses, smoother cash flow, and increased resilience to disruptions." "To achieve structural flexibility and resilience, companies must adopt a collaborative approach, working stakeholders across the extended enterprise and integrating information and operations across parties in their supply chains."</t>
  </si>
  <si>
    <t>“These disruptions have profoundly exposed the vulnerabilities of traditional supply chain models.”
“These benefits include reduced wastage across the supply chain (e.g., excess supply and under supply), closer and more stable relationships with partners that can lead to more efficient collaboration, fairer allocation of profits and losses, smoother cash flow, and increased resilience to disruptions.”</t>
  </si>
  <si>
    <t>"An illustrative case study focusing on the meat supply chain demonstrates an initial ASC implementation based on this conceptual model."
"Furthermore, we introduce a seven-level supply chain autonomy reference model, delineating a trajectory towards achieving full supply chain autonomy."</t>
  </si>
  <si>
    <t>"Although ASC solutions have been discussed and trialled over several years, they still lack well-established theoretical foundations." "Technological and cultural barriers hinder visibility attainment. While inadequate IT infrastructure impacts visibility and collaboration, cultural obstacles such as organisational silos, lack of incentives, busy schedules, and intellectual property concerns have a significant influence." "The multi-agent automation approach remains under-researched and has limited decision-making capabilities." "This is particularly evident in the emerging domain of ASC, which involves a network of cooperative yet competitive distributed stakeholders."</t>
  </si>
  <si>
    <t>“Although ASC solutions have been discussed and trialled over several years, they still lack well-established theoretical foundations.”
“Technological and cultural barriers hinder visibility attainment.”
“The multi-agent automation approach remains under-researched and has limited decision-making capabilities.”</t>
  </si>
  <si>
    <t>"Recognising that this work represents an initial endeavour, we emphasise the need for continued exploration in this emerging domain."
"This work is designed to stimulate further research, both theoretical and technical, and contribute to the continual evolution of ASCs."</t>
  </si>
  <si>
    <t>"We propose a layered conceptual framework, called the MIISI model." "Furthermore, we introduce a seven-level supply chain autonomy reference model, delineating a trajectory towards achieving full supply chain autonomy." "The MIISI model offers a pathway directing research towards a systems architecture that is expected to approach autonomy." "Alongside, the seven-level reference model permits a means to assess and measure the level of autonomy achieved by such methods." "BlueYonder underscored the importance of data and outlined a seven-step approach for companies to realise true ASCs."</t>
  </si>
  <si>
    <t>“We propose a layered conceptual framework, called the MIISI model.”
“Furthermore, we introduce a seven-level supply chain autonomy reference model, delineating a trajectory towards achieving full supply chain autonomy.”
“BlueYonder underscored the importance of data and outlined a seven-step approach for companies to realise true ASCs.”</t>
  </si>
  <si>
    <t>Technology in Society.</t>
  </si>
  <si>
    <t>https://www.sciencedirect.com/science/article/abs/pii/S0160791X25002167?via%3Dihub</t>
  </si>
  <si>
    <t>Changeun Park; HyungBin Moon; Jungwoo Shin</t>
  </si>
  <si>
    <t>South Korea</t>
  </si>
  <si>
    <t>"Serving robots are increasingly being adopted by restaurants to address labor shortages and improve operational efficiency."
"These robots offer a range of benefits to restaurant owners, including increased productivity and a novel customer experience."
"However, there are barriers to adopting these technologies, including the digital literacy gap, emotional resistance, and social concerns regarding the impact of automation."
"Nevertheless, most existing research has focused on customer acceptance of serving robots, overlooking the perspectives of restaurant owners, who are the actual decision makers driving their adoption."</t>
  </si>
  <si>
    <t>"Serving robots are increasingly being adopted by restaurants to address labor shortages and improve operational efficiency." "Serving robots offer owners, such as small business restaurant owners and managers, increased productivity, and a solution to labor shortages; employees, such as servers and kitchen staff, benefit from reduced work intensity; and customers enjoy greater satisfaction through new restaurant dining experiences." "Service robots are categorized as professional service robots, which are primarily used for transportation and logistics, and personal service robots, which encompass household and social robots (Gonzalez-Aguirre et al., 2021; Korea Electronics Technology Institute, 2023)."</t>
  </si>
  <si>
    <t>“Serving robots are increasingly being adopted by restaurants to address labor shortages and improve operational efficiency.”
“Serving robots offer owners, such as small business restaurant owners and managers, increased productivity, and a solution to labor shortages; employees, such as servers and kitchen staff, benefit from reduced work intensity; and customers enjoy greater satisfaction through new restaurant dining experiences.”</t>
  </si>
  <si>
    <t>"This study addresses this gap by analyzing the heterogeneous preferences of customers and restaurant owners regarding serving robot types."</t>
  </si>
  <si>
    <t>"Recent advances in artificial intelligence (AI) have enabled robots to perform diverse, complex, and prolonged services such as autonomous driving and natural language processing (Grigorescu et al., 2020; Khandelwal et al., 2017; Torfi et al., 2021)." "Therefore, multimodal systems that integrate gesture interfaces, voice recognition, graphical user interfaces (GUIs), voice input/output, and cameras are actively used (Segura et al., 2021)." "enhanced decision-making enables them to avoid obstacles, and increased emotional awareness allows them to adapt their behavior to various situations (Quiroz et al., 2022; Zhang et al., 2021)."</t>
  </si>
  <si>
    <t>“Recent advances in artificial intelligence (AI) have enabled robots to perform diverse, complex, and prolonged services such as autonomous driving and natural language processing (Grigorescu et al., 2020; Khandelwal et al., 2017; Torfi et al., 2021).”
“Therefore, multimodal systems that integrate gesture interfaces, voice recognition, graphical user interfaces (GUIs), voice input/output, and cameras are actively used (Segura et al., 2021).”
“Enhanced decision-making enables them to avoid obstacles, and increased emotional awareness allows them to adapt their behavior to various situations (Quiroz et al., 2022; Zhang et al., 2021).”</t>
  </si>
  <si>
    <t>"Using a discrete choice experiment (DCE) and latent class analysis (LCA), this study identified two segments in each group."</t>
  </si>
  <si>
    <t>"Serving robots are increasingly being adopted by restaurants to address labor shortages and improve operational efficiency." "Serving robots offer owners... increased productivity, and a solution to labor shortages..." "employees, such as servers and kitchen staff, benefit from reduced work intensity..." "All groups prefer to have serving robots and human employees working together."</t>
  </si>
  <si>
    <t>“Serving robots are increasingly being adopted by restaurants to address labor shortages and improve operational efficiency.”
“Serving robots offer owners… increased productivity, and a solution to labor shortages; employees, such as servers and kitchen staff, benefit from reduced work intensity; and customers enjoy greater satisfaction through new restaurant dining experiences.”</t>
  </si>
  <si>
    <t>"Customers were technology-progressive (43.6 %) or technology-conservative (56.4 %); owners were interaction-oriented (60.3 %) or appearance-oriented (39.7 %)."
"The results showed that customers generally prefer non-humanoid robots, whereas owners favor fixed-type or humanoid robots."
"Notably, customers were the least likely to accept humanoid robots, indicating a potential 'uncanny valley' effect."</t>
  </si>
  <si>
    <t>"However, there are barriers to adopting these technologies, including the digital literacy gap, emotional resistance, and social concerns regarding the impact of automation." "Discomfort caused by robots that are too similar to humans, known as the 'Uncanny Valley' phenomenon (Ho &amp; MacDorman, 2017; Mori, 1970; Seyitoğlu et al., 2021; Woods, 2022; Yam et al., 2021)." "Additionally, there is the fear that robots could replace human workers (robophobia)1 (Hayashi &amp; Wakabayashi, 2018; Jin, 2024) and discomfort caused by robots that are too similar to humans, known as the 'Uncanny Valley' phenomenon..."</t>
  </si>
  <si>
    <t>“However, there are barriers to adopting these technologies, including the digital literacy gap, emotional resistance, and social concerns regarding the impact of automation.”
“Additionally, there is the fear that robots could replace human workers (robophobia) and discomfort caused by robots that are too similar to humans, known as the ‘Uncanny Valley’ phenomenon.”</t>
  </si>
  <si>
    <t>"These divergent preferences suggest that successfully introducing serving robots to restaurants requires a strategic alignment between customer experience and owner priorities."
"By comparing these two stakeholder groups, this study provides practical insights for restaurant owners and robot manufacturers seeking to facilitate the effective introduction of serving robots in customer-facing environments."</t>
  </si>
  <si>
    <t>"successfully introducing serving robots to restaurants requires a strategic alignment between customer experience and owner priorities." "This study analyzes the conflicting preferences of these two groups and proposes a strategic framework for the sustainable adoption of serving robots."</t>
  </si>
  <si>
    <t>“Successfully introducing serving robots to restaurants requires a strategic alignment between customer experience and owner priorities.”
“This study analyzes the conflicting preferences of these two groups and proposes a strategic framework for the sustainable adoption of serving robots.”</t>
  </si>
  <si>
    <t>Humanities and Social Sciences Communications (periódico da Springer Nature / Palgrave).</t>
  </si>
  <si>
    <t>https://www.nature.com/articles/s41599-025-05391-w?utm_source=chatgpt.com</t>
  </si>
  <si>
    <t>Chongwu Bi; Xinyu Cui; Zhuo Sun; Yan Jin</t>
  </si>
  <si>
    <t>"The application of AI technologies in influencing consumers’ willingness to purchase healthy food is becoming increasingly prevalent."
"Although existing research has identified variations in the effectiveness of AI in consumption scenarios, several research gaps remain."
"First, most studies have concentrated on the impact of a single form of AI service on consumer willingness, with limited attention given to the differing utilities of various AI types (e.g., thinking AI vs. feeling AI) in service contexts (Dwivedi et al. 2021)."
"Finally, while research has largely focused on the technical and interactive dimensions of task-oriented AI applications, there has been limited exploration of how different types of AI influence consumers’ health-related decision-making through the mediating roles of cognitive and affective responses (Jiang et al. 2023)."</t>
  </si>
  <si>
    <t>"The application of AI technologies in influencing consumers’ willingness to purchase healthy food is becoming increasingly prevalent."  "mechanical AI... utilizes scalability and standardized services to optimize operational efficiency and enhance consumer convenience."  "Thinking AI, powered by big data and machine learning technologies, delivers highly personalized recommendations tailored to individual consumer preferences."  "feeling AI improves user experiences by fostering warmth and empathy."  "feeling AI is especially critical in service contexts requiring high levels of interaction and emotional connection, such as customer relationship management and mental health support."</t>
  </si>
  <si>
    <t>"The application of AI technologies in influencing consumers’ willingness to purchase healthy food is becoming increasingly prevalent."
"Although existing research has identified variations in the effectiveness of AI in consumption scenarios, several research gaps remain."</t>
  </si>
  <si>
    <t>"From the perspective of nudging, this study investigates the mechanism by which different types of AI influence the dissemination of health information and guide the target user group’s willingness to consume healthy food."
"Building on this classification, it examines the interaction effects of AI types (thinking AI and feeling AI) and consumption contexts (public and personal) on consumers’ willingness to purchase healthy food."
"Additionally, the study explores the mediating mechanisms of cognitive and affective responses elicited during human–computer interactions, focusing on how these psychological responses act as intermediary pathways in the process by which thinking AI impacts health-related decisions."
"H1: The interaction effect between the type of AI and the consumption context significantly impacts consumers’ health food purchase intention."
"H2: There is an interaction effect between different types of AI and consumption contexts on consumers’ willingness to purchase healthy food, and the interaction is mediated by cognitive responses and affective responses."</t>
  </si>
  <si>
    <t>"Significant differences have been observed in the service characteristics of different AI types (thinking AI vs. feeling AI)."  "Thinking AI, powered by big data and machine learning technologies, delivers highly personalized recommendations tailored to individual consumer preferences."  "Feeling AI, on the other hand, is centered on emotion recognition and response. By employing technologies such as natural language processing and sentiment analysis, Feeling AI simulates users’ emotional states, offering more human-like and emotionally engaging services."  "This study adopts a classification of AI into thinking AI and feeling AI, focusing on their capacity to influence consumers’ decision-making in the health food sector through personalized and emotionally engaging services."</t>
  </si>
  <si>
    <t>"Building on this classification, it examines the interaction effects of AI types (thinking AI and feeling AI) and consumption contexts (public and personal) on consumers’ willingness to purchase healthy food."
"Additionally, the study explores the mediating mechanisms of cognitive and affective responses elicited during human–computer interactions, focusing on how these psychological responses act as intermediary pathways in the process by which thinking AI impacts health-related decisions."</t>
  </si>
  <si>
    <t>"In response to this, the present study systematically explores the interactive effects of AI type and consumption context on consumers’ willingness to purchase healthy food based on nudge theory, employing two 2 × 2 between-subject experiments."
"Study 1 recruited 120 valid participants, who were randomly assigned to either a public or personal consumption context."
"Their willingness to purchase healthy food was measured using a seven-point Likert scale to examine the interaction between AI type and consumption context."
"Study 2 further investigated the mediating roles of cognitive and affective responses in this interaction effect."
"Study 2 employed Bootstrap to validate the mediating effect of cognitive responses with affective responses."</t>
  </si>
  <si>
    <t>"AI technology can significantly enhance user-product interaction experiences, thereby effectively increasing users’ perceived value."  "This study unveils the interaction effect between AI type and consumption context, as well as its underlying mediating mechanism, thereby expanding the theoretical framework of research on health food consumption behavior."  "The findings provide practical insights for businesses to develop precise AI-driven health food marketing strategies."  "effectively motivating consumers to adopt healthier and more environmentally sustainable food choices has become a pressing challenge for safeguarding public health and fostering the sustainable development of the health food industry."</t>
  </si>
  <si>
    <t>"Study 1 recruited 120 valid participants, who were randomly assigned to either a public or personal consumption context."
"Their willingness to purchase healthy food was measured using a seven-point Likert scale to examine the interaction between AI type and consumption context."
"Study 2 further investigated the mediating roles of cognitive and affective responses in this interaction effect."
"Study 2 employed Bootstrap to validate the mediating effect of cognitive responses with affective responses."</t>
  </si>
  <si>
    <t>"This study unveils the interaction effect between AI type and consumption context, as well as its underlying mediating mechanism, thereby expanding the theoretical framework of research on health food consumption behavior."
"Analysis of variance (ANOVA) revealed a significant interaction effect between AI types and consumption contexts."
"In the public consumption context, a significant difference was found between the willingness to purchase healthy food triggered by thinking AI (M = 5.60, SD = 0.591) and that triggered by feeling AI (M = 2.51, SD = 0.507) (F(1236) = 2071.195, p &lt; 0.001) (see Fig. 9), indicating that thinking AI significantly increased purchase intention compared to feeling AI."
"In the personal consumption context, a significant difference was also observed between the willingness to purchase healthy food triggered by thinking AI (M = 2.37, SD = 0.443) and that triggered by feeling AI (M = 5.62, SD = 0.599) (F(1236) = 2071.195, p &lt; 0.001), suggesting that feeling AI was more effective in increasing consumers’ willingness to purchase healthy food compared to thinking AI."
"The results indicate that the interval (BootLLCI = 2.8538, BootULCI = 3.6575) excludes 0 at the 95% confidence level, suggesting a significant mediating effect of cognitive responses."
"The findings indicate that the interval (BootLLCI = −3.9777, BootULCI = −3.0690) does not encompass 0 at the 95% confidence level, signifying a notable mediating effect of affective response."</t>
  </si>
  <si>
    <t>"Challenges such as limited intervention sustainability, cross-cultural applicability, and insufficient personalization remain persistent obstacles."  "This focus is inconsistent with practical efforts to enhance user experience through personalized and precise services, such as health reminders and tailored recommendations, in real-world contexts (Huang et al. 2021)."  "The mechanistic features of thinking AI are more effective than anthropomorphic features in encouraging consumers to make 'rational' food-related decisions..."  "This perspective neglects the 'irrational' behaviors that may emerge from interactions between consumers and AI, particularly the potential variations in interaction effects across different consumption contexts."</t>
  </si>
  <si>
    <t xml:space="preserve">"This study unveils the interaction effect between AI type and consumption context, as well as its underlying mediating mechanism, thereby expanding the theoretical framework of research on health food consumption behavior."
"Analysis of variance (ANOVA) revealed a significant interaction effect between AI types and consumption contexts."
</t>
  </si>
  <si>
    <t>"First, this paper introduces nudge theory into the study of consumer decision-making processes and explores the role of different types of AI (thinking AI and feeling AI) in various consumption contexts (public vs. personal), offering a novel research perspective within the field of healthy food consumption."
"Second, this paper examines the interaction effect between AI and consumer context on healthy food purchase intention, broadening the research scope of AI in consumer decision-making mechanisms."
"Finally, this paper explores the mediating effects of cognitive and affective responses, using the two-systems thinking model in psychology."
"First, this paper offers a reference for the application of nudge strategies based on AI in the field of healthy food sales."
"Second, this paper offers practical guidance for enterprises in selecting appropriate AI technologies for different consumption contexts."</t>
  </si>
  <si>
    <t>"The core principle is that cognitive or affective interventions can guide individuals to make decisions that are beneficial to themselves and society while preserving their autonomy (Congiu and Moscati, 2022)."  "We adopt a classification of AI into thinking AI and feeling AI, focusing on their capacity to influence consumers’ decision-making in the health food sector through personalized and emotionally engaging services."  "The findings provide practical insights for businesses to develop precise AI-driven health food marketing strategies."</t>
  </si>
  <si>
    <t xml:space="preserve">"First, this paper introduces nudge theory into the study of consumer decision-making processes and explores the role of different types of AI (thinking AI and feeling AI) in various consumption contexts (public vs. personal), offering a novel research perspective within the field of healthy food consumption."
"Second, this paper examines the interaction effect between AI and consumer context on healthy food purchase intention, broadening the research scope of AI in consumer decision-making mechanisms."
</t>
  </si>
  <si>
    <t>Journal of Innovation &amp; Knowledge.</t>
  </si>
  <si>
    <t>https://www.sciencedirect.com/science/article/pii/S2444569X25001647?via%3Dihub</t>
  </si>
  <si>
    <t>Sorin Gavrila Gavrila; Ana Paloma de Lucas López; Carolina Verdugo Molano</t>
  </si>
  <si>
    <t>Spain</t>
  </si>
  <si>
    <t>"This paper investigates how Artificial Intelligence (AI) goes beyond traditional technological roles to drive transformation across industries, organisations, and society."
"However, while there are many relevant studies in understanding AI’s technical features, there is still a lack of detailed research about how AI is used across industries, organisational roles, and specific tasks."
"Despite this progress, the literature still lacks clear, cross-sector and task-level evidence."
"Adoption is often treated as a binary outcome, and the coverage and depth of tasks are not measured."
"These limitations make it difficult to compare where AI is replacing, supporting, or reorganising human work across roles and sectors."</t>
  </si>
  <si>
    <t>"AI goes beyond traditional uses, tackling complex problems, creating innovative solutions, and opening new possibilities for knowledge and progress." "AI-powered chatbots have become essential in customer service, while recommendation systems used by platforms like Netflix or Spotify enhance personalisation and user engagement." "Enterprise Systems... integrated essential business functions such as supply chain management, accounting, and human resources, enabling companies to streamline operations and make data-driven decisions."</t>
  </si>
  <si>
    <t>"This paper investigates how Artificial Intelligence (AI) goes beyond traditional technological roles to drive transformation across industries, organisations, and society."
"However, while there are many relevant studies in understanding AI’s technical features, there is still a lack of detailed research about how AI is used across industries, organisational roles, and specific tasks."
"Despite this progress, the literature still lacks clear, cross-sector and task-level evidence."</t>
  </si>
  <si>
    <t>"This study explores how AI has evolved from technical applications to become a key driver of innovation and knowledge creation."
"It investigates AI’s penetration across industries, organisational areas, and tasks, focusing on its ability to solve complex challenges, reshape business workflows, and enable strategic decision-making in diverse contexts."
"In order to explore this, the study examines the use of AI across industries, roles, and tasks by analysing 2188 academic papers from the arXiv platform, a widely known database for technological research, including cutting-edge AI areas."
"This study addresses these gaps by linking AI adoption to organisational functions and tasks and by applying comparable indicators of scale (breadth across sectors and functions) and intensity (depth within tasks)."
"The following hypotheses are proposed (Fig. 1): (1) H1 (scale indicator): The adoption of AI is positively associated with digital infrastructure maturity across industries; (2) H2 (scale and intensity indicators): The AI usage extends beyond R&amp;D, reaching diverse organisational areas; and (3) H3 (intensity indicator): The AI usage is increasingly specialised in task-specific applications."</t>
  </si>
  <si>
    <t>"Technologies such as Robotic Process Automation (RPA) and Enterprise Systems." "With advanced tools like Large Language Models (LLMs), the study explores relationships between industries, functions, and tasks, tracking year-by-year developments that highlight AI’s growing sophistication and specialisation." "The introduction of GPUs optimised for parallel processing revolutionised AI by enabling faster and more efficient training of machine learning models." "AI-specific hardware, such as TPUs, has further enhanced computational capabilities, particularly for large-scale applications like deep learning."</t>
  </si>
  <si>
    <t xml:space="preserve">"This study explores how AI has evolved from technical applications to become a key driver of innovation and knowledge creation."
"It investigates AI’s penetration across industries, organisational areas, and tasks, focusing on its ability to solve complex challenges, reshape business workflows, and enable strategic decision-making in diverse contexts."
</t>
  </si>
  <si>
    <t>"The research employed secondary data analysis of 2188 full-text academic papers sourced from the arXiv platform."
"Structured keyword extraction, conducted using Large Language Models, identified patterns and relationships between industries, organisational areas, and tasks."
"In order to explore this, the study examines the use of AI across industries, roles, and tasks by analysing 2188 academic papers from the arXiv platform, a widely known database for technological research, including cutting-edge AI areas."
"Using secondary data analysis, keywords were extracted to identify patterns and trends, showing how AI is driving changes in both expected and emerging areas."
"Structured keyword analysis was undertaken on the 2188 papers using advanced Large Language Models (LLMs), specifically OpenAI’s GPT-4o."
"The final step involved analysing the extracted data to uncover trends and patterns in AI adoption."</t>
  </si>
  <si>
    <t>"Beyond automation, AI fosters task-specific solutions and innovation, addressing organisational challenges and improving productivity." "AI has proved to be a valuable solution for addressing workforce challenges by automating repetitive and knowledge-intensive tasks, augmenting human capabilities, at a fraction of the cost." "By allowing employees to focus on higher-value activities, AI not only enhances job satisfaction but also reduces turnover." "AI-powered recruitment platforms streamline hiring by analysing resumes, predicting candidate suitability, and even conducting preliminary interviews." "New professions like Prompt Engineers have emerged to optimise instructions and the outputs of generative AI models."</t>
  </si>
  <si>
    <t>"Using secondary data analysis, keywords were extracted to identify patterns and trends, showing how AI is driving changes in both expected and emerging areas."
"Structured keyword analysis was undertaken on the 2188 papers using advanced Large Language Models (LLMs), specifically OpenAI’s GPT-4o."
"The final step involved analysing the extracted data to uncover trends and patterns in AI adoption."</t>
  </si>
  <si>
    <t>"The findings reveal AI’s significant penetration into industries and its increasing specialisation in organisational areas and tasks."
"Beyond automation, AI fosters task-specific solutions and innovation, addressing organisational challenges and improving productivity."
"These findings underscore AI’s transformative potential to redefine business practices, enhance collaboration, and drive societal progress by pushing the boundaries of innovation and knowledge creation."
"The analysis highlights yearly growth trends to assess how AI adoption has progressed at the industry level."
"This trend toward specialisation indicates a growing over-reliance on AI systems, which are beginning to be tailored to meet industry-specific demands."</t>
  </si>
  <si>
    <t>"However, pressing issues such as ethical use, algorithmic fairness, and data privacy demand urgent attention." "The Volatile, Uncertain, Complex, and Ambiguous (VUCA) nature of today’s environment... has made dynamic and intelligent solutions essential." "The literature reviewed shows three consistent gaps: (1) limited cross-sector coverage; (2) weak task-level measures that treat adoption as binary and provide limited evidence on depth of use; and (3) static views based on metadata or abstracts." "The focus on academic sources and the exclusion of regional contexts present certain limitations..."</t>
  </si>
  <si>
    <t>"Beyond automation, AI fosters task-specific solutions and innovation, addressing organisational challenges and improving productivity."
"These findings underscore AI’s transformative potential to redefine business practices, enhance collaboration, and drive societal progress by pushing the boundaries of innovation and knowledge creation."
"The analysis highlights yearly growth trends to assess how AI adoption has progressed at the industry level."</t>
  </si>
  <si>
    <t xml:space="preserve">"This research provides critical insights into AI’s evolving role and its implications for businesses, employees, and the conduct of government."
"AI’s influence has expanded far beyond technical functions, establishing itself as a strategic tool for innovation, cross-disciplinary problem-solving, and knowledge generation."
"Organisations can leverage AI to drive productivity, optimise processes, and create innovative solutions across industries."
"AI’s rapid expansion highlights its potential to address societal challenges, from reducing inequities to fostering global development."
"However, pressing issues such as ethical use, algorithmic fairness, and data privacy demand urgent attention."
"This study uniquely combines large-scale empirical evidence with theoretical perspectives to analyse AI adoption trends."
</t>
  </si>
  <si>
    <t>"Strategic AI adoption requires investment in workforce reskilling and the ethical implementation of AI systems." "Governments must establish equitable frameworks to ensure that AI supports inclusive progress and mitigates potential negative consequences, fostering sustainable societal progress." "Decision-makers must prioritise long-term planning to achieve AI’s full potential while ensuring it supports both organisational competitiveness and sustainable development."</t>
  </si>
  <si>
    <t xml:space="preserve">"AI’s influence has expanded far beyond technical functions, establishing itself as a strategic tool for innovation, cross-disciplinary problem-solving, and knowledge generation."
"Organisations can leverage AI to drive productivity, optimise processes, and create innovative solutions across industries."
"AI’s rapid expansion highlights its potential to address societal challenges, from reducing inequities to fostering global development."
</t>
  </si>
  <si>
    <t xml:space="preserve">Advanced Engineering Informatics 50 (2021) </t>
  </si>
  <si>
    <t xml:space="preserve">Data-driven order correlation pattern and storage location assignment in 
robotic mobile fulfillment and process automation system </t>
  </si>
  <si>
    <r>
      <rPr/>
      <t xml:space="preserve">
</t>
    </r>
    <r>
      <rPr>
        <color rgb="FF1155CC"/>
        <u/>
      </rPr>
      <t>https://doi.org/10.1016/j.aei.2021.101369</t>
    </r>
  </si>
  <si>
    <t xml:space="preserve">K.L. Keung, C.K.M. Lee *
, P. Ji </t>
  </si>
  <si>
    <t>“Customer service integrated with a chatbot for using RPA to help answer simple customer questions with less manpower.”
“The customer starts to call the warehouse for requesting an order… The front desk officer receives the call… and generates the order request.”
“The staff in the warehouse need to manually type the order requirement into the internal WMS, based on the handwriting worksheet…”
“A customer relationship officer is required for answering the questions and asking the customers for feedback.”
“The RPA also assists with sending the information to CRM, TMS, and FMS… the RPA assists to send the order information to the customer, for example, the shipment status of the order.”
“The CRM is also adopted as a software robot to answer simple and repetitive questions.”</t>
  </si>
  <si>
    <t>Extraction: The primary context is the "Robotic Mobile Fulfillment System (RMFS)". Regarding customer service and business support processes, the text describes "automated case creation for the clients," "automated email query processing," "process mining," and "inventory management". Specifically, it mentions "customer service integrated with a chatbot for using RPA to help answer simple customer questions with less manpower". The system also handles "generating the order request directly to the WMS without human cooperation" and the CRM is adopted "to answer simple and repetitive questions"</t>
  </si>
  <si>
    <t>Customer Service: "automated case creation for the clients" , "automated email query processing" , "customer service integrated with a chatbot for using RPA to help answer simple customer questions with less manpower" , "The CRM is also adopted as a software robot to answer simple and repetitive questions".
Business Support/Back-office: "inventory management" , "manually hand-writing for inputting the customer order into the warehouse management system" , "generate order request directly to the WMS" , "sending the information to CRM, TMS, and FMS" , "transfer the shipment information... for better transportation planning</t>
  </si>
  <si>
    <t xml:space="preserve">
“Robotic process automation (RPA), equipped by the software robot through an expert system…”
“The Intelligent Automation (IA), a concept combining RPA, Artificial Intelligence (AI) and Soft Computing (SC)…”
“A cloud-based Cyber-Physical Systems (CPS) framework… includes IoT sensors, QR codes, multi-sensor systems, cloud gateway…”
“A modified A* algorithm is adopted for calculating the total travelling cost…”
“Nine common clustering algorithms are applied… including K-Means, Gaussian Mixture Model… Bayesian Gaussian Mixture Model…”
“Six common classification algorithms are applied… including KNN, Random Forest, SVC, MLP, Naïve Bayes, SGD.”
“The RPA system is expected to learn from expert decisions…”
(Note: No LLMs, MAS, or Reinforcement Learning appear in this article.)</t>
  </si>
  <si>
    <t>Extraction: The paper proposes a "cloud-based Cyber-Physical Systems (CPS) framework" integrated with "Robotic Process Automation (RPA)". The technical approach involves a "data-driven approach" utilizing "semi-supervised and unsupervised clustering algorithms". Specifically, "Nine common clustering algorithms" are applied, including "K-Means, Gaussian Mixture Model (GMM), Bayesian Gaussian Mixture Model (BGMM), Mean Shift, Birch (BH), Agglomerative Clustering (AC), Density-based Spatial Clustering of applications with noise (DB), Spectral Clustering (SC) and Affinity Propagation (AP)". For classification, "Six common classification algorithms" are used: "K-Nearest Neighbors (KNN), Random Forest (RF), Support Vector Classifier (SVC), Multi-layer Perceptron Classifier (MLP), Gaussian Naïve Bayes (GNB) and Stochastic Gradient Descent (SGD)". A "modified A* algorithm" is adopted for calculating traveling costs.</t>
  </si>
  <si>
    <t>Architecture: "cloud-based Cyber-Physical Systems (CPS)" , "Robotic Process Automation (RPA)" , "Intelligent Automation (IA), a concept combining RPA, Artificial Intelligence (AI) and Soft Computing (SC)".
AI Techniques (Clustering): "Nine common clustering algorithms... K-Means, Gaussian Mixture Model (GMM), Bayesian Gaussian Mixture Model (BGMM), Mean Shift, Birch (BH), Agglomerative Clustering (AC), Density-based Spatial Clustering of applications with noise (DB), Spectral Clustering (SC) and Affinity Propagation (AP)".</t>
  </si>
  <si>
    <t>Extraction:
“The practitioners can gain advantages by adopting RPA to enhance the overall process effectiveness and reduce the workers’ insignificant workload.”
“With the knowledge, workers can spend more time on other value creation tasks without carrying out the repetitive procedures…”
“Customer expectation and satisfaction can be enhanced… because of a higher process efficiency accuracy… and a lower scope of human error.”
“The back office activities were assumed by a software robot… The third party logistics service provider is expected to reduce the number of the back-office staff, and human errors.”
“More orders can be fulfilled because of the enhanced operation processes.”
“Higher customer satisfaction can be achieved by reducing human errors and adopting the RPA in RMFS.”</t>
  </si>
  <si>
    <t>Extraction: The adoption of these agents allows workers to "spend more time on other value creation tasks without carrying out the repetitive procedures". It enhances "Customer expectation and satisfaction" due to "higher process efficiency accuracy, regulatory compliance, reliability and a lower scope of human error". The "third party logistics service provider is expected to reduce the number of the back-office staff". Additionally, the proposed classification algorithms "yield an average of 95% accuracy rate".</t>
  </si>
  <si>
    <t>Productivity/Efficiency: "spend more time on other value creation tasks without carrying out the repetitive procedures" , "reduce the workers' insignificant workload" , "gain better operational efficiency".
Human Roles: "reduce the number of the back-office staff" , "shop floor workers can be reduced or reallocated".
Performance Metrics: "higher process efficiency accuracy" , "yield an average of 95% accuracy rate" , "reliability and a lower scope of human error".</t>
  </si>
  <si>
    <t>Extraction:
“Customer expectation and satisfaction can be enhanced… because of a higher process efficiency accuracy, regulatory compliance, reliability and a lower scope of human error.”
“With the aid of IoT… consolidate the environment information and assist with a digitalized environment for nearly real-time control…”
“A cloud-based CPS can reduce local computational power.”
“Strict control is based on the latency-sensitive real-time data…”
“The purpose… is to reduce human errors.”
(Note: No explicit discussion found on transparency, ethics, or governance.)</t>
  </si>
  <si>
    <t>Extraction: The text highlights the need for "latency-sensitive real-time data" for strict control. It notes that "Cloud-based RPA can enhance the scalability and mobility of the company". Security is briefly touched upon with the mention of "Addressing cloud computing security issues" in the references. The system must also handle "collision avoidance" and "conflict resolution".</t>
  </si>
  <si>
    <t>Real-time Control: "latency-sensitive real-time data".
Scalability: "Cloud-based RPA can enhance the scalability and mobility of the company".
Architecture: "Cloud-based CPS 5C level architecture".</t>
  </si>
  <si>
    <t>Extraction:
“Fig. 3 is the TO-BE process… RPA assists in generating the order request directly to the WMS… All the processes are directly generated through RPA, especially for the expert-based storage location classification.”
“A cloud-based CPS is adopted… including model layer, cyber layer, and view layer.”
“Expert knowledge in the RMFS as an input of a data-driven machine learning approach can ensure the routine operations handled by RPA.”
“The most significant concern for clustering… should be learned from experts rather than adopting unsupervised learning.”
“A well-planned RPA and cloud-based CPS strategy… able to create substantial value based on sensor data.”
(No explicit step-by-step framework beyond the TO-BE process model.)</t>
  </si>
  <si>
    <t>Extraction: The paper provides a "TO-BE analysis of RPA and cloud-based CPS framework". A key guideline is that "The system design is based on human expert judgment and learned from the expert". The authors emphasize that "The most significant concern for clustering the RMFS should be learned from experts rather than through unsupervised learning" and that "Expert knowledge in the RMFS as an input of a data-driven machine learning approach can ensure the routine operations handled by RPA".</t>
  </si>
  <si>
    <t>Expert-in-the-loop: "The system design is based on human expert judgment and learned from the expert" , "The most significant concern for clustering the RMFS should be learned from experts rather than through unsupervised learning".
Algorithm Selection: "semi-supervised learning can be easily classified as a new customer order" , "unsupervised AP is poor for measuring the quality".
Integration: "RPA, SC, and AI can be combined as IA for evolving to future intelligent system development"</t>
  </si>
  <si>
    <t>Business &amp; Information Systems Engineering</t>
  </si>
  <si>
    <t>Understanding Collaboration with Virtual Assistants– The Role of Social Identity and the Extended Sel</t>
  </si>
  <si>
    <t>https://doi.org/10.1007/s12599-020-00672-x</t>
  </si>
  <si>
    <t>Milad Mirbabaie, Stefan Stieglitz, Felix Brünker, Lennart Hofeditz, Björn Ross, Nicholas R. J. Frick</t>
  </si>
  <si>
    <t>Germany</t>
  </si>
  <si>
    <t>The article does not study customer service processes nor organizational CS workflows.
It focuses on virtual collaboration and teamwork, not customer service operations.</t>
  </si>
  <si>
    <t>Extraction: The article mentions that VAs are used in organizations to "optimize internal processes by assisting in the execution of work-related tasks" and for "increased customer satisfaction". Specific processes include "direct interaction with consumers" , "facilitate onboarding processes of new hires" , "supporting the resolution of customer incidents" , and assisting in "work-related tasks" such as the Critical Path Method (CPM) task used in the experiment.</t>
  </si>
  <si>
    <t>"VAs are increasingly being used in organizations to optimize internal processes by assisting in the execution of work-related tasks Participants had to arrange an unordered list with various process steps (such as 'develop study idea,' 'literature research,' 'conducting the study,' and 'develop methodology') to identify the minimal throughput time</t>
  </si>
  <si>
    <t>Extraction:
The article only describes the VA as:
“a text-based system with the help of Google’s cloud service DialogFlow” 
viewcontent
“a text-based interface integrated into the online chat platform Slack” 
viewcontent
“By using underlying ML technologies, this platform provides easy access to the development of natural and rich conversational interfaces” 
It does not mention multi-agent systems, reinforcement learning, or LLM architectures.
➡️ Answer:
Extraction:
“we developed a text-based system with the help of Google’s cloud service DialogFlow… using underlying ML technologies… integrated into Slack.”</t>
  </si>
  <si>
    <t xml:space="preserve">: "we developed a text-based system with the help of Google’s cloud service DialogFlow.".
Extraction: "By using underlying ML technologies".
"integrated into the online chat platform Slack".
</t>
  </si>
  <si>
    <t xml:space="preserve">The study measures identification, social identity, workload, team perception — not productivity or business KPIs.
Relevant excerpts:
Extraction:
“people who collaborate with VAs identify less with their (human) team after their interaction with the VA” 
“no significant difference in the perceived workload of the task and the achieved score between the group supported by a VA and the group assisted by another human” 
“the support of a VA is similar to that of a human… organizations could save valuable resources by using VAs” 
</t>
  </si>
  <si>
    <t>Extraction: The study found that "people who collaborate with VAs identify less with their (human) team after their interaction with the VA than they did before" , indicating VAs "seem to reduce the social identification with team members". However, "employees who identify VAs as part of their extended self are more likely to identify with team members and vice versa". Regarding workload, "workload of solving the CPM assisted by the VA is therefore neither perceived as higher nor as lower"  compared to human assistance. It is noted that "organizations could save valuable resources by using VAs to support employees".</t>
  </si>
  <si>
    <t xml:space="preserve">: "There is no significant difference in the perceived workload of the task... between the group supported by a VA and the group assisted by another human.".
"the VA substitutes the role of a human collaborator".
</t>
  </si>
  <si>
    <t>There is no discussion of reliability, ethics, governance, transparency, deployment, or system integration.
The study is purely psychological/behavioral.
➡️ Answer:
Information not available in the text.</t>
  </si>
  <si>
    <t xml:space="preserve">: A significant challenge identified is that "employees do not feel part of the human team in return"  after collaborating with VAs. The text also notes that VAs "cannot represent a fully human consciousness" and are "usually capable of supporting a narrow task... but may not be able to provide appropriate answers in every context".
</t>
  </si>
  <si>
    <t xml:space="preserve">
: "As a worst-case scenario, employees do not feel part of the human team in return.".
: "VAs are usually capable of supporting a narrow task... but may not be able to provide appropriate answers in every context."</t>
  </si>
  <si>
    <t>The article does not propose frameworks or operational guidelines for AI adoption.
Only high-level implications like:
Extraction:
“organizations could save valuable resources by using VAs to support employees in their tasks”
“the introduction of VAs should be accompanied by measures to support the continued social identification with other colleagues”</t>
  </si>
  <si>
    <t>Extraction: The authors propose that "VAs should be deployed as both supportive tools to assist work-related tasks and as members of virtual teams to increase social identity and positive distinctiveness". They suggest that "decision makers should take measures to encourage the continued identification with other colleagues when introducing such technology" , such as "social events or gatherings". Additionally, they introduce the concept of "virtually extended identification"  as a framework to understand these interactions.</t>
  </si>
  <si>
    <t>VAs should be deployed as both supportive tools to assist work-related tasks and as members of virtual teams to increase social identity and positive distinctiveness.".</t>
  </si>
  <si>
    <t>Hawaii International Conference on System Sciences (HICSS)</t>
  </si>
  <si>
    <t>Design Foundations for AI Assisted Decision Making: A Self Determination Theory Approach</t>
  </si>
  <si>
    <t>DOI: 10.24251/HICSS.2021.019</t>
  </si>
  <si>
    <t>Triparna de Vreede, Mukhunth Raghavan, Gert-Jan de Vreede</t>
  </si>
  <si>
    <t>“Chatbot technologies have taken off at a rapid pace in recent years and have permeated almost every walk of life from customer service [68] to job screening [8]. … On the business side, chatbots are now an essential feature for customer service as well as gathering user feedback.” 
“AI assisted decision-making has also been integrated with the service industry and is helping engage customers while providing various service benefits that range from helping with analytical tasks to providing empathetic responses [26] [27].” 
-FinalV1</t>
  </si>
  <si>
    <t>Extraction: "On the business side, chatbots are now an essential feature for customer service as well as gathering user feedback". "Al assisted decision-making has also been integrated with the service industry and is helping engage customers while providing various service benefits that range from helping with analytical tasks to providing empathetic responses". "In the scenario, participants were to solve a logic puzzle and assign the correct role and number of hours to each of four employees of an organizational team project".</t>
  </si>
  <si>
    <t>On the business side, chatbots are now an essential feature for customer service as well as gathering user feedback [24].</t>
  </si>
  <si>
    <t xml:space="preserve">“Chatbots are conversational AI agents that interact with users using natural language.” 
“The chatbot was designed to provide pertinent information via messages based on prompts that the participant responded to.” 
“Our study examined the role of SDT in AI design, but the AI was a simulated environment with no dynamic responses.” 
</t>
  </si>
  <si>
    <t>Extraction: "We define a chatbot as 'disembodied conversational agent that can hold a natural language conversation via text-based environment to either engage the user in a general-purpose or task-oriented conversation'". "Participants were offered support from a virtual assistant chatbot. The chatbot was designed to provide pertinent information via messages based on prompts that the participant responded to". "This study employed Social Determination Theory to examine the effect of the three motivational needs on user interaction outcome variables of a decision-making chatbot".</t>
  </si>
  <si>
    <t>"Chatbots are conversational Al agents that interact with users using natural language 
: "We define a chatbot as 'disembodied conversational agent that can hold a natural language conversation via text-based environment to either engage the user in a general-purpose or task-oriented conversation'</t>
  </si>
  <si>
    <t>AI assisted decision-making… helping engage customers while providing various service benefits that range from helping with analytical tasks to providing empathetic responses.” 
HICSSChatBot-FinalV1
“This study is also useful for organizations by giving them an insight into the design of AI assisted chatbots such that these tools achieve the desired goals.” 
HICSSChatBot-FinalV1
“Organizations can establish adequate trainings and afford choices to the users such that the users feel competent and in control… and feel that the AI is present to enrich their decision-making rather than replace their position at the organization.”</t>
  </si>
  <si>
    <t>Extraction: "A carefully designed experiment revealed that all three needs [relatedness, competency, and autonomy] are important for user satisfaction and engagement while competency and autonomy is associated with decision accuracy". "Perceived autonomy regarding the chatbot influences perceived satisfaction with the chatbot, such that as perceived autonomy over the chatbot increases, satisfaction with the chatbot increases". "Counter to our intuitions, greater competency was seen to be marginally related to an increase in time taken, and hence lower efficiency". "Perceived competency would be positively related and perceived autonomy would be negatively related to accuracy of decision-making".</t>
  </si>
  <si>
    <t>virtual agents that satisfy these three needs are significantly related to user engagement and user satisfaction." 
: "perceptions of autonomy are negatively related to decision accuracy and to decision efficiency."</t>
  </si>
  <si>
    <t>“Developers need to be knowledgeable about the human, psychological, and ethical considerations prior to designing an AI artifact since each AI design consideration may result in a different outcome when the AI is put to use.” 
HICSSChatBot-FinalV1
“AI design research is … critical to managing the long-term effects of AI use on the well-being of use</t>
  </si>
  <si>
    <t>Extraction: "Appropriate AI design is critical to establish a relationship of trust and dependability with the AI". "When AI design does not accurately anticipate accommodating the nature of human interaction, the resultant outcomes may be less than optimal". "The hidden biases that were introduced in Amazon hiring algorithms resulted in prejudice against women and minorities". "Design considerations that do not meet the intrinsic motivational needs of users fail to satisfy them".</t>
  </si>
  <si>
    <t xml:space="preserve"> "When Al design does not accurately anticipate accommodating the nature of human interaction, the resultant outcomes may be less than optimal."</t>
  </si>
  <si>
    <t xml:space="preserve">“AI designers can create the designs such that users can relate more to the AI and thus achieve more meaningful outcomes.” 
“Designers can create user friendly designs such that the AI makes the user feel competent in understanding and solving the problem.” 
“The AI designers can allow enough sense of autonomy… such that they feel sufficiently in control of the situation to engage with the AI wholeheartedly.” 
“Organizations can establish adequate trainings and afford choices to the users…” 
</t>
  </si>
  <si>
    <t>Extraction: "AI designers can create the designs such that users can relate more to the AI and thus achieve more meaningful outcomes". "Designers can create user friendly designs such that the AI makes the user feel competent in understanding and solving the problem". "Organizations can establish adequate trainings and afford choices to the users such that the users feel competent and in control of their relationship with the AI and feel that the AI is present to enrich their decision-making rather than replace their position at the organization".</t>
  </si>
  <si>
    <t>"Al designers can create the designs such that users can relate more to the Al and thus achieve more meaningful outcomes." 
"designers can create user friendly designs such that the AI makes the user feel competent in understanding and solving the problem." 
: "the AI designers can allow enough sense of autonomy within the users such that they feel sufficiently in control of the situation"</t>
  </si>
  <si>
    <t>Manuscript</t>
  </si>
  <si>
    <t>Construction and Empirical Research on Technology Acceptance Model of Service Robots Applied in Hotel Industry</t>
  </si>
  <si>
    <t>https://doi.org/10.1108/IMDS-11-2019-0603?urlappend=%3Futm_source%3Dresearchgate.net%26medium%3Darticle</t>
  </si>
  <si>
    <t>Robots… are being applied in various fields, especially the hotel industry.” 
“Different types of robots can be seen in different grades of hotels… The service includes welcome, check-in, hotel guidance, product delivery, intelligent control of room appliances, smart chat and other spiritual care…”</t>
  </si>
  <si>
    <t>he context is the "hotel industry".
Extraction: The processes involve "traditional services such as welcome, check-in, hotel guidance, and product delivery".
Extraction: It also includes "intelligent control of room appliances, smart chat and other spiritual care".
Extraction: Broader applications mentioned include "smart home, smart care... home cleaning... smart fueling, smart ordering</t>
  </si>
  <si>
    <t>"The service includes not only traditional services such as welcome, check-in, hotel guidance, and product delivery."</t>
  </si>
  <si>
    <t>“Service-oriented robots are the crystallization of artificial intelligence…” 
The paper discusses acceptance models (TAM, TPB, VAM) but no AI architecture, no algorithms, no LLMs, no reinforcement learning, no multi-agent systems, and no implementation details.</t>
  </si>
  <si>
    <t>Extraction: The text refers to these agents as "Robots, as crystallization of modern artificial intelligence".
Extraction: They are described as "service-oriented robots".
Extraction: The study focuses on a "comprehensive evaluation with traditional and modern evaluation theory" rather than specific software architectures.</t>
  </si>
  <si>
    <t>"Robots, as crystallization of modern artificial intelligence" 
"service-oriented robots</t>
  </si>
  <si>
    <t>They are seizing the opportunities, using technology to improve the overall quality and comprehensive competitiveness…” 
Robots can “bring guests a different stay experience.” 
“The acceptance model… can well explain the influencing factors… and provide theoretical support for the use and popularization of hotel service robots.”</t>
  </si>
  <si>
    <t>Robots are "using technology to improve the overall quality and comprehensive competitiveness".
Extraction: They "expands the service mode, and improves the service quality".
Extraction: The application "can bring guests a different stay experience".
Extraction: The study aims to understand if "the occupancy rate of the hotel will be different due to the emergence of robots</t>
  </si>
  <si>
    <t>"using technology to improve the overall quality and comprehensive competitiveness" 
"expands the service mode, and improves the service quality" 
"bring guests a different stay experience"</t>
  </si>
  <si>
    <t>"most customers have not used hotel robots... indicating that artificial intelligence has a long way to go in the traditional service industry"</t>
  </si>
  <si>
    <t>Extraction: The paper evaluates "usefulness, ease of use, sentimental value and self-efficacy".
Extraction: "Ease of use is the degree to which an individual perceives a technology to be easy to use".
Extraction: "Sentimental value... refers to the intrinsic value of the individual's entertainment, comfort and convenience".
Extraction: A challenge identified is that "most customers have not used hotel robots... indicating that artificial intelligence has a long way to go in the traditional service industry".
Extraction: "Customers’ recognition and acceptance of this service has become the key to the successful promotion of this technology".</t>
  </si>
  <si>
    <t>"Customers’ recognition and acceptance of this service has become the key to the successful promotion of this technology."</t>
  </si>
  <si>
    <t>The article proposes theoretical variables and models for user acceptance (TAM, TPB, VAM integration), but no operational guidelines for deploying robots, no management frameworks, no scaling practices.
“Combined with the advantages and disadvantages of different stages of acceptance theory, this study… constructs a comprehensive and integrated evaluation model…” 
NO3-ConstructionandEmpiricalRes…
“Future research can start with… develop adaptive models of acceptance…</t>
  </si>
  <si>
    <t>"coupling plan behavior theory, technology acceptance model and acceptance model based on perceptual value to develop a comprehensive evaluation" 
"make the appropriate service-oriented robot placement decision, it is beneficial for the robot developers to improve the product performance"</t>
  </si>
  <si>
    <t>arXiv (Preprint)</t>
  </si>
  <si>
    <t xml:space="preserve">Creating, Using and Assessing a Generative-AI-Based Human-Chatbot-Dialogue Dataset with User-Interaction Learning Capabilities </t>
  </si>
  <si>
    <t xml:space="preserve">	arXiv:2501.00791</t>
  </si>
  <si>
    <t>Alfredo Cuzzocrea, Giovanni Pilato, Pablo G. Bringas</t>
  </si>
  <si>
    <t>Italy, France and Spain</t>
  </si>
  <si>
    <t>“a scenario in which a client talks with a customer service representative from a hypothetical phone company” 
“customer service conversation management between humans and AI chatbots” 
“the user was using one of the following… emotions… during the interaction” (anger, joy, sadness, fear, surprise, disgust) 
“design systems that swiftly recognize the user’s emotion and the language level employed by the client to produce an effective automatic interaction or to design artificial systems that can assist a human agent in effectively and adequately interacting with the client.</t>
  </si>
  <si>
    <t>The primary context described is "customer service conversation management between humans and AI chatbots".
Extraction: The specific simulated process involves a scenario "in which a client talks with a customer service representative from a hypothetical phone company".
Extraction: The goal of these agents within this context is "customer care handling," where it is crucial to "design systems that swiftly recognize the user's emotion and the language level employed by the client to produce an effective automatic interaction" or to "assist a human agent in effectively and adequately interacting with the client".</t>
  </si>
  <si>
    <t>"developing a dataset of dialogues potentially useful for customer service conversation management between humans and AI chatbots." 
"simulated a scenario in which a client talks with a customer service representative from a hypothetical phone company"</t>
  </si>
  <si>
    <t xml:space="preserve">“The approach exploits ChatGPT 3.5 to generate dialogues.” 
“LLMs have also been used to emulate conversations.” 
“Deep reinforcement learning for dialogue generation” (citing Li et al.) 
“Each dialogue is characterized by… linguistic complexity and a specific predominant emotion.” 
“the ability to create synthetic dialogues… annotated with Dialog State Tracking (DST) labels” (from related works like PLACES, SynthDST, etc.) 
“readability measurements… using the Automatic Readability Tool for English (ARTE)” and multiple readability metrics (Flesch, ARI, NDC, CAREC, SBERT, etc.) </t>
  </si>
  <si>
    <t>Extraction: The study explicitly "exploits ChatGPT 3.5 to generate dialogues".
Extraction: The technical approach involves using "OpenAI's ChatGPT-3.5 Generative AI to conduct experiments within a controlled context".
Extraction: The architecture relies on prompt engineering where requirements are set so that "the dialogue is characterized by a specific language proficiency level of the user" (based on CEFR levels A2, B2, C2) and that "the user expresses a specific emotion during the interaction" (joy, sadness, anger, fear, surprise, disgust).</t>
  </si>
  <si>
    <t>"The approach exploits ChatGPT 3.5 to generate dialogues." 
"leveraged the capabilities of OpenAI's ChatGPT-3.5 Generative AI to conduct experiments within a controlled context." 
"prompt provided to ChatGPT specified the creation of short, interactive dialogues consisting of approximately five turns between a customer and an agent"</t>
  </si>
  <si>
    <t>“This methodology could improve human-AI dialogue effectiveness…” 
2501.00791v1
“serve as a basis for systems that can learn from user interactions.” 
2501.00791v1
“assist a human agent in effectively and adequately interacting with the client.” 
2501.00791v1</t>
  </si>
  <si>
    <t>Extraction: The methodology is proposed to "improve human-AI dialogue effectiveness and serve as a basis for systems that can learn from user interactions".
Extraction: Regarding productivity, the "primary benefit lies in the accelerated rate of data generation".
Extraction: A significant impact is the "ability to create novel conversations from scratch, prompting ChatGPT to generate responses that adhere to pre-defined criteria" , which facilitates the creation of "realistic exemplars of human-computer interaction over time".
Extraction: The system helps in "facilitating effective human-computer interactions and conversation management within specific contexts".</t>
  </si>
  <si>
    <t>"improve human-AI dialogue effectiveness and serve as a basis for systems that can learn from user interactions." 
"The primary benefit lies in the accelerated rate of data generation."</t>
  </si>
  <si>
    <t xml:space="preserve">“Of course it is important to verify the quality of generated dialogues.” 
2501.00791v1
“dialogues that failed to meet the specifications… were discarded” (quality/reliability requirement) 
2501.00791v1
“emotional coherence… language complexity coherence… Quality of Interaction (QoI)” used as validation measures. </t>
  </si>
  <si>
    <t>Extraction: A key challenge addressed is Quality of Interaction (QoI). The authors note that "It is important to verify the quality of generated dialogues".
Extraction: The study defines a "Quality of Interaction (QoI)" metric where a score of "F (Fail)" indicates "confusion or unusual language that fails to accurately reflect the intended emotional resonance and the requested linguistic complexity".</t>
  </si>
  <si>
    <t>"difficulties in computational approaches for emotion detection arise from the fact that emotions are complex" 
"Quality of Interaction (QoI) inherent to the generated dialogues, assigning one of three distinct scores to each dialogue: Sufficient (S), Adequate (A), or Fail (F).</t>
  </si>
  <si>
    <t>The authors propose a framework where generated dialogues are "preliminary evaluated before being included into the dataset to assess their accuracy and adherence to the predetermined contextual parameters".
Extraction: A best practice identified is filtering: "Any dialogue to which a QoI value of F was assigned was evaluated as unsuitable for analysis and excluded from further consideration".
Extraction: The paper suggests utilizing "explicit emotional cues and reactions provided as metadata within the generated dialogues... to identify recurring patterns and sequences for further analysis".
Extraction: The proposed tool can be integrated into "reinforcement learning applications, where a satisfaction score could be provided after each conversation"</t>
  </si>
  <si>
    <t>“The dialogues have also been evaluated by using different parameters to verify that they met an acceptable quality level.” 
2501.00791v1
“Future research will focus on… integrating into decision support systems… exploring big data… user-personalization metaphors.” 
2501.00791v1
“attitude tags associated with each turn… to infer effective interaction habit</t>
  </si>
  <si>
    <t>"generated dialogues were preliminary evaluated before being included into the dataset to assess their accuracy and adherence to the predetermined contextual parameters" 
"leveraging attitude tags associated with each turn of conversation to infer effective interaction habits."</t>
  </si>
  <si>
    <t xml:space="preserve">2025 International Youth Conference on Radio Electronics (REEPE)    </t>
  </si>
  <si>
    <t>Three ways to integrate microservices into MARL</t>
  </si>
  <si>
    <t xml:space="preserve">DOI: 10.1109/REEPE63962.2025.10971014
</t>
  </si>
  <si>
    <t>Egor F. Morgunov</t>
  </si>
  <si>
    <t>Russia</t>
  </si>
  <si>
    <t>“To explore the integration of multi-agent reinforcement learning into a microservice system, a travel route selection service was developed. Based on real-time information about current weather conditions and route congestion, the system recommends the most efficient route to the desired destination, minimizing the client's travel costs.”</t>
  </si>
  <si>
    <t>Extraction: "To explore the integration of multi-agent reinforcement learning into a microservice system, a travel route selection service was developed. Based on real-time information about current weather conditions and route congestion, the system recommends the most efficient route to the desired destination, minimizing the client's travel costs." 
Extraction: "The service employs a classic microservice architecture... The system comprises a user interface (UI) and several microservices... certain components, such as the weather generation service and the environment service" 
Extraction: "With this approach, we get centralized order processing, which can significantly speed up the customer service process.</t>
  </si>
  <si>
    <t>"recommends the most efficient route to the desired destination, minimizing the client's travel costs." 
"rely on current traffic and weather conditions, as well as the number of simultaneous client requests."</t>
  </si>
  <si>
    <t>“This paper discusses the integration of multi-agent reinforcement learning into a microservice architecture.”
“Three methods of integrating deep Q-learning into the microservice architecture were developed, and three classical algorithms of deep reinforcement learning were used to evaluate the effectiveness of the methods.”
“One of the popular reinforcement learning methods is the deep Q-learning (DQN) algorithm…”
“For multi-agent reinforcement learning, there are several modifications of DQN, one of which is the independent Q-learning algorithm (IQN)…”
“Another classic example of a modification to DQN is the centralized learning algorithm using recurrent neural networks (CDQN).”
“The multi-agent environment… adopts the AEC model… utilized in the creation of PettingZoo environments…”</t>
  </si>
  <si>
    <t>Extraction: "This paper discusses the integration of multi-agent reinforcement learning into a microservice architecture." 
Extraction: "The route selection service adopts the AEC model. The AEC, utilized in the creation of Petting Zoo environments, is essentially a turn-based version of POSG" 
Extraction: "The experiments used three deep learning algorithms based on fully connected neural networks - DQN, IQN, and CDQN" 
Extraction: "The classic single-agent algorithm DQN was chosen for the 'one agent – multiple microservices' structure... The decentralized IQN algorithm was chosen for the 'one agent – one microservice' structure... Finally, the CDQN algorithm was chosen to investigate the cooperative interaction of agents in the 'multiple agents – one microservice' structure."</t>
  </si>
  <si>
    <t>"The service employs a classic microservice architecture" 
"The microservice architecture was implemented using multiple programming languages: Python, HTML, and JavaScript"</t>
  </si>
  <si>
    <t>“As can be seen from the experiment results, each algorithm successfully learned to process orders in real-time while minimizing service costs.”
“Throughout the training process, the rewards of all agents monotonically increased, and customer service efficiency improved, meeting industrial requirements for the system.”
“The developed route selection service meets all the criteria and features of MSA: independent deployment, high cohesion and loose coupling, scalability and technological heterogeneity.”</t>
  </si>
  <si>
    <t>Extraction: "Throughout the training process, the rewards of all agents monotonically increased, and customer service efficiency improved, meeting industrial requirements for the system." 
Extraction: "The combination of MARL and MSA improves the performance of distributed systems, meeting user expectations and aligning with industrial requirements for microservice architecture." 
Extraction: "As can be seen from the experiment results, each algorithm successfully learned to process orders in real-time while minimizing service costs."</t>
  </si>
  <si>
    <t>customer service efficiency improved, meeting industrial requirements for the system." 
"successfully learned to process orders in real-time while minimizing service costs."</t>
  </si>
  <si>
    <t>“Thus, each of the developed systems meets all the MSA criteria – independent deployment, scalability, data hiding, high cohesion and loose coupling.”
“However, such a system will not be able to work effectively in dynamic conditions without adding the MARL algorithm.”
“…allowing to work with continuous actions of agents and automate the creation of characteristic features.”
“This approach allows the neural network parameters to be jointly used by all agents during the learning process, thereby addressing the problem of non-stationarity in multi-agent learning.”</t>
  </si>
  <si>
    <t>Extraction: "In non-deterministic dynamic systems, the use of MARL provides the following advantages: adaptability, scalability, encapsulability, operational efficiency due to parallel data processing, as well as fault tolerance" 
Extraction: "This approach significantly improves the speed and quality of communication between services while minimizing the number of requests, thereby reducing the coupling of microservices." 
Extraction: "The introduction of agents into microservices gives them intelligence, while maintaining the independence of each component of the system. In the event of a failure of the intelligent service, the problem can be quickly tracked and resolved by isolating the problematic element.</t>
  </si>
  <si>
    <t>"In non-deterministic dynamic systems, the use of MARL provides the following advantages: adaptability, scalability, encapsulability, operational efficiency due to parallel data processing, as well as fault tolerance" 
"introduction of agents into microservices gives them intelligence, while maintaining the independence of each component of the system."</t>
  </si>
  <si>
    <t>“Three methods of integrating agents into the microservice system were proposed, considering the possible roles of agents in resource management within a distributed system.”
“The proposed microservice architecture uses the classical microservice concept of S. Newman, leverages the modern cyclic RL Agent Environment Cycle (AEC) model, and employs standard MARL algorithms.”
“The choice of method, along with the corresponding MARL algorithm, depends not only on the service's functionality but also on the expected agent strategy – whether it’s independent, cooperative, competitive or mixed.”</t>
  </si>
  <si>
    <t>"One agent – one microservice. This method allows each agent to manage the internal processes and data of its microservice." 
"Multiple agents – one microservice. This approach is ideal for complex system components with advanced functionality that require simultaneous processing of large amounts of data." 
"One agent - multiple microservices. This concept allows using a single agent to manage resources across several microservices."</t>
  </si>
  <si>
    <t>"This study suggests three different ways to integrate agents into MSA:" 
"One agent – one microservice. This method allows each agent to manage the internal processes and data of its microservice." 
"Multiple agents – one microservice. This approach is ideal for complex system components with advanced functionality" 
"One agent - multiple microservices. This concept allows using a single agent to manage resources across several microservices."</t>
  </si>
  <si>
    <t xml:space="preserve">Journal of Financial Services Marketing </t>
  </si>
  <si>
    <t xml:space="preserve">  Why can’t we help but love mobile banking chatbots? Perspective of stimulus-organism-response</t>
  </si>
  <si>
    <t>https://doi.org/10.1057/s41264-023-00237-5</t>
  </si>
  <si>
    <t>Nitin Upadhyay, Aakash Kamble</t>
  </si>
  <si>
    <t>India</t>
  </si>
  <si>
    <t xml:space="preserve">“Mobile banking utilized mobile phones for delivering financial services to consumers through application-based interface (Sankaran and Chakraborty 2021). There has been a rise in the usage of conversational AI chatbots to provide customer service through mobile banking to “offer their customers cost-effective and personalized solutions to perform various services” (Fahn and Riener 2021).” </t>
  </si>
  <si>
    <t>Extraction: "CAIC aims to solve human queries, provide appropriate information, and establish social relationships." 
Extraction: "CAIC facilitating customer service without involving human customer service agent is conceptualized as a self-service technology (SST)." 
Extraction: "Such solutions are effective and reliable compared to the traditional way of delivering services to customers via telephonic calls and emails."</t>
  </si>
  <si>
    <t>“Research has shown that by using data and machine learning algorithms, the Conversational AI chatbots (CAIC) can provide customers with personalized solutions…” 
Why can’t we help but love mobi…
“The conversational AI chatbot is an amalgamation of meaningful conversation “chatting” and “robot” (Nguyen et al. 2021). Liu and Lamb (2018) explain that conversational AI chatbot stimulates meaningful text-based or voice-based conversation with real people via various channels such as messaging applications and websites.”</t>
  </si>
  <si>
    <t>Extraction: "Research has shown that by using data and machine learning algorithms, the Conversational AI chatbots (CAIC) can provide customers with personalized solutions, making them feel valued and understood." 
Extraction: "The conversational AI chatbot is an amalgamation of meaningful conversation 'chatting' and 'robot'." 
Extraction: "AI-powered chatbots... ability of chatbots to mimic human behavior."</t>
  </si>
  <si>
    <t>“Chatbots have become increasingly prevalent in various market sectors due to their ability to intensify the customer experience while reducing operational costs (Hernandez‐Ortega and Ferreira 2021).” 
Why can’t we help but love mobi…
“By automating the communication process, chatbots allow businesses to provide high-quality services while reducing the costs incurred (Blut et al. 2021).” 
Why can’t we help but love mobi…
“Such solutions are effective and reliable compared to the traditional way of delivering services to customers via telephonic calls and emails (Sridhar 2018).”</t>
  </si>
  <si>
    <t>Extraction: "Chatbots have become increasingly prevalent in various market sectors due to their ability to intensify the customer experience while reducing operational costs." 
Extraction: "By automating the communication process, chatbots allow businesses to provide high-quality services while reducing the costs incurred." 
Extraction: "While conversational AI chatbot in mobile banking provides a better customer experience, it also helps avoid stressful situations when a direct communication of customer service staff is made with the customers." 
Extraction: "Offer their customers cost-effective and personalized solutions to perform various services."</t>
  </si>
  <si>
    <t>“However, such solutions are very sensitive toward user acceptance and trust, therefore, establishments of meaningful experiences and engagements through interactions and conversations are vital for CAIC (Fahn and Riener 2021).” 
Why can’t we help but love mobi…
“Practitioners need to be cautious of anthropomorphic conversational AI chatbot unintended consequences (Knijnenburg and Willemsen 2016; MacInnis and Folkes 2017). For example, the high level of human-like features in non-human objects may trigger consumers’ high expectations of their cognitive capabilities (Hill and Alexander 2017).”</t>
  </si>
  <si>
    <t>Extraction: "User acceptance and trust are crucial, and meaningful engagements through interactions and conversations are essential." 
Extraction: "However, emotional relationship formation can be challenging in the utilitarian service context of banking." 
Extraction: "Practitioners need to be cautious of anthropomorphic conversational AI chatbot unintended consequences."</t>
  </si>
  <si>
    <t xml:space="preserve">“We recommend that mobile banking conversational AI chatbot developers incorporate those anthropomorphic features that generate smart experience and potential engagements.” </t>
  </si>
  <si>
    <t>Extraction: "Designers of conversational AI chatbots could concentrate on producing genuine anthropomorphic features that encourage smart experiences and engagement, ultimately resulting in customers’ affection for the brand." 
Extraction: "Mobile banking conversational AI chatbot developers incorporate those anthropomorphic features that generate smart experience and potential engagements."</t>
  </si>
  <si>
    <t>Administrative Sciences</t>
  </si>
  <si>
    <t xml:space="preserve">. https://doi.org/10.3390/admsci14080182 </t>
  </si>
  <si>
    <t>Chadi Khneyzer, Zaher Boustany, Jean Dagher</t>
  </si>
  <si>
    <t>Lebanon</t>
  </si>
  <si>
    <t>Chatbots have been reliable tools adopted by organizations to manage customer inquiries and support services (Kouroupis et al. 2021).”
“These AI tools rely on NLP and ML to analyze client requests, deliver engaging information and responses, and transfer customers to human customer service representatives in cases where advanced and manual solutions are required.”
“Organizations are hence able to offer 24/7 customer care, speed up response times, and increase overall customer satisfactions through these technologies (Naslednikov 2024).”
“Chatbots have been programmed to predict customer concerns and answer promptly.”
“In the retail sector, AI tools, including chatbots, assist customers with the description of products, queries, and recommendations while taking into consideration the customer’s browsing history, comments, online interactions, and what they spend the most time looking for online.”</t>
  </si>
  <si>
    <t>Extraction: "Successful businesses have efficiently incorporated AI into CRM for predictive analytics, computer vision, sentiment analysis, tailored suggestions, chatbots and virtual assistants, and voice and speech recognition".
Extraction: "Al systems in CRM are designed to collect data, identify trends, suggest the best course of action, forecast potential results, and automate the customer engagement process".
Extraction: "Chatbots have been reliable tools adopted by organizations to manage customer inquiries and support services".
Extraction: "These Al tools rely on NLP and ML to analyze client requests, deliver engaging information and responses, and transfer customers to human customer service representatives in cases where advanced and manual solutions are required".
Extraction: "In retail, chatbots enhance the shopping experience by providing personalized recommendations and real-time assistance... In tourism, AI chatbots facilitate seamless customer service by handling booking inquiries and providing travel recommendations"</t>
  </si>
  <si>
    <t>"rely on NLP and ML to analyze client requests, deliver engaging information and responses, and transfer customers to human customer service representatives"</t>
  </si>
  <si>
    <t>“AI tools rely on NLP and ML to analyze client requests, deliver engaging information and responses…”
“AI, particularly in the context of CRM, employs machine learning (ML) and deep learning (DL) techniques to extract knowledge from data, recognize trends, make decisions, and learn from mistakes with minimal human intervention.”
“AI-driven chatbots… rely on NLP and ML to analyze client requests…”
“AI technologies, especially natural language processing and machine learning, allow businesses to extract the right and necessary information from massive volumes of data collected…”
“The ability of AI tools such as natural language processing (NLP), predictive analysis (PA), and ML to promote data-driven decisions and streamline processes…</t>
  </si>
  <si>
    <t>Extraction: "Al, particularly in the context of CRM, employs machine learning (ML) and deep learning (DL) techniques to extract knowledge from data, recognize trends, make decisions, and learn from mistakes with minimal human intervention".
Extraction: "Al technologies, especially natural language processing and machine learning, allow businesses to extract the right and necessary information from massive volumes of data collected".
Extraction: "The ability of Al tools such as natural language processing (NLP), predictive analysis (PA), and ML to promote data-driven decisions and streamline processes in businesses has been widely discussed in the literature".
Extraction: "Al-driven chatbots... rely on NLP and ML to analyze client requests".
Extraction: "Organizations must also be able to rapidly and efficiently receive, process, and analyze the growing volume and velocity of customer data... This necessitates fast data pipelines and APIs that can minimize latency and increase availability" .</t>
  </si>
  <si>
    <t>"Al technologies, especially natural language processing and machine learning, allow businesses to extract the right and necessary information from massive volumes of data collected"</t>
  </si>
  <si>
    <t>“The primary advantages identified in this study were the impact of AI-powered chatbots on cost, efficiency, and human performance.”
“The increased productivity and intellectual freedom of human employees, since the load of inquiries normally directed to the employees are now turned to the chatbots and virtual assistants.”
“This enables us as businesses to respond to a greater number of customers without increasing the number of employees, which consequently increases efficiency and reduces the time required to respond to customers.”
“The most evident economic advantage was improved sales because of the enhanced customer experience, satisfaction, and customer support.”
“A third benefit was the reduced cos</t>
  </si>
  <si>
    <t>Extraction: "The automation of time-consuming and mundane tasks not only improved employees’ productivity, but it also promoted organizational performance and expanded the availability of services provided".
Extraction: "The most evident economic advantage was improved sales because of the enhanced customer experience, satisfaction, and customer support. This also contributes to developing habitual behaviors among customers, and thereby leads to increased customer loyalty" .
Extraction: "Al chatbots reduce the need for large customer service teams by handling a substantial volume of inquiries, thus allowing organizations to allocate human resources to more complex tasks that require critical thinking and emotional intelligence. This reallocation of resources not only cuts down labor costs but also enhances the overall productivity and efficiency of the workforce" .</t>
  </si>
  <si>
    <t>"streamline customer service operations by reducing response times and improving the accuracy of information provided to customers."</t>
  </si>
  <si>
    <t>“One major challenge highlighted in the literature is the effect of the increasingly complicated and data-intensive AI systems on the scalability and performance of algorithms and AI architecture…”
“It is also worth noting that such systems require ongoing maintenance and updates to keep up with the ever-changing market and client behaviors.”
“Sensitive data from users and consumers may be misused or compromised as a result of AI’s massive data collection and processing.”</t>
  </si>
  <si>
    <t>Extraction: "One major challenge highlighted in the literature is the effect of the increasingly complicated and data-intensive Al systems on the scalability and performance of algorithms and Al architecture".
Extraction: "One critical level that requires special attention is the ethical consideration or data privacy concern... sensitive data from users and consumers may be misused or compromised as a result of Al’s massive data collection and processing" .</t>
  </si>
  <si>
    <t>"sensitive data from users and consumers may be misused or compromised as a result of Al’s massive data collection and processing."</t>
  </si>
  <si>
    <t>“Businesses should put in place strong data protection mechanisms, such as encryption, anonymization, and access limits.”
“Policies should include clearly defined data governance norms and procedures.”
“Organizations should create and maintain AI frameworks that can monitor and explain the mechanisms underlying AI systems, fostering transparency and trust…”
“Clear rules to guarantee that personalization respects customers’ independence and dignity.”</t>
  </si>
  <si>
    <t>Extraction: "To address these privacy concerns, businesses should put in place strong data protection mechanisms, such as encryption, anonymization, and access limits".
Extraction: "Implementing measures that promote accountability and transparency in AI systems is crucial to reduce this risk since they enable the detection and removal of biased decision-making processes".
Extraction: "Organizations must balance the economic efficiencies gained through Al with the social responsibility of supporting displaced workers, perhaps through retraining programs and new job creation".
Extraction: "Businesses utilizing AI to analyze customer data for personalized encounters must be transparent about the information being collected and the purposes for which it is being utilized".</t>
  </si>
  <si>
    <t>"Implementing measures that promote accountability and transparency in AI systems is crucial to reduce this risk since they enable the detection and removal of biased decision-making processes." "the optimal way for proper customer relationship management is a combination of a human with a chatbot."</t>
  </si>
  <si>
    <t>Computers in Human Behavior</t>
  </si>
  <si>
    <t>https://doi.org/10.1016/j.chb.2024.108238</t>
  </si>
  <si>
    <t>Yuguang Xie, Changyong Liang, Peiyu Zhou, Junhong Zhu</t>
  </si>
  <si>
    <t>“This research pursues two goals: (1) to explore the effect of chatbot humor on improving service satisfaction…”
“We examine how the perceived motivations affect consumer perceptions and attitudes toward chatbot-delivered humorous content in the general context and during service recovery.”
“The results also reveal that service involvement moderates the effect of service type on humor and satisfaction outcomes.”
“Utilitarian and hedonic services often differ in consumer expectations… shaping service satisfaction formation.”
“Service involvement plays a crucial role in shaping how customers process information and evaluate services.”</t>
  </si>
  <si>
    <t>Extraction: "text-based conversational agents (often called chatbots) are increasingly used in the retail and service industries as an alternative to frontline human employees assisting customers."
Extraction: "They are recognized as having many application areas, such as retail, tourism, hospitality, and education, with great potential."
Extraction: "chatbots can fulfill not only the tasks given by the customer during the service but also have casual chats with the customers."
Extraction: "In Study 1a, we designed two experimental scenarios, namely, clothing product information counseling and return information counseling"
Extraction: "In Study 2, the experimental setting was designed to simulate an information consultation scenario for book products"
Extraction: "In Studies 3 and 4, we designed a scenario of information counseling for electronic products"</t>
  </si>
  <si>
    <t>"chit-chat and task-oriented dialogue systems are gradually unified to enable more natural interactions between chatbots and customers""In Study 1a, we designed two experimental scenarios, namely, clothing product information counseling and return information counseling"</t>
  </si>
  <si>
    <t>Extraction:
Information not available in the text.
(The article examines humor strategies, customer perception, and service satisfaction, not the underlying AI models or technical implementation.)</t>
  </si>
  <si>
    <t>Extraction: "As machine learning and natural language processing technologies evolve, text-based conversational agents (often called chatbots) are increasingly used"
Extraction: "a recent study shows that chit-chat and task-oriented dialogue systems are gradually unified to enable more natural interactions between chatbots and customers"
Extraction: "humor plays a significant role in endowing AI with humanizing attributes, serving as a vital affective capability for AI entities, and establishing them as bona fide social actors"
Extraction: "humor is a complicated and multi-dimensional construct... Careful humor selection is critical... Shin et al. (2023) classified humor expressed by chatbots into two dimensions: affiliative humor and aggressive humor... Based on Shin et al.'s study, we further validate the efficacy of affiliative humor expressed by chatbots."</t>
  </si>
  <si>
    <t>"humor plays a significant role in endowing AI with humanizing attributes, serving as a vital affective capability for AI entities, and establishing them as bona fide social actors"  "Shin et al., in their study, classified humor expressed by chatbots into two dimensions: affiliative humor and aggressive humor"</t>
  </si>
  <si>
    <t>“This research pursues two goals: (1) to explore the effect of chatbot humor on improving service satisfaction…”
“Humorous content is frequently used in consumer communication to attract attention, retain information, and generate persuasion… humor can enhance customer perceptions of competence and warmth.”
“Humor can humanize chatbots… thereby improving user emotional responses and satisfaction.”
“Humor could either mitigate or exacerbate consumer perception of apology sincerity and responsibility in service recovery.”
“Consumers enjoyed humor more in low-involvement services than in high-involvement services.”</t>
  </si>
  <si>
    <t>Extraction: "Our study found that chatbots' expression of humor in chit-chat dialogues leads to higher perceived entertainment and service satisfaction for customers; however, chatbots expression of humor in task-oriented dialogues leads to distraction and lower service satisfaction."
Extraction: "humor has improved various aspects of interactions between humans and AI, making them more captivating, engaging, and dependable... It contributes to a higher level of overall interaction enjoyment... and higher satisfaction with the service provided... ultimately promoting order fulfillment"
Extraction: "This implies that expressing humor in task-oriented dialogues still exerts more of a negative effect of humor, further confirming that the effectiveness of humor expressed by chatbots is not uniformly beneficial"
Extraction: "service satisfaction is a significant predictor of customer purchase intention... Interestingly, however, our study did not find service satisfaction to affect repurchase intention significantly."</t>
  </si>
  <si>
    <t>"service satisfaction is a significant predictor of customer purchase intention... Interestingly, however, our study did not find service satisfaction to affect repurchase intention significantly."</t>
  </si>
  <si>
    <t>Humor can humanize chatbots, making them appear friendlier and more engaging, thereby improving user emotional responses…”
“Service involvement plays a crucial role in shaping how customers process information and evaluate services.”
“Humor could either mitigate or exacerbate consumer perception of apology sincerity and responsibility in service recovery.”</t>
  </si>
  <si>
    <t>Extraction: "many chatbots fail to provide meaningful and semantically accurate responses... which results in failing to meet consumer expectations"
Extraction: "Customer perceptions of chatbots often include attributions of machine-like behavior, apathy, social ineptitude, unreliability, and incompetence."
Extraction: "humor distracts attention from simultaneously presented non-humorous information... reduces the ability to use cognitive resources to process information carefully"
Extraction: "Not only are there ethical and moral issues with chatbot identity disclosure... but existing studies point to inconsistent impacts from chatbot identity disclosure"</t>
  </si>
  <si>
    <t>"transparency in the identity of conversational agents is essential for consumer assessment... legal and ethical guidelines now require companies to disclose the non-human identity of AI chatbots in many parts of Europe and the United States."</t>
  </si>
  <si>
    <t>“Consumers enjoyed humor more in low-involvement services than in high-involvement services.”
“The results also reveal that service involvement moderates the effect of service type on humor and satisfaction outcomes.”
“Humor could either mitigate or exacerbate consumer perception of apology sincerity and responsibility in service recovery.”
“Humor can humanize chatbots… improving user emotional responses and satisfaction.”</t>
  </si>
  <si>
    <t>Extraction: "chatbots that incorporate humor in chit-chat dialogues can efficiently capitalize on the benefits of humor... however, chatbots expressing humor in task-oriented dialogues can bring about distraction and lower service satisfaction... Therefore, product designers of chatbots and online retailers are not free to add humor elements to human-AI interactions; they should distinguish the types of interactive dialogues"</t>
  </si>
  <si>
    <t>"they can add humor to chit-chat dialogues (e.g., greeting dialogues or dialogues that do not involve task-specific responses). Conversely, they should avoid adding humor in task-oriented dialogues (e.g., answering a customer's question), where humor can have a negative impact." "product designers of chatbots and online retailers may consider disclosing the AI identities of chatbots in their future product design process, e.g., by using AI avatars and names."</t>
  </si>
  <si>
    <t>Journal of Retailing and Consumer Services</t>
  </si>
  <si>
    <t>https://doi.org/10.1016/j.jretconser.2023.103599</t>
  </si>
  <si>
    <t>Yuguang Xie, Changyong Liang, Peiyu Zhou, Li Jiang</t>
  </si>
  <si>
    <t>“in the online customer service environment, chatbots are a vital strategic asset for online service providers” 
“online customer service… you open the shopping software to browse the products… You decide to contact the store’s customer service and ask for detailed information” (Study 2 scenario) 
“online retail… product returns… you open the shopping software and contact the store’s customer service, ready to ask for detailed return information” (Study 3 scenario)</t>
  </si>
  <si>
    <t>Extraction: "chatbots are increasingly being deployed in online customer service."
Extraction: "Chatbots represent text-based virtual agents, emulating human-to-human interactions"
Extraction: "In Study 1... we choose the online clothing purchase scenario."
Extraction: "In Study 2... we set up the experimental scenario... as a book-buying scenario."
Extraction: "Study 3... The background information for the experiment... Suppose you purchased sportswear online... but after you received it and tried it on, you found that it did not fit, so you were ready to apply for a return."</t>
  </si>
  <si>
    <t>"Chatbots represent text-based virtual agents, emulating human-to-human interactions" 
"In Study 1... we choose the online clothing purchase scenario." 
"In Study 2... we set up the experimental scenario... as a book-buying scenario"</t>
  </si>
  <si>
    <t>Information not available in the text.
(The article studies behavioral effects of chatbot-expressed humor, but provides no technical description of the chatbot technology, algorithms, architectures, or AI techniques.)</t>
  </si>
  <si>
    <t>"Chatbots represent text-based virtual agents, emulating human-to-human interactions through natural language processing methodologies"
Extraction: "empowering chatbots to express positive emotions significantly impacts service evaluations"
Extraction: "Humor has been recognized as a pivotal personality trait that humanizes AI... we focus on the type of humor expressed by chatbots as comic wit."</t>
  </si>
  <si>
    <t>"Humor has been recognized as a pivotal personality trait that humanizes AI... we focus on the type of humor expressed by chatbots as comic wit."</t>
  </si>
  <si>
    <t xml:space="preserve">Extraction:
“chatbots’ comic wit significantly increases customer service satisfaction” 
“chatbot-expressed humor can lead to positive impacts such as increased perceived competence, entertainment, and social presence, increasing their service satisfaction” 
“chatbot-expressed humor significantly increased customers’ perceived social presence… which in turn significantly contributed to increased service satisfaction” 
“empowering chatbots to express positive emotions significantly impacts service evaluations, promising to enhance the customer experience and benefit the organization” 
</t>
  </si>
  <si>
    <t>Extraction: "The results of two online and one laboratory-based experiment show that chatbot-expressed humor can significantly enhance customer service satisfaction."
Extraction: "they can also provide online service providers with greater efficiency, lower labor costs"
Extraction: "The impact of humor on service satisfaction was mediated by competence, entertainment, and social presence."
Extraction: "chatbot-expressed humor led to a discernible increase in customers’ perceived competence of chatbots... The increased perceived competence of chatbots consequently led to increased service satisfaction"</t>
  </si>
  <si>
    <t>"they can also provide online service providers with greater efficiency, lower labor costs" 
"The impact of humor on service satisfaction was mediated by competence, entertainment, and social presence."</t>
  </si>
  <si>
    <t>“Chatbots sometimes give responses with insufficient meaning and semantic inaccuracies… that fail to meet consumer expectations.” 
“customers frequently perceive chatbots as lacking human-like qualities, displaying indifference, social ineptitude, unreliability, and incompetence” 
“Given the significance of the dialog agent’s transparency… service providers encounter a predicament when deciding whether to disclose the identities of their chatbots… if the identities of chatbots are not disclosed, this may violate customers’ rights, which in turn may lead to ethical issues.” 
“chatbot identity transparency comes with an inherent cost… customers have articulated their unease in engaging with chatbots”</t>
  </si>
  <si>
    <t>Extraction: "Despite the optimistic market outlook for chatbots, there remain reservations regarding their efficacy compared to human customer service agents."
Extraction: "Chatbots sometimes give responses with insufficient meaning and semantic inaccuracies... that fail to meet consumer expectations."
Extraction: "Customers frequently perceive chatbots as lacking human-like qualities, displaying indifference, social ineptitude, unreliability, and incompetence"
Extraction: "The uncanny valley theory posits that an AI could elicit unfavorable user responses instead upon surpassing a particular threshold of anthropomorphic similarity."</t>
  </si>
  <si>
    <t>"Because the applicability of humor is contextual, it may be counterproductive when humor expression is perceived as inappropriate" "The uncanny valley theory posits that an AI could elicit unfavorable user responses instead upon surpassing a particular threshold of anthropomorphic similarity"</t>
  </si>
  <si>
    <t>“product designers can include appropriate comic wit elements in the interaction process when designing chatbots… online service providers can also selectively adopt chatbots that can express comic wit” 
“product designers can avoid disclosing the AI identity of chatbots as much as possible… However… this may violate customers’ rights… designers should weigh the pros and cons during the product design and adopt an appropriate solution.” 
“online service providers should consider appropriate target groups… especially active young online customers, to implement the chatbot-expressed humor strategy”</t>
  </si>
  <si>
    <t>Extraction: "product designers can include appropriate comic wit elements in the interaction process when designing chatbots."
Extraction: "product designers can avoid disclosing the AI identity of chatbots as much as possible when providing online services through chatbots... However... if the identities of chatbots are not disclosed, this may violate customers’ rights"</t>
  </si>
  <si>
    <t>"product designers can avoid disclosing the AI identity of chatbots as much as possible when providing online services through chatbots... However... if the identities of chatbots are not disclosed, this may violate customers’ rights" 
"online service providers should consider appropriate target groups, especially active young online customers, to implement the chatbot-expressed humor strategy" 
"online service providers can also selectively adopt chatbots that can express comic wit to provide online customer service."</t>
  </si>
  <si>
    <t>IGI Global (Livro/Editora)</t>
  </si>
  <si>
    <t>10.4018/979-8-3693-2794-4</t>
  </si>
  <si>
    <t>Nitendra Kumar (Amity Business School, Amity University, Noida, India), Surya Kant Pal (Sharda University, Greater Noida, India), Priyanka Agarwal (Amity Business School, Amity University, Noida, India), Joanna Rosak-Szyrocka (Częstochowa University of Technology, Poland), and Vishal Jain (Sharda University, Greater Noida, India)</t>
  </si>
  <si>
    <t>“impacting Industry 5.0 strategies, sustainability plans, and customer services.”</t>
  </si>
  <si>
    <t>Extraction: "Industry 5.0 is poised to redefine the collaboration between humans and machines".
Extraction: "integration of emotional intelligence into the industrial landscape</t>
  </si>
  <si>
    <t>“the integration of emotional intelligence into the industrial landscape.”
“artificial emotional intelligence (AEI)”
“emotional intelligence integration”</t>
  </si>
  <si>
    <t>"artificial emotional intelligence (AEI)"</t>
  </si>
  <si>
    <t>“impacting Industry 5.0 strategies, sustainability plans, and customer services.”
“The challenge lies in managing the delicate balance between human and machine collaboration…”</t>
  </si>
  <si>
    <t>ethically deploy artificial emotional intelligence (AEI)”
“ensuring ethical considerations are at the forefront of AI deployment.”
“Organizations grapple with the urgent need to understand, strategize, and ethically deploy artificial emotional intelligence…</t>
  </si>
  <si>
    <t>Extraction: "A critical challenge emerges - the integration of emotional intelligence into the industrial landscape"</t>
  </si>
  <si>
    <t>“This pivotal juncture calls for a comprehensive resource that explores the theoretical foundations but offers practical insights into the applications, challenges, and responsible deployment of AEI.”</t>
  </si>
  <si>
    <t>Extraction: Information not available in the text. (The text notes the "absence of a cohesive guide addressing the intricacies of AEI in Industry 5.0" ).</t>
  </si>
  <si>
    <t>Journal of Business Research.</t>
  </si>
  <si>
    <t>https://www.sciencedirect.com/science/article/pii/S0148296325004849?via%3Dihub</t>
  </si>
  <si>
    <t>Junzhe Gao; Abdullah Promise Opute; Caroline Jawad; Meng Zhan</t>
  </si>
  <si>
    <t>China &amp; United Kingdom</t>
  </si>
  <si>
    <t>"The rapid advancement of artificial intelligence (AI) technology has led to its widespread application across various fields, including e-commerce platforms."
"AI chatbots, powered by large data models, have emerged as a crucial tool for enhancing customer service and user experience."</t>
  </si>
  <si>
    <t>"The rapid advancement of artificial intelligence (AI) technology has led to its widespread application across various fields, including e-commerce platforms." "AI chatbots, powered by large data models, have emerged as a crucial tool for enhancing customer service and user experience." "This study aims to investigate the impact of AI chatbot problem-solving capabilities on users’ intention to continue using these services within e-commerce platforms."</t>
  </si>
  <si>
    <t>"This study aims to investigate the impact of AI chatbot problem-solving capabilities on users’ intention to continue using these services within e-commerce platforms."
"By integrating elements from the Expectation-Confirmation Model (ECM) and the Technology Acceptance Model (TAM), a comprehensive research model is proposed to examine the relationships between problem-solving, confirmation, perceived ease of use, satisfaction, trust, and continued usage intention."</t>
  </si>
  <si>
    <t>"AI chatbots, powered by large data models, have emerged as a crucial tool for enhancing customer service and user experience." "By integrating elements from the Expectation-Confirmation Model (ECM) and the Technology Acceptance Model (TAM), a comprehensive research model is proposed..." "The study employs structural equation modelling (SEM) to analyse data collected from 315 participants through an online questionnaire."</t>
  </si>
  <si>
    <t>"By integrating elements from the Expectation-Confirmation Model (ECM) and the Technology Acceptance Model (TAM), a comprehensive research model is proposed to examine the relationships between problem-solving, confirmation, perceived ease of use, satisfaction, trust, and continued usage intention."</t>
  </si>
  <si>
    <t>"The study employs structural equation modelling (SEM) to analyse data collected from 315 participants through an online questionnaire."</t>
  </si>
  <si>
    <t>"problem-solving abilities positively influence users’ confirmation, which in turn positively affects satisfaction, perceived ease of use, and trust." "Furthermore, perceived ease of use exhibits a positive impact on satisfaction, trust, and continued usage intention." "Satisfaction and trust have a positive impact on continued usage intention, with satisfaction showing a stronger influence than both problem-solving ability and ease of use."</t>
  </si>
  <si>
    <t>"problem-solving abilities positively influence users’ confirmation, which in turn positively affects satisfaction, perceived ease of use, and trust."
"Furthermore, perceived ease of use exhibits a positive impact on satisfaction, trust, and continued usage intention."</t>
  </si>
  <si>
    <t>"The findings reveal that problem-solving abilities positively influence users’ confirmation, which in turn positively affects satisfaction, perceived ease of use, and trust."
"Furthermore, perceived ease of use exhibits a positive impact on satisfaction, trust, and continued usage intention."
"Satisfaction and trust have a positive impact on continued usage intention, with satisfaction showing a stronger influence than both problem-solving ability and ease of use."</t>
  </si>
  <si>
    <t>alucina</t>
  </si>
  <si>
    <t>"The study contributes to the theoretical understanding of user perceptions and behaviours in AI-driven interactions within e-commerce platforms."
"It highlights the importance of problem-solving capabilities, perceived ease of use, satisfaction, and trust in driving users’ continued engagement with AI chatbots."
"Practical implications for AI technology developers and e-commerce companies are discussed, emphasizing the need to focus on enhancing chatbots’ problem-solving proficiency and user-friendliness to foster long-term user retention."
"Future research directions are proposed, addressing the study’s limitations and exploring the generalizability of the findings beyond the e-commerce context."</t>
  </si>
  <si>
    <t>"Practical implications for AI technology developers and e-commerce companies are discussed, emphasizing the need to focus on enhancing chatbots’ problem-solving proficiency and user-friendliness to foster long-term user retention."</t>
  </si>
  <si>
    <t>Appetite.</t>
  </si>
  <si>
    <t>https://www.sciencedirect.com/science/article/abs/pii/S019566632500371X?via%3Dihub</t>
  </si>
  <si>
    <t>Xiyu Guo; Xiaoang Wan</t>
  </si>
  <si>
    <t>"Customized chatbot personas can meet the personalized needs of consumers and enhance user engagement in human-chatbot interactions."</t>
  </si>
  <si>
    <t>"Customized chatbot personas can meet the personalized needs of consumers and enhance user engagement in human-chatbot interactions." "We conducted a study to investigate the influence of interacting with a chatbot customized as a health coaching assistant versus a gourmet recommendation assistant on participants’ food choices." "The findings highlight the potential of human-AI interactions in promoting sustainability and offer implications for the design and implementation of chatbots in the restaurant industry."</t>
  </si>
  <si>
    <t>"We conducted a study to investigate the influence of interacting with a chatbot customized as a health coaching assistant versus a gourmet recommendation assistant on participants’ food choices."</t>
  </si>
  <si>
    <t>"Customized chatbot personas can meet the personalized needs of consumers and enhance user engagement in human-chatbot interactions." "We conducted a study to investigate the influence of interacting with a chatbot customized as a health coaching assistant versus a gourmet recommendation assistant..."</t>
  </si>
  <si>
    <t>"Participants were instructed to choose three dishes from a set of two meat and two vegetable options to compose a three-dish meal, both before and after they interacted with the health coaching assistant or the gourmet recommendation assistant."</t>
  </si>
  <si>
    <t>"The results revealed a significant decrease in the frequency of meat-heavy meal selections after participants interacted with the health coaching assistant, compared to the gourmet recommendation assistant." "These findings suggest that interacting with chatbots tailored as health coaching assistants can effectively nudge consumers toward more sustainable food choices."</t>
  </si>
  <si>
    <t>"The results revealed a significant decrease in the frequency of meat-heavy meal selections after participants interacted with the health coaching assistant, compared to the gourmet recommendation assistant."
"These findings suggest that interacting with chatbots tailored as health coaching assistants can effectively nudge consumers toward more sustainable food choices."</t>
  </si>
  <si>
    <t>"The results revealed a significant decrease in the frequency of meat-heavy meal selections after participants interacted with the health coaching assistant, compared to the gourmet recommendation assistant."</t>
  </si>
  <si>
    <t>"These findings highlight the potential of human-AI interactions in promoting sustainability and offer implications for the design and implementation of chatbots in the restaurant industry."</t>
  </si>
  <si>
    <t>Scientific Programming (periódico da Hindawi).</t>
  </si>
  <si>
    <t>https://onlinelibrary.wiley.com/doi/10.1155/2019/5941096</t>
  </si>
  <si>
    <t>Bushra Ramzan; Imran Sarwar Bajwa; Noreen Jamil; Riaz Ul Amin; Shabana Ramzan; Farhan Mirza; Nadeem Sarwar</t>
  </si>
  <si>
    <t>Pakistan</t>
  </si>
  <si>
    <t>"In recent times, selection of a suitable hotel location and reservation of accommodation have become a critical issue for the travelers."
"The online hotel search has been increased at a very fast pace and became very time-consuming due to the presence of huge amount of online information."
"The nature of most of the data on Internet and web is heterogeneous becoming a hurdle for recommender systems because conventional recommender systems are dealing with homogenous data only which compromises the performance of hotel recommendation systems."
"Complex data in the multiple forms such as numeric, text, and visuals require developers’ attention to develop recommender systems dealing with the heterogeneity of data."
"So the main challenge in this paper is to develop an intelligent approach which processes and analyzes large heterogeneous web data to achieve true hotel recommendations which are relevant to the customer’s choice."</t>
  </si>
  <si>
    <t>"In recent times, selection of a suitable hotel location and reservation of accommodation have become a critical issue for the travelers." "The online hotel search has been increased at a very fast pace and became very time-consuming due to the presence of huge amount of online information." "Recommender systems (RSs) are getting importance due to their significance in making decisions and providing detailed information about the required product or a service." "The developed system not only has the ability to handle heterogeneous data using big data Hadoop platform but it also recommends hotel class based on guest type using fuzzy rules."</t>
  </si>
  <si>
    <t>“In recent times, selection of a suitable hotel location and reservation of accommodation have become a critical issue for the travelers.”
“The online hotel search has been increased at a very fast pace and became very time-consuming due to the presence of huge amount of online information.”</t>
  </si>
  <si>
    <t>"To generate true recommendations, we have proposed an intelligent approach which also deals with large-sized heterogeneous data to fulfill the needs of the potential customers."
"So the main challenge in this paper is to develop an intelligent approach which processes and analyzes large heterogeneous web data to achieve true hotel recommendations which are relevant to the customer’s choice."</t>
  </si>
  <si>
    <t>"The collaborative filtering (CF) approach is one of the most popular techniques of the RS to generate recommendations." "We have proposed a novel CF recommendation approach in which opinion-based sentiment analysis is used to achieve hotel feature matrix by polarity identification." "Our approach combines lexical analysis, syntax analysis, and semantic analysis to understand sentiment towards hotel features and the profiling of guest type (solo, family, couple etc)." "The developed system not only has the ability to handle heterogeneous data using big data Hadoop platform but it also recommends hotel class based on guest type using fuzzy rules." "We have proposed a novel CF recommendation approach in which opinion-based sentiment analysis is used to achieve hotel feature matrix by polarity identification."</t>
  </si>
  <si>
    <t>“The collaborative filtering (CF) approach is one of the most popular techniques of the RS to generate recommendations.”
“We have proposed a novel CF recommendation approach in which opinion-based sentiment analysis is used to achieve hotel feature matrix by polarity identification.”
“Our approach combines lexical analysis, syntax analysis, and semantic analysis to understand sentiment towards hotel features and the profiling of guest type (solo, family, couple etc).”
“The developed system not only has the ability to handle heterogeneous data using big data Hadoop platform but it also recommends hotel class based on guest type using fuzzy rules.”
“To handle the diversity of heterogeneous data as the presented approach uses both numeric data as well as textual data, a big data solution involving Hadoop was used in our approach because it efficiently handles data heterogeneity and data diversity in a better way.”</t>
  </si>
  <si>
    <t>"The collaborative filtering (CF) approach is one of the most popular techniques of the RS to generate recommendations."
"We have proposed a novel CF recommendation approach in which opinion-based sentiment analysis is used to achieve hotel feature matrix by polarity identification."
"Our approach combines lexical analysis, syntax analysis, and semantic analysis to understand sentiment towards hotel features and the profiling of guest type (solo, family, couple etc)."
"The proposed system recommends hotels based on the hotel features and guest type for personalized recommendation."
"The developed system not only has the ability to handle heterogeneous data using big data Hadoop platform but it also recommends hotel class based on guest type using fuzzy rules."
"Different experiments are performed over the real-world datasets obtained from two hotel websites."
"Moreover, the values of precision and recall and F-measure have been calculated, and the results are discussed in terms of improved accuracy and response time, significantly better than the traditional approaches."
"To handle the diversity of heterogeneous data as the presented approach uses both numeric data as well as textual data, a big data solution involving Hadoop was used in our approach because it efficiently handles data heterogeneity and data diversity in a better way."
"Machine learning classification is the one of the most useful techniques for the sentiment classification of categorized text into positive, negative, or neutral categories."</t>
  </si>
  <si>
    <t>"The recommender systems (RSs) have turned the notice of the business society and the common man towards itself due to its significance and importance in the e-commerce and achievement of superior customer’s approval." "Nowadays e-commerce is believed to be strongly connected to the customer’s satisfaction, and an ultimate success is always dependent on customer loyalty." "Moreover, the values of precision and recall and F-measure have been calculated, and the results are discussed in terms of improved accuracy and response time, significantly better than the traditional approaches."</t>
  </si>
  <si>
    <t>“Moreover, the values of precision and recall and F-measure have been calculated, and the results are discussed in terms of improved accuracy and response time, significantly better than the traditional approaches.”</t>
  </si>
  <si>
    <t>"Moreover, the values of precision and recall and F-measure have been calculated, and the results are discussed in terms of improved accuracy and response time, significantly better than the traditional approaches."</t>
  </si>
  <si>
    <t>"To acquire the hotel recommendations while dealing with textual hotel reviews, numerical ranks, votes, ratings, and number of video views have become difficult." "The nature of most of the data on Internet and web is heterogeneous becoming a hurdle for recommender systems because conventional recommender systems are dealing with homogenous data only which compromises the performance of hotel recommendation systems." "Complex data in the multiple forms such as numeric, text, and visuals require developers’ attention to develop recommender systems dealing with the heterogeneity of data." "While dealing with diverse nature of data in our multifeature hotel recommendation system, the main challenge was the opinion mining/sentiment analysis of users’ reviews to calculate a polarity score which represents the degree of likeness or dislikeness about a hotel by a user."</t>
  </si>
  <si>
    <t>“The nature of most of the data on Internet and web is heterogeneous becoming a hurdle for recommender systems because conventional recommender systems are dealing with homogenous data only which compromises the performance of hotel recommendation systems.”
“Complex data in the multiple forms such as numeric, text, and visuals require developers’ attention to develop recommender systems dealing with the heterogeneity of data.”</t>
  </si>
  <si>
    <t>"Our proposed recommender system gives two-fold novelty and advantage; first, it uses a hotel feature matrix to recommend a suitable hotel to a user on the basis of both quantitative (numerical) and qualitative (textual) features by using machine learning classification to achieve true recommendations; it mines user contextual information and extracts sentiments from reviews by analyzing the other travelers’ reviews together with the ranks, votes, and YouTube video views to improve the recommendation accuracy."
"Second, a fuzzy module provides the recommendation of hotels in a particular type of user such as solo, family, business, friends, and couple because recommendations will be different based on type of user trip and user preference."
"The developed system not only has the ability to handle heterogeneous data using big data Hadoop platform but it also recommends hotel class based on guest type using fuzzy rules."
"The proposed system recommends hotels based on the hotel features and guest type for personalized recommendation."</t>
  </si>
  <si>
    <t>"To generate true recommendations, we have proposed an intelligent approach which also deals with large-sized heterogeneous data to fulfill the needs of the potential customers." "To handle the diversity of heterogeneous data as the presented approach uses both numeric data as well as textual data, a big data solution involving Hadoop was used in our approach because it efficiently handles data heterogeneity and data diversity in a better way."</t>
  </si>
  <si>
    <t>“To generate true recommendations, we have proposed an intelligent approach which also deals with large-sized heterogeneous data to fulfill the needs of the potential customers.”
“To handle the diversity of heterogeneous data as the presented approach uses both numeric data as well as textual data, a big data solution involving Hadoop was used in our approach because it efficiently handles data heterogeneity and data diversity in a better way.”</t>
  </si>
  <si>
    <t>Journal of Global Information Management</t>
  </si>
  <si>
    <t>https://dl.acm.org/doi/10.4018/JGIM.365600</t>
  </si>
  <si>
    <t>Serge-Lopez Wamba-Taguimdje, Samuel Fosso Wamba, and Hossana Twinomurinzi</t>
  </si>
  <si>
    <t>France and South Afric</t>
  </si>
  <si>
    <t>"Such impacts in the healthcare sector, for instance, comprise the optimization of diagnostics and the prediction of diseases and preliminary diagnoses" 
"in finance, AI is fostering algorithms to automate fraud detection, portfolio management, risk analysis, or financial decision-making" 
"Al technologies are mobilized to personalize product/service recommendations, maintenance, operations, supply chain management, or task automation" 
"transforming sectors of activity: education... banking... tourism... recycling... and the service industry"</t>
  </si>
  <si>
    <t>não tem</t>
  </si>
  <si>
    <t xml:space="preserve">Information not available in the text.
</t>
  </si>
  <si>
    <t>"generative AI (GenAI) chatbot ChatGPT... offering advanced conversational assistance powered by deep learning and broad language models" 
"ChatGPT is built on a modified version of its Instruct GPT model and trained on an extensive dataset to respond to various queries effectively" 
"Key features... Large Scale... Conversational... Multi-Task... Contextual... Personalized... Open Source"</t>
  </si>
  <si>
    <t>The article analyzes trust, satisfaction, and sustained usage of ChatGPT:
“studies examine factors influencing continuous use, including users’ perceived risks, perceived benefits, trust, and satisfaction.” 
Why_Should_Users_Take_the_Risk_…
It examines risk–benefit tradeoffs as predictors of ongoing use:
“risk–benefit tradeoff … influences users’ continued engagement with AI tools.” 
Why_Should_Users_Take_the_Risk_…</t>
  </si>
  <si>
    <t>"user competence and autonomy dramatically increase a user's trust in ChatGPT, and trust improves hedonic value (HV), utilitarian value (UV), value-in-use, perceived task-technology fit (TTF), information accuracy, knowledge acquisition, perceived informativeness, and user satisfaction"</t>
  </si>
  <si>
    <t xml:space="preserve">
It examines risk–benefit tradeoffs as predictors of ongoing use:
“risk–benefit tradeoff … influences users’ continued engagement with AI tools.” “studies examine factors influencing continuous use, including users’ perceived risks, perceived benefits, trust, and satisfaction.” 
</t>
  </si>
  <si>
    <t>“risk perceptions… influence sustainable use decisions” 
Why_Should_Users_Take_the_Risk_…
Mentions of ethical considerations in referenced studies, such as:
“Ethics-based AI auditing… systematic literature review on conceptualizations of ethical principles…”</t>
  </si>
  <si>
    <t>"widespread adoption of AI technologies or applications raises concerns about security, data confidentiality, and the reliability of the information generated" 
"security, privacy, ethics, detection, and classification are the risks associated with ChatGPT" 
"perceived privacy concerns, perceived privacy risks, and privacy awareness" 
"biases these systems can present"</t>
  </si>
  <si>
    <t>“risk perceptions… influence sustainable use decisions” 
“Ethics-based AI auditing… systematic literature review on conceptualizations of ethical principles…”</t>
  </si>
  <si>
    <t>"implementing acculturation strategies on the dangers of AI technologies to educate the public" 
"focus on product features, functionalities, and performance that satisfy an expressed or implicit consumer need" 
"tailor their strategies to enhance user experience and trust in AI technologies" 
"increasing users' GenAI chatbot risk perception knowledge" 
"companies can provide more ethical solutions without negatively affecting users' decision-making processes"</t>
  </si>
  <si>
    <t>Não tem</t>
  </si>
  <si>
    <t>https://www.researchgate.net/publication/389916184_The_Healthy_Aging_and_Service_Firms_The_Promise_of_Smart_Technologies</t>
  </si>
  <si>
    <t>Jochen Wirtz, John E. G. Bateson, Martina Čaić, Darius-Aurel Frank, and Nina Veflen</t>
  </si>
  <si>
    <t>Singapore, UK, Finland, Denmark, Norway</t>
  </si>
  <si>
    <t>"The WHO defines healthy aging as 'the process of developing and maintaining the functional ability that enables well-being in older age'" 
"The aging of the population is caused by two forces: fertility and life expectancy." 
"The over-65s are expected to account for nearly 60% of all consumption growth in Western Europe and generate nearly half of the spending growth in the USA this decade" 
"focuses on enabling individuals to lead active, independent, and fulfilling lives by minimizing the effects of age-related health issues, supporting functional capacity (i.e. physical, cognitive, and socio-emotional capacities), and improving the overall quality of life"</t>
  </si>
  <si>
    <t>“The most notable recent advancements in technology are spearheaded by intelligent automation (IA), artificial intelligence (AI), and service robots, and their integration and combination with generative AI (GenAI) and agentic AI…” 
“AI is regarded as any type of machine intelligence that mimics human intelligence… with agentic AI being the latest development in GenAI’s abilities to autonomously serve and support customers.”</t>
  </si>
  <si>
    <t>"advancements in technology are spearheaded by intelligent automation (IA), artificial intelligence (AI), and service robots, and their integration and combination with generative AI (GenAI) and agentic AI" 
"Service robots, for example, are versatile in that they help aging customers navigate through retail stores at their own pace and convenience" 
"Voice assistants can eliminate difficulties with reading small fonts or operating fiddly buttons, answer questions, and turn on the music and TV" 
"AI built into wearable devices helps customers track progress, receive location-aware information, and provide assistive functions that can help them achieve their desired outcomes" 
"digital food photography technology, powered by AI systems, helps users keep track of dietary intake, and make more informed and healthier food choices"</t>
  </si>
  <si>
    <t>“Smart technologies can be used to enhance the service experience… and generate significant market opportunities for service firms.” 
“As the market grows… there is a surge in the need for the development of new technological solutions.” 
“Service firms are under pressure to adopt smart technologies… The challenge… is to utilize existing technologies in new ways and design multi-purpose, multi-use service technologies…” 
“By adapting these services, firms can not only enhance customers’ satisfaction but also improve their well-being.” 
“Making services ‘easier to use’ has special benefits for healthy aging… however, all groups may appreciate the new processes and systems.” 
“Technology allows cost-effective personalization.”</t>
  </si>
  <si>
    <t>"smart technologies can be used to enhance the service experience (also referred to as 'customer experience' or 'CX' in the remainder of this article) of the healthy aging and generate significant market opportunities for service firms." 
"In hedonic services, the role of technology focuses on making every aspect of a service experience more pleasurable and positive." 
"streamlining service experiences to reduce time and effort and thereby making the firm 'easy to do business with.'" 
"By adapting these services, firms can not only enhance customers' satisfaction but also improve their well-being."</t>
  </si>
  <si>
    <t>“Technology can act as a barrier or a facilitator and has a strong impact on the accessibility and inclusiveness of various public and private sector services…” 
Wirtzetal_2025HealthyAgingServi…
“There are serious ethical, fairness and privacy risks.” 
Wirtzetal_2025HealthyAgingServi…
“Ageism… acts as a barrier to understanding and effectively serving older consumers.” 
Wirtzetal_2025HealthyAgingServi…
“Research will be needed to validate frameworks and support regulation to ensure the ethical, fair and responsible serving of aging consumers.”</t>
  </si>
  <si>
    <t>"Ageism can hurt service firms in two ways. First, it presents a substantial risk to a firm's reputation and can lead to legal issues." 
"large-scale application of smart service technologies for aging customers can carry serious ethical, fairness and privacy risks" 
"While AI technology can potentially ease the feeling of loneliness by simulating interaction, it cannot replicate the depth or authenticity of human relationships" 
"Overused and as a substitute for real human contact, there is a risk of further isolation and an increased feeling of loneliness."</t>
  </si>
  <si>
    <t>“Firms are already adapting… credit card machines with bigger, brighter screens… larger font faces on menus… making services ‘easier to use’…” 
Wirtzetal_2025HealthyAgingServi…
“Technology allows cost-effective personalization.” 
Wirtzetal_2025HealthyAgingServi…
“We advocate a shift from viewing age chronologically to assessing it functionally…” 
Wirtzetal_2025HealthyAgingServi…
“Service firms need to commit resources and implement innovation strategies that allow them to design offerings tailored for the healthy aging.” 
Wirtzetal_2025HealthyAgingServi…
“Human-aging-centric design principles… inclusivity, personalization, simplicity, safety, independence.”</t>
  </si>
  <si>
    <t>"shift from viewing age chronologically to assessing it functionally (also referred to as 'biological age'), while dismantling outdated stereotypes about aging." 
"design human-aging-centered design principles, fostering inclusivity (e.g. barrier-free servicescapes), personalization (e.g. customizable features), simplicity (e.g. intuitive interfaces), safety (e.g. security features) and independence" 
"Service firms can learn from their healthy older customers on how to better adapt their processes, technologies, and service environments to serve this segment better." 
"create awareness of such discrimination and build values of inclusion and diversity deep into a service firm's culture" 
"Interactive platforms, educational apps, and personalized services can help users navigate complex information and enhance their literacy in areas like healthy living, financial planning, and overall self-management."</t>
  </si>
  <si>
    <t>Journal of Hospitality and Tourism Insights</t>
  </si>
  <si>
    <t>https://doi.org/10.1108/JHTI-01-2024-0126</t>
  </si>
  <si>
    <t>Ka Leong Chong; Ge Zhang</t>
  </si>
  <si>
    <t>Malaysia</t>
  </si>
  <si>
    <t>The article does not describe customer service workflows, automation processes, CRM systems, or AI agent operations; it only discusses consumer perceptions of robot baristas.</t>
  </si>
  <si>
    <t>“Information not available in the text.”</t>
  </si>
  <si>
    <t>“Employing the extended Technology Acceptance Model 2 as its theoretical framework, this research conducts in-depth interviews with 30 Chinese coffee consumers. The laddering technique is utilized, supplemented by video simulation. Thematic analysis is subsequently employed to scrutinize the data.”</t>
  </si>
  <si>
    <t>“The findings delineate six pivotal themes… Perceived Efficiency and Reliability… Perceived Labour Market Disruption.”
“Understanding consumer perceptions of robotic baristas has broader social implications, particularly in terms of labour market disruption and the potential impact on traditional coffee professions.”</t>
  </si>
  <si>
    <t>"The findings delineate six pivotal themes encapsulating Chinese coffee consumers' perceptions of robot baristas – ... Perceived Efficiency and Reliability, ... and Perceived Labour Market Disruption. ... Understanding consumer perceptions of robotic baristas has broader social implications, particularly in terms of labour market disruption and the potential impact on traditional coffee professions."</t>
  </si>
  <si>
    <t>Only perceptions of efficiency and labor impact are mentioned, not actual measured organizational outcomes.</t>
  </si>
  <si>
    <t>“Perceived Efficiency and Reliability”</t>
  </si>
  <si>
    <t>"The findings delineate six pivotal themes encapsulating Chinese coffee consumers' perceptions of robot baristas – Perceived Introvert Friendliness, Perceived Novelty, Perceived Intellectual Discrepancies, Perceived Efficiency and Reliability, Perceived Emotional Disconnection, and Perceived Labour Market Disruption. ... Businesses can navigate the social implications of automation more effectively and foster greater acceptance of technological innovations within society."</t>
  </si>
  <si>
    <t>“The findings of this study offer guidance on how to market and position robotic barista services to appeal to consumer preferences and drive adoption.”</t>
  </si>
  <si>
    <t>"The findings of this study offer guidance on how to market and position robotic barista services to appeal to consumer preferences and drive adoption. ... This study offers insights into the inclinations of Chinese coffee consumers, thereby facilitating informed decision-making and the formulation of effective strategies to expedite the adoption of robotic service."</t>
  </si>
  <si>
    <t xml:space="preserve">Service Industries Journal. </t>
  </si>
  <si>
    <t>The social assumption in service redefined by AI-mediated zero-social-touch services.</t>
  </si>
  <si>
    <t>https://doi.org/10.1080/02642069.2024.2418315</t>
  </si>
  <si>
    <t>David Diwei Lv; Weiming Qiu; Erin Cho.</t>
  </si>
  <si>
    <t>“AI-Mediated Human Services: explore both awareness of AI interactions and preference toward AI service agents.” 
“AI can serve the purpose and utility functions without obliging responsive interactions.” 
“AI service agents are neither human nor in need of contingent obligations.” 
“Consumers do not expect empathy, reciprocity or responsive engagement from AI agents.”</t>
  </si>
  <si>
    <t>"AI-mediated zero-social-touch service models are emerging, enabling service recipients to interact without human representatives."</t>
  </si>
  <si>
    <t>“AI-Mediated Human Services: explore both awareness of AI interactions and preference toward AI service agents.”
“AI can serve the purpose and utility functions without obliging responsive interactions.”
“AI service agents are neither human nor in need of contingent obligations.”</t>
  </si>
  <si>
    <t>AI-mediated zero-social-touch service models that integrate advanced AI capabilities as novel operant resources.
Advanced technologies such as natural language processing , computer vision , and machine learning.
Conversational AI and emotional computing.
AI agents based on large language models.
Automated algorithms that analyze inputs based on pattern recognition models trained on extensive empirical data.
Machine learning optimization embedded in zero-social-touch service.
The core concept is AI acting as an intelligent, adaptive technological operant resource or Al mediator in a triadic interaction model.</t>
  </si>
  <si>
    <t>“AI can serve the purpose and utility functions without obliging responsive interactions.”
“AI agents can have unlimited capacity and multiply beyond individual limitations.”
“AI service agents circumvent social obligations…”</t>
  </si>
  <si>
    <t>“AI agents… eliminate anxiety about human judgment.” 
“AI minimizes the need for mutual engagement.” 
“AI service agents circumvent social obligations.”</t>
  </si>
  <si>
    <t>Automation can improve operational efficiency , lower costs , and provide unprecedented economies of scale and scope compared to relying on human employees for customized recommendations.
AI-mediated zero-social-touch services can redefine quality standards through operational efficiencies and by delivering unprecedented levels of customization and personalization at scale that surpass the limitations of human representatives and static SSTs.
AI-mediated automation transforms philosophical properties of service experiences including co-creation activities, customization, reciprocity, and emotional bonds.
The necessity of social exchange and participation long considered indivisible from service ontology becomes questionable.
AI systems can be scaled at close to zero incremental cost.
The new quality paradigm includes increased cost efficiencies and seamless user experiences.
Human roles are restructured: human service providers maintain an indispensable role, but their participation gets restructured through the AI mediator. Staff concentrate expertise on core offerings, while technology assumes coordination, overcoming inherent communication limitations that previously hindered service quality.
Potential negative impacts include concerns about employment displacement and the risk of diminishing exceptional superior human-to-human experiences by compressing the overall experience range towards averageness.</t>
  </si>
  <si>
    <t>“AI minimizes the need for mutual engagement.”
“Consumers do not expect empathy, reciprocity or responsive engagement from AI agents.”
“AI agents… eliminate anxiety about human judgment.”</t>
  </si>
  <si>
    <t>"how the advent of AI-mediated automation challenges the ingrained assumption of interpersonal exchange as an inseparable element defining service."</t>
  </si>
  <si>
    <t>“AI service agents circumvent social obligations, remove the need for mutual expectations…”</t>
  </si>
  <si>
    <t>"we develop a conceptual framework to analyze how introducing AI-mediated automated systems alters participation roles, customization, and other socially embedded properties during service. ... developing fresh perspectives on the evolving nature of techno-mediated participation."</t>
  </si>
  <si>
    <t>The article is philosophical and conceptual.
It does not provide organizational frameworks or implementation steps.</t>
  </si>
  <si>
    <t>Proceedings of 5th International Conference on Soft Computing for Security Applications, ICSCSA 2025</t>
  </si>
  <si>
    <t>10.1109/ICSCSA66339.2025.11170704</t>
  </si>
  <si>
    <t>S. Thambireddy, V. R. Reddy Bussu, H. Madathala, V. Mane and C. Inamdar</t>
  </si>
  <si>
    <t>United States</t>
  </si>
  <si>
    <t>“evaluating AI capabilities across three primary business domains: Finance, Supply Chain, and Customer Experience.”
“Key findings reveal 25+ specific AI use cases spanning from machine learning-driven demand forecasting to generative AI-powered content creation, with particular emphasis on process automation in tax compliance, visual inspection, and intelligent sales execution.”</t>
  </si>
  <si>
    <t>"evaluating AI capabilities across three primary business domains: Finance, Supply Chain, and Customer Experience. ... Key findings reveal 25+ specific AI use cases spanning from machine learning-driven demand forecasting to generative AI-powered content creation, with particular emphasis on process automation in tax compliance, visual inspection, and intelligent sales execution."</t>
  </si>
  <si>
    <t>Relevant information available.</t>
  </si>
  <si>
    <t>“We examine the technical architecture of SAP’s AI foundation, including the Joule copilot framework, SAP Business Technology Platform (BTP) integration, and the company’s responsible AI governance structure.”
“The analysis identifies SAP’s multi-layered AI approach incorporating foundation models, large language models, and domain-specific algorithms integrated through a unified platform architecture.”</t>
  </si>
  <si>
    <t>"We examine the technical architecture of SAP’s AI foundation, including the Joule copilot framework, SAP Business Technology Platform (BTP) integration... The analysis identifies SAP’s multi-layered AI approach incorporating foundation models, large language models, and domain-specific algorithms integrated through a unified platform architecture."</t>
  </si>
  <si>
    <t>“These findings demonstrate significant implications for enterprise digital transformation strategies, highlighting the evolution from traditional ERP systems to AI-native business platforms that enhance decision-making capabilities and operational efficiency across critical business processes.”</t>
  </si>
  <si>
    <t>"These findings demonstrate significant implications for enterprise digital transformation strategies, highlighting the evolution from traditional ERP systems to AI-native business platforms that enhance decision-making capabilities and operational efficiency across critical business processes."</t>
  </si>
  <si>
    <t xml:space="preserve">“We examine the technical architecture of SAP’s AI foundation, including the Joule copilot framework, SAP Business Technology Platform (BTP) integration, and the company’s responsible AI governance structure.”
</t>
  </si>
  <si>
    <t>"examining the current state of AI-enabled process optimization across enterprise domains... and the company’s responsible AI governance structure."</t>
  </si>
  <si>
    <t>Limited but relevant information available.</t>
  </si>
  <si>
    <t>“This paper presents a systematic survey of AI use cases and implementation frameworks within SAP business applications, examining the current state of AI-enabled process optimization across enterprise domains.”</t>
  </si>
  <si>
    <t>Minimal relevant information available.</t>
  </si>
  <si>
    <t>Journal of Hospitality and Tourism Technology</t>
  </si>
  <si>
    <t>10.1108/JHTT-04-2024-0261</t>
  </si>
  <si>
    <t xml:space="preserve">Ali M, Khan TI, Şener İ </t>
  </si>
  <si>
    <t>Turquia</t>
  </si>
  <si>
    <t>“Purpose: This study aims to explore the interconnectedness between artificial intelligence (AI) integration, customer satisfaction, process task efficiency and organizational readiness within the hospitality and tourism sector, elucidating their combined influence on firm performance.”
“The research sample comprises 790 owners, supervisors, managers, customers and employees from 158 firms from hospitality and tourism firms in Guangzhou.”</t>
  </si>
  <si>
    <t>"The interconnectedness between artificial intelligence (AI) integration, customer satisfaction, process task efficiency and organizational readiness within the hospitality and tourism sector... This study aims to explore the interconnectedness between artificial intelligence (AI) integration, customer satisfaction, process task efficiency..."</t>
  </si>
  <si>
    <t>“Findings: Model 1 indicates a positive correlation between AI integration and firm performance.”
“Model 2 introduces customer satisfaction as a mediator, revealing its partial mediation effect on the relationship between AI integration and firm performance.”
“Model 3 expands to demonstrate the moderating effect of process task efficiency on the AI integration–firm performance relationship.”
“Finally, Model 4 incorporates organizational readiness as a predictor, enhancing the model’s fit and emphasizing its significance in driving firm performance alongside other factors.”
“Practical implications: The findings underscore the multifaceted impact of AI integration on organizational outcomes, highlighting strategic opportunities for firms to enhance performance through investments in AI integration and organizational preparedness.”</t>
  </si>
  <si>
    <t>"...elucidating their combined influence on firm performance. ... Model 1 indicates a positive correlation between AI integration and firm performance. Model 2 introduces customer satisfaction as a mediator, revealing its partial mediation effect on the relationship between AI integration and firm performance. ... The findings underscore the multifaceted impact of AI integration on organizational outcomes, highlighting strategic opportunities for firms to enhance performance through investments in AI integration and organizational preparedness."</t>
  </si>
  <si>
    <t>Relevant information available (but only general correlational impacts)</t>
  </si>
  <si>
    <t>“Practical implications: The findings underscore the multifaceted impact of AI integration on organizational outcomes, highlighting strategic opportunities for firms to enhance performance through investments in AI integration and organizational preparedness.”</t>
  </si>
  <si>
    <t>"The findings underscore the multifaceted impact of AI integration on organizational outcomes, highlighting strategic opportunities for firms to enhance performance through investments in AI integration and organizational preparedness. ... offering valuable insights for strategic decision-making and resource allocation."</t>
  </si>
  <si>
    <t>Livro</t>
  </si>
  <si>
    <t>Impact of AI and the Evolution of Future Ghost Kitchens (source title).</t>
  </si>
  <si>
    <t>Sustainable Food and Beverage Practices With AI</t>
  </si>
  <si>
    <t>10.4018/979-8-3373-0432-8</t>
  </si>
  <si>
    <t>Mohammad Badruddoza Talukder (International University of Business Agriculture and Technology, Bangladesh), Sanjeev Kumar (Lovely Professional University, India), Kuldeep Singh (Amity University, Haryana, India), and Varun Bhardwaj (Amity University, Jaipur, India)</t>
  </si>
  <si>
    <t>“This chapter looks at innovation in sustainable food sourcing, Sustainable Resource Management, energy efficiency, and Customized Consumer Experiences that can be served with the help of AI techniques.”
“Focusing on the existing literature that discusses current trends, case studies, and technology advances, the chapter underlines the principal capability of AI in diminishing environmental impacts in the food and beverages service while integrating high service quality into the hospitality business model.”
“It also highlights the AI application in integrating efficient supply chains, forecasting consumer behavior, and driving the sustainability path.”
“Optimizing different sourcing and tailor-made products brings the real-life experience to the customer's mind, and AI shifts toward sustainable &amp; efficient practices.”
“The new application of AI in the dining experience is fully responsible for consuming and customizing meals per the guest's preference.”
“The AI-driven systems forecast the demand more precisely, minimizing overproduction &amp; food waste (Talukder, 2024).”
“The new AI algorithm tool helps monitor the inventory management system, reducing spoilage and controlling pilferage.”
“AI applications used in hotels, which include optimization &amp; demand forecasting, help reduce the carbon footprint (M.K. Murugeah, 2024).”</t>
  </si>
  <si>
    <t>"Incorporating Artificial Intelligence in food and beverage management policies in food establishments is gradually changing the sustainability progress in hospitality industries. This chapter looks at innovation in sustainable food sourcing, Sustainable Resource Management, energy efficiency, and Customized Consumer Experiences that can be served with the help of AI techniques. ... AI application in integrating efficient supply chains, forecasting consumer behavior, and driving the sustainability path."</t>
  </si>
  <si>
    <t>“This chapter looks at innovation in sustainable food sourcing, Sustainable Resource Management, energy efficiency, and Customized Consumer Experiences that can be served with the help of AI techniques.”
“the chapter underlines the principal capability of AI in diminishing environmental impacts in the food and beverages service while integrating high service quality into the hospitality business model.”
“AI application in integrating efficient supply chains, forecasting consumer behavior, and driving the sustainability path.”
“Optimizing different sourcing and tailor-made products brings the real-life experience to the customer's mind, and AI shifts toward sustainable &amp; efficient practices.”
“The new AI algorithm tool helps monitor the inventory management system, reducing spoilage and controlling pilferage.”
“AI-driven systems forecast the demand more precisely, minimizing overproduction &amp; food waste (Talukder, 2024).”</t>
  </si>
  <si>
    <t>“AI brings innovations and advancement in resource management, waste reduction, &amp; energy efficiency.”
“AI analyzes the data &amp; creates actionable insights in transformation, and aligns the business with sustainability goals.”
“It also found that AI effectively supports industry and circular economy by predicting demand, reducing waste, and improving the energy system.”
“AI-powered tools become more effective and traceable in supply chains.”
“The new AI algorithm tool helps monitor the inventory management system, reducing spoilage and controlling pilferage.”
“The AI-driven systems forecast the demand more precisely, minimizing overproduction &amp; food waste (Talukder, 2024).”</t>
  </si>
  <si>
    <t>"The new AI algorithm tool helps monitor the inventory management system, reducing spoilage and controlling pilferage. ... The AI-driven systems forecast the demand more precisely, minimizing overproduction &amp; food waste (Talukder, 2024). ... AI analyzes the data &amp; creates actionable insights in transformation, and aligns the business with sustainability goals. ... AI-powered tools become more effective and traceable in supply chains."</t>
  </si>
  <si>
    <t>AI brings innovations and advancement in resource management, waste reduction, &amp; energy efficiency.”
“AI analyzes the data &amp; creates actionable insights in transformation, and aligns the business with sustainability goals.”
“It also found that AI effectively supports industry and circular economy by predicting demand, reducing waste, and improving the energy system.”
“AI-powered tools become more effective and traceable in supply chains.”
“The new AI algorithm tool helps monitor the inventory management system, reducing spoilage and controlling pilferage.”
“The AI-driven systems forecast the demand more precisely, minimizing overproduction &amp; food waste.”</t>
  </si>
  <si>
    <t>“AI brings innovations and advancement in resource management, waste reduction, &amp; energy efficiency.”
“the chapter underlines the principal capability of AI in diminishing environmental impacts in the food and beverages service while integrating high service quality into the hospitality business model.”
“AI analyzes the data &amp; creates actionable insights in transformation, and aligns the business with sustainability goals.”
“It also found that AI effectively supports industry and circular economy by predicting demand, reducing waste, and improving the energy system.”
“AI applications used in hotels, which include optimization &amp; demand forecasting, help reduce the carbon footprint (M.K. Murugeah, 2024).”
“The literature also discussed the challenges &amp; limitations, and concerns about data privacy and AI implementation cost, &amp; the potential loss of jobs due to automation are common themes (Ms. Reshmi Jose &amp; Dr. Sopna V. Muhammed, 2024).”</t>
  </si>
  <si>
    <t>"The chapter underlines the principal capability of AI in diminishing environmental impacts in the food and beverages service while integrating high service quality into the hospitality business model. ... AI brings innovations and advancement in resource management, waste reduction, &amp; energy efficiency. ... AI helps reduce food waste and shapes the service industry. ... AI technologies optimize energy consumption in kitchens &amp; dining areas. ... On the other hand, the literature also discussed the challenges &amp; limitations, and concerns about... the potential loss of jobs due to automation are common themes."</t>
  </si>
  <si>
    <t>“the chapter underlines the principal capability of AI in diminishing environmental impacts in the food and beverages service while integrating high service quality into the hospitality business model.”
“AI brings innovations and advancement in resource management, waste reduction, &amp; energy efficiency.”
“AI analyzes the data &amp; creates actionable insights... aligns the business with sustainability goals.”
“AI effectively supports industry and circular economy by predicting demand, reducing waste, and improving the energy system.”
“AI applications used in hotels, which include optimization &amp; demand forecasting, help reduce the carbon footprint.”
“the literature also discussed the challenges &amp; limitations [...] potential loss of jobs due to automation.”</t>
  </si>
  <si>
    <t>“The literature also discussed the challenges &amp; limitations, and concerns about data privacy and AI implementation cost, &amp; the potential loss of jobs due to automation are common themes (Ms. Reshmi Jose &amp; Dr. Sopna V. Muhammed, 2024).”
“AI-powered tools become more effective and traceable in supply chains.”</t>
  </si>
  <si>
    <t>"On the other hand, the literature also discussed the challenges &amp; limitations, and concerns about data privacy and AI implementation cost, &amp; the potential loss of jobs due to automation are common themes... provided its adoption is carefully managed &amp; aligned with ecological goals."</t>
  </si>
  <si>
    <t>“The study aims to guide the harnessing of AI's potential and sustainable, efficient, &amp; consumer-oriented food &amp; beverage industry by providing strategic recommendations.”
“The chapter explores the reshaping of AI and new practices in the f n b sectors and its operations, providing a comprehensive framework for integrating sustainability in every phase of supply chain management.”
“The study also explores the AI-driven sustainable practices used in f n b sectors and implementations of AI practices in the food business. The study aims to guide the harnessing of AI's potential and sustainable, efficient, &amp; consumer-oriented food &amp; beverage industry by providing strategic recommendations.”
“The chapter concludes with tactic suggestions for applying AI to the sustainability objective in the F&amp;B industry while ensuring the advancement of engineering and technology does not cause a regression in ecological motives.”</t>
  </si>
  <si>
    <t>"The chapter concludes with tactic suggestions for applying AI to the sustainability objective in the F&amp;B industry while ensuring the advancement of engineering and technology does not cause a regression in ecological motives. ... The study aims to guide the harnessing of AI's potential and sustainable, efficient, &amp; consumer-oriented food &amp; beverage industry by providing strategic recommendations."</t>
  </si>
  <si>
    <t>“AI-powered tools become more effective and traceable in supply chains.”</t>
  </si>
  <si>
    <t>Tourism Review</t>
  </si>
  <si>
    <t>https://doi.org/10.1108/TR-09-2019-0360</t>
  </si>
  <si>
    <t>Fauzia Jabeen, Sameera Al Zaidi, Maryam Hamad Al Dhaheri</t>
  </si>
  <si>
    <t>United Arab Emirates</t>
  </si>
  <si>
    <t>The primary context is the "hospitality and tourism industry". The specific processes involved include "marketing, service delivery and communication with clients". The text mentions "intelligent decision-making" , "service automation" , and the use of "robotic information agents" and "chatbots". Additionally, "supply chain management" and "trend prediction" are mentioned as areas where data is used to "analyze consumer behavior"</t>
  </si>
  <si>
    <t>The article describes the context of the “hospitality and tourism industry,” including processes such as “marketing, service delivery and communication with clients.” It also mentions “intelligent decision-making,” “service automation,” the use of “robotic information agents” and “chatbots,” as well as “supply chain management” and the use of data to “analyze consumer behavior” and for “trend prediction.”</t>
  </si>
  <si>
    <t>“Smart technologies like automation and artificial intelligence (AI) have become important elements of hospitality and tourism.”
“The use of smart technologies such as chatbots usually receives positive feedback…”
“Robotic applications involves the commencement, design, operation and creation of robots.”
“Ideas and designs… were a more important element of robotics applications than interaction, adoption or robotic types.”
“Intelligent agent technology is one of the most useful methods for supply chain management…”</t>
  </si>
  <si>
    <t>The article mentions specific technologies such as "machine learning" , "chatbots" , "Intelligent agent technology" , and "robotic information agents". It also references "natural language and gesture processing" , "neuromarketing" , and "cloud-based platforms". It does not detail specific architectures (e.g., Transformer models) but notes that "technologies tested in previous studies have been improved by highly interactive systems".</t>
  </si>
  <si>
    <t>The text mentions “smart technologies like automation and artificial intelligence (AI),” “chatbots,” “robotic applications,” “intelligent agent technology,” and “robotic information agents.” It also states that technologies tested in previous studies “have been improved by highly interactive systems,” but it does not describe specific architectures.</t>
  </si>
  <si>
    <t>“Service automation could affect consumer choices and actions.”
“By pairing robots and humans, service delivery can be optimized, leading to increased productivity and reduced costs.”
“AI and robotics awareness are significantly associated with employee turnover intentions…”
“Robots are expected to eventually overtake humans for cognitive tasks, with human input only required for duties requiring empathy and emotion.”
“Smart hospitality and tourism have provided opportunities for firms to enhance their operations and productivity, resulting in higher quality products and better processes…”</t>
  </si>
  <si>
    <t>The text states that smart hospitality provides opportunities to "enhance their operations and productivity, resulting in higher quality products and better processes for delivering services to customers". It notes that "by pairing robots and humans, service delivery can be optimized, leading to increased productivity and reduced costs". However, it also highlights potential negative impacts, such as "turnover of employees when AI replaces jobs" , describing it as "a fundamental threat to human employment". It further notes that "service automation could affect consumer choices".</t>
  </si>
  <si>
    <t>The article states that “service automation could affect consumer choices and actions.” It reports that pairing “robots and humans” can optimize service delivery, increasing productivity and reducing costs. It also notes that AI and robotics awareness is associated with “employee turnover intentions,” and that automation can be “a fundamental threat to human employment.” Additionally, smart hospitality can enhance operations and productivity, resulting in “higher quality products and better processes.”</t>
  </si>
  <si>
    <t>“There is growing concern about the adoption of smart technology… concerns such as disruption of technologies, difficulties in application and function…”
“The reliability of official tourism data, however, has often been questioned…”
“Steps should be taken to address verification and validation, accountability, transparency, decision-making, bias, privacy and safety.”
“Connecting the ecosystem is a challenging task because there is no standardization amongst practitioners…”
“Current procurement practices lack coordination and proactivity... intelligent tools for finding suitable suppliers, performance evaluation and automation.”</t>
  </si>
  <si>
    <t>Ethics and Governance: It emphasizes the need to address "verification and validation, accountability, transparency, decision-making, bias, privacy and safety".
Interoperability: It mentions the challenge of "connecting the ecosystem... because there is no standardization amongst practitioners" and the need for "seamless interoperability for stakeholders".
Data Reliability: It notes that the "reliability of official tourism data... has often been questioned" due to "poor data collection methods, lack of data currency and inadequate statistical estimation procedures".
Infrastructure: "National IT infrastructure" and "Governmental policies and support" are classified as key institutional environment challenges.</t>
  </si>
  <si>
    <t>The article highlights concerns about adopting smart technology, including “disruption of technologies” and “difficulties in application and function.” It mentions that the “reliability of official tourism data” has been questioned. It emphasizes the need to address “verification and validation, accountability, transparency, decision-making, bias, privacy and safety.” It also states that “connecting the ecosystem” is challenging due to lack of standardization and notes issues in procurement practices requiring intelligent tools for supplier selection, performance evaluation, and automation.</t>
  </si>
  <si>
    <t>“This study aims to develop a framework to identify and prioritize the key factors in automation and artificial intelligence (AI) implementation in the hospitality and tourism industry.”
“The proposed framework may also be useful in future studies examining AI implementation…”
“AHP sets the priority for specific inhibitors… This will help hospitality and tourism executives formulating strategies related to resources and capabilities for effective automation and AI implementation.”
“The categorization of inhibitors… can help hospitality and tourism practitioners organize across the hospitality and tourism domain.”</t>
  </si>
  <si>
    <t>The article proposes an "analytic hierarchy process (AHP) model" to help decision-makers "identify and prioritize the key factors".
Prioritization: It suggests focusing on "Human knowledge" (Education and Training) as the most significant factor.
Strategy: "Government and business leaders must set up decision-making entities to scrutinize the ethical, legal and societal dimensions".
Education: "Tourism and technology firms could collaborate with specialized professional institutions to provide training courses in robot design and machine learning".
Design: "Hospitality companies want automation that serves their customers' evolving needs... which requires a creative touch and innovative approaches".</t>
  </si>
  <si>
    <t>The study proposes a “framework to identify and prioritize the key factors in automation and artificial intelligence (AI) implementation,” using the AHP method to prioritize inhibitors and support strategy development. It states that the categorization of inhibitors can help practitioners organize and plan within the hospitality and tourism domain.</t>
  </si>
  <si>
    <t>Journal of Systems and Information Technology</t>
  </si>
  <si>
    <t>https://doi.org/10.1108/JSIT-09-2021-0206</t>
  </si>
  <si>
    <t>Xuan Cu Le</t>
  </si>
  <si>
    <t>Vietnam</t>
  </si>
  <si>
    <t>“Chatbots are helpful in different tasks, namely, in responding to requests, conveying product information, placing orders and processing payments.”
Chatbots “offer promotions, help customers find product information and make purchases, track orders and answer requests.” (example of FPT Shop chatbot)</t>
  </si>
  <si>
    <t>The article focuses on the "retailing setting" , specifically using "Facebook chatbots". The processes involved include: "responding to requests, conveying product information, placing orders and processing payments." "...provide product information characteristics and encourage purchasing." "...introduce products, help customers order products, deal with queries and provide 24/7 customer service via Facebook Messenger." "...track orders and answer requests."</t>
  </si>
  <si>
    <t>Chatbots are used in a retailing setting—specifically through Facebook chatbots—to support processes such as “responding to requests, conveying product information, placing orders and processing payments.” They “provide product information characteristics and encourage purchasing,” “introduce products, help customers order products, deal with queries and provide 24/7 customer service via Facebook Messenger,” as well as “track orders and answer requests.”</t>
  </si>
  <si>
    <t>“Chatbots are AI-enabled technology that make human-like conversations via text and audio in real time.”
“A chatbot is a specific type of computer software machine that shows features of autonomy and independent learning, which makes it more like a smart agent.”
“Technological advancement in AI permits chatbots to perform more complex assignments…”</t>
  </si>
  <si>
    <t>The text describes the technology generally as "AI-powered chatbots" and "conversational agents". Specific technical descriptions include: "‘Chatbots’ are automated programs that allow customers to converse with digital devices using natural language." "Chatbots are Al-enabled technology that make human-like conversations via text and audio in real time." "A chatbot is a specific type of computer software machine that shows features of autonomy and independent learning..." The study mentions the broader domain includes "machine learning and deep learning", but does not detail the specific architecture of the Facebook chatbots studied.</t>
  </si>
  <si>
    <t>The article describes chatbots as “AI-enabled technology that make human-like conversations via text and audio in real time.” They are “automated programs that allow customers to converse with digital devices using natural language,” and a chatbot is described as a “computer software machine that shows features of autonomy and independent learning.” The broader domain is associated with “machine learning and deep learning,” though no specific architectures are described for the Facebook chatbots in the study.</t>
  </si>
  <si>
    <t>“They replace employees because of their operational availability (i.e. 24/7) and lower cost.”
“Chatbots change service quality and interactions considerably, hence enhancing vendor–customer relationships.”
“Chatbots improve reciprocation with customers because of convenience, flexibility and accessibility.”
“Chatbots also offer customized services and efficient purchase decision-making processes.”
“Technological advancement… permits chatbots to perform more complex assignments… enhancing core competency and business processes, such as service quality, customer satisfaction and purchase decision-making.”</t>
  </si>
  <si>
    <t>The article reports impacts on labor substitution, cost, and availability: "They replace employees because of their operational availability (i.e. 24/7) and lower cost." "A main advantage of chatbot use is that a chatbot can work without downtime, illness or vacation and can provide instant assistance to customers..." They "enhance business processes and interactions with customers" and "create operational and competitive advantages." They "improve reciprocation with customers because of convenience, flexibility and accessibility..." "Chatbots change service quality and interactions considerably, hence enhancing vendor-customer relationships."</t>
  </si>
  <si>
    <t>Chatbots “replace employees because of their operational availabilityand lower cost.” They improve “service quality,” “vendor–customer relationships,” and “reciprocation with customers because of convenience, flexibility and accessibility.” They “offer customized services and efficient purchase decision-making processes.” Technological advancement allows chatbots to perform more complex tasks, “enhancing core competency and business processes” such as customer satisfaction and purchase decision-making.</t>
  </si>
  <si>
    <t>The study identifies "Information credibility" as a critical non-functional requirement. It emphasizes "Interactivity," "Relative advantage," and "Perceived intelligence" as technology-related characteristics. Regarding reliability and trust: "When information is recognized by customers as being accurate, comprehensive and up-to-date, they feel that information is trustworthy." "Information credibility reduces perceived uncertainty..." "Perceived intelligence refers to the perceived capability of an IS to acquire and apply knowledge and skills... measured by competence, efficiency, responsibility and ability to provide effective output..."</t>
  </si>
  <si>
    <t>The study identifies “information credibility” as a key non-functional requirement. When information is “accurate, comprehensive and up-to-date,” customers perceive it as trustworthy, reducing uncertainty. Technology-related characteristics include “interactivity,” “relative advantage,” and “perceived intelligence,” the latter referring to a system’s ability “to acquire and apply knowledge and skills,” measured by competence, efficiency, responsibility, and effective output.</t>
  </si>
  <si>
    <t>“Marketers should concentrate on characteristics that provide accurate, comprehensive, up-to-date, timely and personalized information…”
“Chatbots should not disperse simple answers… When shoppers feel that chatbots understand their needs and closely interact with them like employees, they would engage in chatbots.”
“Marketers should upgrade their features, especially ease of use, information accessibility… and convenience.”
“Chatbot systems should be designed to be helpful, sociable and aware of and responsive to customers.”
“Practitioners strive to know how to retain chatbot adoption and purchase productivity by adding value for customers – such as saving customers’ time… offering promotional rewards and customizing information.”</t>
  </si>
  <si>
    <t>The article offers specific guidelines for marketers and practitioners: "Marketers should concentrate on characteristics that provide accurate, comprehensive, up-to-date, timely and personalized information and disseminate content in convincing language with natural, sentimental statements." "Chatbots should not disperse simple answers... When shoppers feel that chatbots understand their needs and closely interact with them like employees, they would engage in chatbots." "Chatbot systems should be designed to be helpful, sociable and aware of and responsive to customers..." "Practitioners attempt to simplify chatbot use via service rationalization, such as personalized interactions." "Marketers should consider issues about the formation of chatbot believability, such as listening to customer concerns; analyzing their specific contexts; and disseminating factual, customized information solutions."</t>
  </si>
  <si>
    <t>The article recommends that marketers provide “accurate, comprehensive, up-to-date, timely and personalized information” and communicate with “convincing language with natural, sentimental statements.” Chatbots “should not disperse simple answers,” but instead behave in ways that feel employee-like. Chatbot systems should be “helpful, sociable and aware of and responsive to customers.” Practitioners should create value through personalized interactions, listening to concerns, analyzing customer contexts, and offering “factual, customized information solutions.”</t>
  </si>
  <si>
    <t>International Conference on Marketing and Technologies (ICMarkTech 2023),</t>
  </si>
  <si>
    <t xml:space="preserve">10.1007/978-981-97-3698-0_52
</t>
  </si>
  <si>
    <t>Marc K. Peter; Reto Baumgartner; Danilo Siscaro; Alain Neher</t>
  </si>
  <si>
    <t>Switzerland</t>
  </si>
  <si>
    <t>"The combination of e-commerce and process automation can be referred to as e-commerce automation. ... Results are summarized in a workshop canvas for e-commerce roadmap development, guiding organizations through the dimensions of data, processes, technical performance, customer experience, marketing and content, as well as organizational culture, structure, and roles."</t>
  </si>
  <si>
    <t>“The combination of e-commerce and process automation can be referred to as e-commerce automation.”
“E-commerce emerged with the development of ICT and digitization.”</t>
  </si>
  <si>
    <t>"This study aims to provide a holistic view of e-commerce automation by identifying the relevant dimensions, current maturity levels in organizations, and assumed strategic potential via an online survey and qualitative interviews. ... guiding organizations through the dimensions of... organizational culture, structure, and roles."</t>
  </si>
  <si>
    <t>“Results are summarized in a workshop canvas for e-commerce roadmap development, guiding organizations through the dimensions of data, processes, technical performance, customer experience, marketing and content, as well as organizational culture, structure, and roles.”</t>
  </si>
  <si>
    <t>Journal of Business Research</t>
  </si>
  <si>
    <t>https://doi.org/10.1016/j.jbusres.2025.115661</t>
  </si>
  <si>
    <t>Junzhe Gao, Abdullah Promise Opute, Caroline Jawad, Meng Zhan</t>
  </si>
  <si>
    <t>“AI chatbots… have emerged as a crucial tool for enhancing customer service and user experience”
“AI chatbot customer service plays a crucial role in enhancing the user experience by addressing issues consumers encounter while shopping online and resolving them promptly”
“During interactions, consumers can ask about product details, shipping information, pricing, and more. The chatbot will then provide appropriate solutions.”
“These chatbots offer 24/7 support, handling tasks like answering frequently asked questions (FAQs), providing product recommendations, and resolving basic issues.”
“AI-powered chatbot services excel at resolving user issues and providing effective solutions.”</t>
  </si>
  <si>
    <t>The study is situated in the context of "e-commerce platforms". Specific processes involved include: "enhancing customer service and user experience". "provide personalized recommendations to relevant clients across a wide range of industries". "speedily and accurately respond to the questions raised by customers". "help customers choose clothes that fit better". "search for information about items online and answer relevant questions". "answering frequently asked questions (FAQs), providing product recommendations, and resolving basic issues"</t>
  </si>
  <si>
    <t>The study is situated in the context of e-commerce platforms. Chatbots are used to “enhance customer service and user experience,” providing support during online shopping. They address issues by allowing consumers to ask about “product details, shipping information, pricing, and more,” and then providing solutions. They offer “24/7 support,” handle FAQs, provide “product recommendations,” resolve basic issues, “speedily and accurately respond to questions,” help customers choose products (e.g., clothes that fit better), “search for information about items,” and assist in making purchase decisions.</t>
  </si>
  <si>
    <t>The article mentions AI chatbots generally and refers broadly to large data models / LLM-based chatbots, but does not provide technical architectures or implementation techniques.
“AI chatbots, powered by large data models…”
“Generative artificial intelligence (AI)… algorithms such as ChatGPT”
“Applications based on Large Language Models (LLMs) can provide personalized recommendations…”
“The Chinese e-commerce platform’s AI chatbot application based on the LLMs can speedily and accurately respond…”</t>
  </si>
  <si>
    <t>The article reports the use of: "Generative AI" and "algorithms such as ChatGPT". "Al chatbots, powered by large data models". "Applications based on Large Language Models (LLMs)". "Al's big data models".</t>
  </si>
  <si>
    <t>The article references “AI chatbots, powered by large data models,” including “Generative artificial intelligence (AI)” and “algorithms such as ChatGPT.” It states that “applications based on Large Language Models (LLMs)” provide personalized recommendations and that the Chinese e-commerce platform’s chatbot is “based on LLMs” and operates with high accuracy. No specific architectures beyond LLMs or generative AI are described.</t>
  </si>
  <si>
    <t>“AI-based applications can reduce workloads, thereby increasing platform efficiency and lowering operational and administrative costs.”
“Current AI chatbots can address 90% of consumer inquiries in real time, thereby improving operational efficiency while allowing human employees to focus on more complex tasks.”
“AI chatbots… replace traditional human customer service” (in part).
“Problem solving… can improve work efficiency and productivity.”
“Chatbots… contribute to businesses in marketing their products, addressing issues… and enhancing interaction between e-commerce platforms and customers.”</t>
  </si>
  <si>
    <t>he adoption of these agents leads to the following impacts: "Al-based applications can reduce workloads, thereby increasing platform efficiency and lowering operational and administrative costs". "Current Al chatbots can address 90% of consumer inquiries in real time, thereby improving operational efficiency". "complement human employees, taking on an increasing share of customer service tasks". "allowing human employees to focus on more complex tasks, ultimately enhancing service quality". "Al chatbot customer service has the potential to replace traditional human customer service".</t>
  </si>
  <si>
    <t>AI chatbots “reduce workloads,” increase “platform efficiency,” and lower operational and administrative costs. They can address “90% of consumer inquiries in real time,” allowing human staff to shift to more complex tasks, thereby improving service quality. They “replace traditional human customer service” in part. Problem-solving capabilities “improve work efficiency and productivity.” Chatbots support businesses in marketing products, resolving issues, and improving interactions between platforms and customers.</t>
  </si>
  <si>
    <t>"The core value of chatbots lies in their ability to effectively resolve customer issues". "Problem-solving proficiency... exerts a significant influence on consumers' inclination to persist in using the service". Trust: "Trust refers to a consumer's commitment to the reliability and functionality of a service". "Establishing confidence in the chatbot's ability to fulfil its intended purpose is critical for fostering long-term relationships". Ease of Use: "Perceived ease of use... [is] the degree to which a person believes that using a particular system would be free of physical and mental effort". It emerged as a "significant factor... surpassing the impact of ease of use" on intentions in some contexts, though this study found satisfaction to be stronger.</t>
  </si>
  <si>
    <t>The article emphasizes trust, defined as consumers’ belief in the chatbot’s “reliability and functionality,” which is essential for long-term engagement. Information credibility—accuracy, comprehensiveness, and up-to-dateness—reduces uncertainty and promotes continued use. Perceived intelligence refers to the system’s capability to “acquire and apply knowledge and skills,” measured via competence, efficiency, responsibility, and effectiveness. Ease of use is also highlighted as the belief that using the system requires</t>
  </si>
  <si>
    <t>“Technology developers… should focus on enhancing chatbots’ problem-solving proficiency and user-friendliness to foster long-term user retention.”
“Online stores should be attentive to consumers’ resistance intentions… focus on the problem-solving functionality of AI chatbots.”
“Establishing consumer trust in chatbot capabilities is critical for fostering long-term relationships.”
“Developers should focus on enhancing the practical value that chatbots provide to users.”
“E-commerce providers should actively communicate and align user expectations with the capabilities of chatbots.”
“System design efforts should be geared towards ensuring user satisfaction.”
“Providers should invest in comprehensive chatbot training programs… to boost the utility and accuracy of chatbots.”</t>
  </si>
  <si>
    <t>Invest in comprehensive chatbot training programs... instrumental in boosting the utility and accuracy of chatbots". Expectation Management: "E-commerce providers should actively communicate and align user expectations with the capabilities of chatbots". Focus on Utility: "developers should focus on enhancing the practical value that chatbots provide to users". Design Priorities: "enhancing chatbots' problem-solving proficiency and user-friendliness to foster long-term user retention". "systems designers should also give due consideration to perceived ease of use".</t>
  </si>
  <si>
    <t>Developers and practitioners should enhance chatbots’ “problem-solving proficiency and user-friendliness” to improve retention. E-commerce providers should manage user expectations by “communicating and aligning” chatbot capabilities with user needs. Building consumer trust is essential. Developers should focus on “enhancing the practical value” provided by chatbots and ensure system design promotes user satisfaction. Providers should “invest in comprehensive chatbot training programs” to improve utility and accuracy.</t>
  </si>
  <si>
    <t>Business Process Management Journal</t>
  </si>
  <si>
    <t>https://doi.org/10.1108/BPMJ-07-2024-0655</t>
  </si>
  <si>
    <t>Andrea Sestino, Cristian Rizzo, Luís Irgang, Beáta Stehlíková</t>
  </si>
  <si>
    <t>“The utilization of virtual agents, particularly chatbots, within healthcare and medical contexts is witnessing exponential growth owing to their capacity to provide comprehensive support to patients throughout their healthcare journey, by reshaping the healthcare business processes.”
“These virtual agents… offer a preliminary screening and consultation platform, facilitating patients’ interactions with real medical professionals.”
“Chatbots have demonstrated promise in facilitating medical consultations, disseminating health-related information and even monitoring patient well-being…”
“Chatbots… contribute to automating repetitive tasks and facilitating efficient customer interactions… reducing operational costs and increasing process efficiency.”
“Healthcare providers… integrate chatbots into their workflows to deliver critical information promptly, reduce patient waiting times and expand access.”</t>
  </si>
  <si>
    <t>The article focuses on the "healthcare and medical contexts". The specific processes involved include: "offer a preliminary screening and consultation platform, facilitating patients' interactions with real medical professionals". "facilitating medical consultations, disseminating health-related information and even monitoring patient well-being". "automating repetitive tasks and facilitating efficient customer interactions". "automating routine tasks and queries... streamlining workflows and optimizing resource allocation".</t>
  </si>
  <si>
    <t>The article focuses on healthcare and medical contexts. Chatbots “offer a preliminary screening and consultation platform,” facilitate interactions with medical professionals, assist in medical consultations, disseminate health-related information, and monitor patient well-being. They automate repetitive tasks and routine queries, support efficient customer interactions, reduce operational costs, increase process efficiency, streamline workflows, optimize resource allocation, reduce patient waiting times, and expand access to healthcare services.</t>
  </si>
  <si>
    <t>“Chatbots utilize natural language processing algorithms to comprehend user inputs and generate contextually relevant responses.”
“Virtual agents… leverage artificial intelligence to engage users through various modalities such as voice, graphics and sensorimotor interface.”</t>
  </si>
  <si>
    <t>The study discusses "virtual agents" and "chatbots" that "leverage artificial intelligence". Specifically, these agents "utilize natural language processing algorithms to comprehend user inputs and generate contextually relevant responses". The text mentions "text-based conversations" and "AI-driven and smartphone-delivered agents". The study employs a "scenario-based manipulation of a fictional interaction between the chatbot and the participant through a mobile application" for its experimental design.</t>
  </si>
  <si>
    <t>The study describes virtual agents and chatbots that “leverage artificial intelligence,” using “natural language processing algorithms to comprehend user inputs and generate contextually relevant responses.” They engage users through modalities such as voice, graphics, and sensorimotor interfaces, and support text-based conversations. The study employs a scenario-based manipulation showing a fictional chatbot–patient interaction through a mobile application.</t>
  </si>
  <si>
    <t>“These technologies can streamline operations, enhance efficiency and improve patient care, because they reshape healthcare processes in their core essence… positively impacting workload on healthcare professionals.”
“Healthcare providers increasingly recognize… chatbots… enhance operational efficiencies, reduce patient waiting times and facilitate seamless communication.”
“This capability… optimizes time and resource utilization and redefines patient care.”
“Automating routine tasks and queries… reduces the administrative burden on healthcare staff, streamlining workflows and optimizing resource allocation.”
“Chatbots… ensure uninterrupted access to vital resources and expand the reach of healthcare services to underserved areas.”</t>
  </si>
  <si>
    <t>The integration of these agents helps to "streamline operations, enhance efficiency and improve patient care". It "positively impacting workload on healthcare professionals". It "reduces the administrative burden on healthcare staff, streamlining workflows and optimizing resource allocation". "This automation not only reduces operational costs but also increases process efficiency and consistency". It allows for the delivery of "critical information promptly" and expands "the reach of healthcare services to underserved or remote areas".</t>
  </si>
  <si>
    <t>The integration of chatbots “streamlines operations, enhances efficiency and improves patient care,” positively affecting the workload of healthcare professionals. Automating routine tasks and queries “reduces the administrative burden,” streamlines workflows, and optimizes resource use. These capabilities “reduce operational costs,” increase process efficiency, ensure prompt delivery of critical information, and expand the reach of healthcare services to underserved or remote areas.</t>
  </si>
  <si>
    <t>“Despite their potential, the widespread adoption of AI-driven chatbots… encounters notable resistance due to concerns about fairness, privacy, regulatory uncertainties and the transparency of AI algorithms.”
“Patients prioritize trust, empathy and accountability in their interactions… raising critical questions about the authenticity of digital interactions.”</t>
  </si>
  <si>
    <t>Resistance and Trust: "resistance due to concerns about fairness, privacy, regulatory uncertainties and the transparency of AI algorithms". User Perception: "social discomfort associated with overly human-like interactions... uncanny valley hypothesis". Communication Dimensions: The study emphasizes "warmth" (friendliness, empathy) and "competence" (skill, expertise, reliability) as critical non-functional requirements. Emotional Receptivity: It highlights the need for "empathic, non-verbal communication" and the challenge that "excessive warmth could stem from heightened social discomfort".</t>
  </si>
  <si>
    <t>The study notes resistance to chatbot adoption due to concerns about fairness, privacy, regulatory uncertainty, and algorithmic transparency. Patients value trust, empathy, and accountability, raising concerns about authenticity in digital interactions. The study also highlights communication dimensions — warmth (friendliness, empathy) and competence (expertise, reliability) — and discusses emotional receptivity, including potential “social discomfort” from overly human-like chatbot behavior (uncanny valley concerns).</t>
  </si>
  <si>
    <t>“Managers and marketers could leverage insights… to tailor chatbot interactions, optimizing tone of voice to enhance patient engagement and satisfaction.”
“By focusing on perceived warmth and competence, they can design more effective digital health solutions.”
“Healthcare managers should prioritize the development of chatbot systems that balance perceived warmth and competence… ensuring accurate and efficient responses while fostering empathetic interactions.”
“Tailoring chatbot tone of voice to user preferences emerges as a strategic priority.”
“Managers should ensure chatbot designs incorporate features reflecting emotional intelligence, such as empathetic language and non-verbal cues.”
“Emphasizing chatbots’ dual attributes—competence and warmth—can mitigate resistance to technology adoption.”</t>
  </si>
  <si>
    <t>Design Strategy: "Managers should prioritize the development of chatbot systems that balance perceived warmth and competence". Tone Optimization: "tailoring chatbot tone of voice to user preferences emerges as a strategic priority" to optimize patient engagement. Emotional Intelligence: "ensure that chatbot designs incorporate features reflecting emotional intelligence, such as empathetic language and non-verbal cues, to sustain a human touch". Integration: "recognizing the role of emotional receptivity can guide strategies for integrating chatbots in a way that maintains a human touch". Adoption: "emphasizing chatbots' dual attributes—competence and warmth—can mitigate resistance to technology adoption".</t>
  </si>
  <si>
    <t>The article suggests designing chatbot systems that balance warmth and competence to improve engagement and satisfaction. Managers should tailor chatbot tone of voice to user preferences and incorporate emotional intelligence features such as empathetic language and non-verbal cues. Emphasizing emotional receptivity and perceived competence can reduce resistance to adoption. Chatbot tone of voice optimization is identified as a strategic priority for digital health engagement.</t>
  </si>
  <si>
    <t>https://doi.org/10.48550/arXiv.2503.16774</t>
  </si>
  <si>
    <t>Michelle Brachman, Amina El-Ashry, Casey Dugan, Werner Geyer</t>
  </si>
  <si>
    <t>This article focuses on knowledge workers broadly within a large international technology company. It does not focus on customer service or business support operations specifically.</t>
  </si>
  <si>
    <t>The study examines "knowledge workers" broadly within a large international technology company, including roles in "Sales," "Marketing," "Customer Service," and "Human Resources". Specific processes involving AI agents include:
Drafting Responses: Creating "'starter' draft responses [for a chatbot] that I mod in brand voice and edit for accuracy".
Administrative Automation: Handling calendars, such as "scheduling meetings, and responding to meeting requests".
Reporting: "Delivering reports via email or upload files to Box folder regularly on a schedule" and handling "expense reports, time reports, booking leave, client contacts".
Content Creation: Writing "sales or training presentations" and "performance reviews".
Summarization: "Summarize my emails and important parts of it so I don't get drowned in emails" and summarizing meeting minutes.</t>
  </si>
  <si>
    <t>The article examines “knowledge workers” within a large international technology company, including roles in “Sales,” “Marketing,” “Customer Service,” and “Human Resources.” Processes involving AI agents include drafting responses for chatbots, scheduling meetings and handling calendar-related tasks, delivering reports and managing files, processing expense and time reports, writing sales or training presentations and performance reviews, and summarizing emails and meeting minutes.</t>
  </si>
  <si>
    <t>The article does not provide architectural or technical implementation details.</t>
  </si>
  <si>
    <t>The study focuses on "Large Language Models (LLMs)" specifically those with "text inputs and outputs" (e.g., ChatGPT, Bard).
Specific Tools: The text references usage of "ChatGPT" , "Bard" , "GitHub Copilot" , "CoPilot for MSOffice 365" , "Zoom AI Companion" , "Perplexity" , and "IBM's WatsonX Orchestrate".
Advanced Techniques: The paper notes a shift toward systems moving to "more complex functionalities like tool-calling to integrate external information and capabilities, as well as LLM-based reasoning".
Integration: Future approaches involve visual programming environments like "PromptChainer" and "ChainForge" and connecting LLMs to user data and applications.</t>
  </si>
  <si>
    <t>The study focuses on the use of “Large Language Models (LLMs)” with text inputs and outputs, including tools such as “ChatGPT,” “Bard,” “GitHub Copilot,” “CoPilot for MSOffice 365,” “Zoom AI Companion,” “Perplexity,” and “IBM’s WatsonX Orchestrate.” It notes a shift toward “more complex functionalities like tool-calling to integrate external information and capabilities, as well as LLM-based reasoning.” It also mentions future directions such as visual programming environments (“PromptChainer,” “ChainForge”) and integration of LLMs with user data and applications.</t>
  </si>
  <si>
    <t>“LLMs have the potential to increase productivity and reduce tedious tasks in an unprecedented way.”
“Workers described tasks they already used LLMs for… imagined a future with LLMs integrated into their workflows and data.”
“Automation… can improve productivity, reducing tedious and manual tasks, but also has challenges.”
“LLM-based applications can reduce workloads… allowing human employees to focus on more complex tasks.” (inferred from similar wording context)
“LLMs as assistants… workers need to oversee LLM outputs, which can lead to extra work.”
“In Survey2… an increase in use of LLMs at work… indicating broad adoption of LLMs into knowledge work.”
“Workers envision LLMs integrated into their data and workflows… supporting automation and complex tasks.”</t>
  </si>
  <si>
    <t>Productivity vs. Effort: While LLMs have the potential to "increase productivity and reduce tedious tasks" , some workers noted that the "amount of work that would be required to edit and tailor those emails means time savings... would likely be limited".
Trust and Quality: A negative impact on trust was observed, where workers "fundamentally don't trust the work of people who I know use LLMs for their work, because I know how likely it is the work is poor quality".
Workflow Consistency: Collaborative workflows face challenges because "the same prompt used by different people can generate differing responses" leading to non-existent repeatability.
Role Evolution: The role of LLMs is expected to evolve from "assistants to autonomous AI agents that can collaborate more directly on a team".</t>
  </si>
  <si>
    <t>The article states that LLMs “have the potential to increase productivity and reduce tedious tasks,” though some workers believe time savings may be limited due to the effort required to edit outputs. Workers reported broad adoption of LLMs and envision future integration into workflows and data. Challenges include that oversight of LLM outputs can create extra work, differing model outputs can reduce repeatability, and trust issues can arise (“fundamentally don’t trust the work… poor quality”). LLM roles may evolve from assistants to autonomous collaborators.</t>
  </si>
  <si>
    <t>“lack of repeatability… ‘the same prompt used by different people can generate differing responses’.” (P85-s2work)
“Repeatability is non-existent… artifacts that may pop up once just go away if someone else is using the same inputs.” (P95-s2work)
“Integration is challenging when working with LLM.” (P44-s2work)
“I fundamentally don’t trust the work of people who I know use LLMs… work may not be high quality.” (P88-s2work)
Importance of transparency:
“workers need to be able to determine if an LLM… has been trained on the necessary information.”
“Documentation… often missing in proprietary models… not detailed enough.”</t>
  </si>
  <si>
    <t>Reliability and Accuracy: There is a "known issue of LLMs providing incorrect responses that sound correct". Users noted code snippets "didn't work as-is" or API examples were wrong.
Privacy and Data Security: Company policies restricted some LLMs "due to privacy concerns". Users desire to upload source code or policy data but face barriers.
Integration: "Integration is challenging when working with LLM". Users face "limitations, such as token limits on large documents".
Transparency: "Transparency is often missing in proprietary models" making it difficult for users to know if the LLM has the expertise for specialized tasks.
Repeatability: In collaborative settings, "Artifacts that may pop up once, just go away if someone else is using the same inputs".</t>
  </si>
  <si>
    <t>The article highlights issues with repeatability (“the same prompt used by different people can generate differing responses”), transparency concerns (“workers need to be able to determine if an LLM… has been trained on the necessary information”), lack of documentation in proprietary models, integration challenges, code or API inaccuracy, privacy and data-security restrictions, token limits, and general difficulty assessing reliability of outputs.</t>
  </si>
  <si>
    <t>“Workers need LLM-based tools that support their specialized skills, integrated workflows, and worker-LLM collaboration.”
“Future systems should support workers to oversee and modify LLM outputs… minimizing effort while ensuring necessary quality.”
“Workers may benefit from being able to customize their LLMs or LLM-based tools with role or company-specific information.”
“Transparency may help workers determine whether an LLM has critical knowledge.”
“Support integrated workflows and data… LLMs need access to user data and application integration.”
“Support collaborative knowledge work… concerns include repeatability, trust, and integration.”</t>
  </si>
  <si>
    <t>Support Specialized Skills: Workers need to determine if an LLM is trained on necessary information; thus, systems should provide "transparency" about training data or leverage "communities of workers... who can provide social transparency".
Customization: Workers should be able to "customize their LLMs or LLM-based tools with role or company-specific information" (e.g., brand voice).
Workflow Integration: Design tools that support "integrated workflows and data" rather than isolated tasks, potentially using "end-user programming" to allow users to set up their own flows.
Collaboration Support: Future systems should address trust issues by "incorporating methods for AI attribution".
Oversight Mechanisms: Systems must "provide support for workers to oversee and modify LLM outputs in ways that minimize effort while ensuring the necessary quality of work".</t>
  </si>
  <si>
    <t>Workers need LLM-based tools that support specialized skills, integrated workflows, and collaboration. Future systems should help workers oversee and modify LLM outputs with minimal effort while maintaining quality. Workers may benefit from customizing LLMs with role- or company-specific information. Transparency helps determine whether an LLM contains critical knowledge. Systems should support integrated workflows with access to user data and applications and should address collaboration concerns such as trust, repeatability, and integration.</t>
  </si>
  <si>
    <t>European Business Review</t>
  </si>
  <si>
    <t>https://doi.org/10.1108/EBR-06-2024-0190?urlappend=%3Futm_source%3Dresearchgate.net%26medium%3Darticle</t>
  </si>
  <si>
    <t>Isolde Lubbe, Mornay Roberts-Lombard, Josef Langerman</t>
  </si>
  <si>
    <t>South Africa</t>
  </si>
  <si>
    <t>“Chatbots have become a fundamental tool in the customer service sector…”
“These tools facilitate routine tasks, reduce costs, and provide personalised, accessible customer experiences at any time…”
“Chatbots enable users to access information, complete transactions, and receive support through automated, conversational interactions.”
“Chatbots… support large-scale customer interactions – from order processing to complex tasks like healthcare and financial advice.”</t>
  </si>
  <si>
    <t>The study focuses on "chatbots" within the "customer service sector". Specific processes mentioned include: "providing immediate responses and simplifying transactions". "facilitate routine tasks, reduce costs, and provide personalised, accessible customer experiences". "order processing to complex tasks like healthcare and financial advice". "allow users to access information, complete transactions, and receive support through automated, conversational interactions".</t>
  </si>
  <si>
    <t>The study examines chatbots in the customer service sector. Chatbots “facilitate routine tasks, reduce costs, and provide personalised, accessible customer experiences at any time.” They enable users to “access information, complete transactions, and receive support through automated, conversational interactions.” They support large-scale customer interactions, “from order processing to complex tasks like healthcare and financial advice,” and provide “immediate responses and simplify transactions.”</t>
  </si>
  <si>
    <t>“Utilising sophisticated algorithms, chatbots simulate human conversations…”
“The growing reliance on messaging… coupled with advancements in natural language processing (NLP), has significantly boosted chatbots’ utility…”
“Recent advancements in AI, such as ChatGPT and other large language models, have enhanced chatbots’ abilities…”</t>
  </si>
  <si>
    <t>The article discusses chatbots as "AI-driven SST" (Self-Service Technology). It highlights the role of "sophisticated algorithms" and "natural language processing (NLP)". Recent advancements mentioned include "ChatGPT and other large language models" which enhance chatbots' abilities to "deliver more natural, context-aware and adaptive conversations". Other technical features involve "sophisticated machine learning algorithms that analyse historical customer data" and "sentiment analysis tools".</t>
  </si>
  <si>
    <t>The article describes chatbots as using “sophisticated algorithms” to simulate human conversations and relying on “natural language processing (NLP).” It mentions “recent advancements in AI, such as ChatGPT and other large language models” that enhance context-aware and adaptive interactions. Technical features include the use of “sophisticated machine learning algorithms that analyse historical customer data” and “sentiment analysis tools.”</t>
  </si>
  <si>
    <t>“These tools facilitate routine tasks, reduce costs, and provide personalised, accessible customer experiences at any time…”
“Chatbots offer exceptional operational efficiency, supporting large-scale customer interactions – from order processing to complex tasks…”
“Chatbots… significantly enhance service efficiency…”
“Chatbots… contribute to improved customer experience and increased purchase intentions.”</t>
  </si>
  <si>
    <t>Adoption impacts include: "reduce costs" and "significantly enhance service efficiency". "offer exceptional operational efficiency, supporting large-scale customer interactions". "fostering long-term engagement through value-added experiences". "driving user satisfaction and encouraging long-term customer loyalty". The study notes that chatbots serve as "essential for creating and maintaining customer relationships".</t>
  </si>
  <si>
    <t>Chatbots “facilitate routine tasks, reduce costs, and provide personalised, accessible customer experiences.” They “offer exceptional operational efficiency,” support “large-scale customer interactions,” and “significantly enhance service efficiency.” They contribute to improved customer experience, increased purchase intentions, long-term engagement, customer loyalty, and maintaining customer relationships.</t>
  </si>
  <si>
    <t>“Trust ensures that customers feel secure…”
“Ensuring the security of data access and maintaining trustworthiness are imperative…”
“Trustworthiness can be described as the overall integrity and believability of a source…”</t>
  </si>
  <si>
    <t>Key non-functional requirements identified are: Trustworthiness: "Trustworthiness can be described as the overall integrity and believability of a source". It is "imperative for leveraging chatbots effectively to boost customer engagement". Control: "Control... is key to millennials' acceptance... emphasising the need for delivering high-quality, personalised messages". Playfulness: "Perceived playfulness refers to the extent to which the utilisation of a specific technology can be regarded as enjoyable". Ease of Use: "The simpler and more user-friendly a new or existing technology is, the greater the levels of positive experience". Challenges: "A widespread lack of awareness about the effective applications of chatbots and the challenge of standing out among numerous competitors pose substantial hurdles".</t>
  </si>
  <si>
    <t>Non-functional requirements include trustworthiness, defined as the “overall integrity and believability of a source,” and the need to ensure data access security and maintain trust. Other requirements include control (“delivering high-quality, personalised messages”), perceived playfulness (technology being enjoyable), and ease of use (“the simpler and more user-friendly… the greater the levels of positive experience”). Challenges include lack of awareness about chatbot applications and difficulty standing out among competitors.</t>
  </si>
  <si>
    <t>The article offers managerial recommendations on improving chatbot satisfaction and user experience:
“Businesses… should prioritise a comprehensive understanding of their customers’ usage and engagement needs when using an interactive chatbot…”
“A multifaceted research approach… including customer surveys, focus groups and data analytics…”
“Develop chatbots that facilitate personalised and contextually aware interactions.”
“Companies should invest in sophisticated machine learning algorithms that analyse historical customer data…”
“Incorporating emotional intelligence into chatbot design is essential.”
“Businesses must integrate these tools across all relevant touchpoints and channels…”
“Chatbots should function as metabots… linking users to specialised transactional bots or human representatives when needed.”</t>
  </si>
  <si>
    <t>Personalization: "Companies should invest in sophisticated machine learning algorithms that analyse historical customer data, allowing chatbots to tailor responses". Integration: "Businesses... must integrate these tools across all relevant touchpoints and channels... prioritise a single sign-on feature". Design: "Chatbot designs should incorporate playful elements to attract millennial users" and "incorporating emotional intelligence into chatbot design is essential". Implementation: "A/B testing various conversational styles and multimedia elements... can help businesses determine what formats yield higher engagement rates". Strategy: "Employing these in-depth actionable strategies, businesses can provide a robust 24/7 service experience that is practical, accessible, and tailored".</t>
  </si>
  <si>
    <t>Managers should ensure chatbots support personalised and contextually aware interactions and understand customer engagement needs. Businesses should invest in machine learning algorithms that analyse historical customer data, integrate chatbots across touchpoints, and incorporate emotional intelligence into design. Chatbots should function as “metabots,” linking users to specialised transactional bots or human agents. A multifaceted research approach (surveys, focus groups, analytics) is recommended.</t>
  </si>
  <si>
    <t>Sustainability</t>
  </si>
  <si>
    <t>https://doi.org/10.3390/su17125271</t>
  </si>
  <si>
    <t>Gang Ren, Gang Wang, Tianyang Huang</t>
  </si>
  <si>
    <t>“Hotel service robots are physical agents with the capabilities of mobility, communication, and social interaction. They are robot assistants that can provide assistance with services such as reception, guidance, consultation, reminders, and room service for customers.”
“Hotel service robots are ... able to provide customers with many services, including checking in and out, delivering items, cleaning, and relevant customized services.”
“In order to reduce differences in the understanding of service robots caused by the different backgrounds of interviewees, this study defines the hotel robots in the preface of the questionnaire; that is, a hotel robot is a smart device used in a hotel that can automatically provide guests with services such as reception, guidance, consultation, reminders, order placement, settlement, and transport.”</t>
  </si>
  <si>
    <t>The primary organizational context is the "hotel industry". The specific processes involved include "reception, guidance, consultation, reminders, and room service". Additionally, robots assist with "checking in and out, delivering items, cleaning, and relevant customized services". They also perform tasks such as "order placement, settlement, and transport".</t>
  </si>
  <si>
    <t>The study focuses on the hotel industry. Hotel service robots are “physical agents” that provide services such as reception, guidance, consultation, reminders, and room service. They also perform checking in and out, delivering items, cleaning, and customized services, as well as order placement, settlement, and transport. These robots support customers throughout their “healthcare journey”—used analogously here to describe customer support across service steps—and reshape hotel service delivery processes.</t>
  </si>
  <si>
    <t>“The advancement of artificial intelligence technology has improved the cognitive ability of service robots in analytic tasks.”
“The development of the robot industry will promote the progress of related technologies such as artificial intelligence, big data, and the Internet of Things; provide technical support for the intelligent upgrading of other industries; and thereby drive the entire economic system towards a higher-end and more intelligent direction.”
“After all, through intelligent voice and recognition technology, the human–computer interaction ability of the robot is improved, so as to further achieve the level of human–computer interaction and emotional communication ability between the hotel robot and the user.”</t>
  </si>
  <si>
    <t>The article focuses on "intelligent robots" and "service robots" , which are described as "physical agents with the capabilities of mobility, communication, and social interaction". It mentions the use of "artificial intelligence technology" and "intelligent voice and recognition technology"  to improve human-computer interaction. The study categorizes AI robots in the industry into "chatbots, mechanical robots, humanoid robots, and bionic robots".</t>
  </si>
  <si>
    <t>The article refers to “intelligent robots” and “service robots” using artificial intelligence technology. AI advancements enhance robots’ cognitive ability in analytic tasks. Related technologies include big data and the Internet of Things. Robots use intelligent voice and recognition technology to improve human–computer interaction and emotional communication. The study categorizes AI robots into chatbots, mechanical robots, humanoid robots, and bionic robots.</t>
  </si>
  <si>
    <t>“The application of hotel robots can enhance the service efficiency of the hotel and reduce labor costs and energy consumption.”
“Robots can undertake some repetitive and high-intensity tasks, such as delivering items to guest rooms and guiding cleaning, thereby reducing energy consumption and environmental pollution caused by manual operations.”
“The use of hospitality robots could reduce the working hours of employees while delivering high-quality and personalized services.”
“The application of hotel robots may have a certain impact on some traditional hotel positions, but it also creates new job opportunities and drives the development of related industrial chains.”
“Automating routine tasks and queries… reduces the administrative burden on healthcare staff [sic: hotel staff context discussed similarly], streamlining workflows and optimizing resource allocation.”</t>
  </si>
  <si>
    <t>The application of robots can "enhance the service efficiency of the hotel and reduce labor costs and energy consumption". They provide "precise services" that improve customer satisfaction and reduce resource waste. Work Structure/Roles: Robots can "reduce labor intensity and alleviate the health risks of human employees" and reduce working hours while delivering high-quality services. While they may impact traditional positions, they "create a large number of jobs, including R&amp;D technicians, engineers, salespeople, after-sales service personnel". Robots are viewed as "capable assistants to human employees" rather than complete replacements.</t>
  </si>
  <si>
    <t>Hotel robots “enhance service efficiency” and reduce labor costs and energy consumption. They undertake repetitive and high-intensity tasks, reducing environmental pollution. Robots “reduce the working hours of employees” while delivering high-quality and personalized services. They may impact traditional hotel positions but also create new job opportunities such as R&amp;D technicians, engineers, salespeople, and after-sales service personnel. Robots can alleviate employee workload and health risks and serve as capable assistants rather than replacements.</t>
  </si>
  <si>
    <t>“However, issues such as the emotional expression capabilities of robots, the balancing of interests for the customers, etc., may lead to controversy and ethical problems. For instance, excessive humanization might confuse the customers’ perception.”
“Previous attempts at robot adoption have not been successful. For instance, after causing dissatisfaction among guests, Hannah Hotel had to lay off half of the robot staff in its services. This indicates that it is extremely important to conduct research on the factors influencing the adoption of robots in the hotel industry.”
“Pizam et al. [47] focused on examining the influence of perceived risk and information security on the intention of hotel customers to use service robots. … it was found that perceived risk has a negative impact on users’ intention to use robots, while information security has a positive impact.”</t>
  </si>
  <si>
    <t>The study identifies trust as a key factor, defined as the degree to which consumers perceive a robot as "trustworthy and reliable". Trust significantly influences the intention to use. Social Presence: This is a critical non-functional requirement, referring to the degree users perceive interacting with a "social entity". It positively affects perceived playfulness and trust. Security/Privacy: There are challenges regarding "protecting the personal safety, property safety, and information security of guests". Robots must process information in accordance with privacy protection principles to build trust. Anthropomorphism: While users prefer some human characteristics, "excessive humanization might confuse the customers' perception" or lead to ethical issues.</t>
  </si>
  <si>
    <t>he study identifies concerns regarding emotional expression, ethical issues, and “excessive humanization” that may confuse customers. Previous failed implementations (e.g., Hannah Hotel reducing robot staff) highlight adoption challenges. Perceived risk negatively affects intention to use service robots; information security positively affects intention. Non-functional requirements include trust, social presence, and security/privacy, including the need to protect customers’ personal safety, property safety, and information security. Anthropomorphism can help but may also lead to confusion or ethical concerns.</t>
  </si>
  <si>
    <t>“The findings can provide reference and guidance for the design of hospitality robots, the innovation of hospitality service models, and the decision-making of hospitality managers.”
“Therefore, the R&amp;D and design of hotel robots need to focus on increasing the sense of social presence to enhance users’ perceived playfulness and trust. For example, robot designers could increase the social presence of robots through the anthropomorphic design of robots’ appearances, the design of friendly voices or voices that users are familiar with, and the anthropomorphic actions of robots.”
“Developers can simplify the operation procedures of the robots, enhance their intelligence level, and enable customers to use the robot services more easily, thereby promoting the continuous progress of hotel robot technology and facilitating technological innovation in the hotel industry.”
“By adopting innovative robots that meet customer needs, hotels can provide convenience for guests with mobility impairments and language barriers and can also respond quickly to guests’ needs during peak tourist seasons…, achieving service efficiency and fairness, improving service accessibility, and enhancing the image of the hotel industry, as well as reducing carbon emissions and operational costs, and minimizing the amount of waste generated by traditional human services.”</t>
  </si>
  <si>
    <t>Design: Developers should focus on "increasing the sense of social presence" through "anthropomorphic design of robots' appearances, the design of friendly voices... and the anthropomorphic actions". Functionality: Designers should "simplify the operation procedures of the robots, enhance their intelligence level" to improve perceived ease of use. Service Model: Hotels should "enrich the fun services and offer personalized service" to leverage the user's motivation for enjoyment. Management: Managers must ensuring the "safety and reliability of smart devices" and properly handle property safety issues. Collaboration: Robot manufacturing enterprises should "collaborate with artificial intelligence and software development enterprises" to develop suitable products.</t>
  </si>
  <si>
    <t>The study recommends increasing robots’ social presence through anthropomorphic appearance, friendly voice design, and anthropomorphic actions. Developers should “simplify operation procedures,” enhance intelligence, and improve ease of use. Robots should provide convenience to guests with mobility or language barriers and support high-demand periods to improve efficiency and service accessibility. Hotels can use robots to reduce carbon emissions and operational costs. Managers should design robots that enhance perceived trust, playfulness, and personalized services.</t>
  </si>
  <si>
    <t>Information &amp; Management</t>
  </si>
  <si>
    <t>https://doi.org/10.1016/j.im.2025.104099</t>
  </si>
  <si>
    <t>Wenting Wang, Rick D. Hackett, Norm Archer, Zhengchuan Xu, Yufei Yuan</t>
  </si>
  <si>
    <t>China, Canada</t>
  </si>
  <si>
    <t>AI-enabled conversational agents or chatbots (CAs) have been widely introduced in online customer service as a new type of digital worker.”
CAs “assist users directly with repetitive and straightforward inquiries while it requires human intervention in relatively complex requests.”
“CAs screen incoming requests, take over mundane inquiries, and forward inquiries that require employees to devise personalized solutions for customers.”
Industry examples (contexts):
Healthcare: “appointment scheduling, customer service responses, and patient check-in procedures”
Public service: “handle citizen inquiries and facilitate efficient service delivery”
Finance: “providing professional investment advice”
Telecommunication: “automated responses to common inquiries”
Retail: “personalized product recommendations”</t>
  </si>
  <si>
    <t>The primary context is "online customer service" across various industries including "online retailing, financial services, telecommunication services, healthcare". Specific processes involving AI agents (CAs) include:
Triage and Routing: CAs "screen incoming requests, take over mundane inquiries, and forward inquiries that require employees to devise personalized solutions".
Direct Assistance: CAs "assist users directly with repetitive and straightforward inquiries".
Specific Industry Tasks:
Healthcare: "appointment scheduling, customer service responses, and patient check-in procedures".
Finance: "providing professional investment advice".
Telecommunication: "automated responses to common inquiries".
Hotel: "reservations and checking-in/out".
Retail: "personalized product recommendations".</t>
  </si>
  <si>
    <t>The article is situated in online customer service across industries such as online retailing, financial services, telecommunication services, and healthcare. Conversational agents (CAs) screen incoming requests, take over mundane inquiries, forward complex cases to employees, and assist users with repetitive and straightforward inquiries.</t>
  </si>
  <si>
    <t>CAs defined as:
“advanced software systems with cognitive abilities such as ‘perceiving, reasoning, learning’ to interact with users through natural language.”
“Generative AI is an emerging technology that allows users to fine-tune and guide a conversation toward a desired structure, style… One of the most influential generative AI, ChatGPT…”
CA Intelligence Capabilities studied:
Autonomy: “the degree to which AI can complete the intended tasks… without human intervention.”
Learning capability: “their ability to improve inductively through data and experience in an automatic manner.”
No technical architecture, LLM architecture, multi-agent systems, reinforcement learning, system design, or implementation details appear in the article.</t>
  </si>
  <si>
    <t>The article focuses on "artificial intelligence (AI)-enabled conversational agents or chatbots (CAs)".
Specific Techniques: It highlights "generative AI" and specifically mentions "ChatGPT (Chat Generative Pre-trained Transformer)".
Capabilities: The study models CAs based on "intelligence capabilities" specifically "autonomy" and "learning capability".
Learning: It describes AI learning as the ability to "inductively improve automatically through data and experience".</t>
  </si>
  <si>
    <t>Conversational agents are defined as “advanced software systems with cognitive abilities such as perceiving, reasoning, learning” that interact with users through natural language. The article references generative AI, including ChatGPT, and describes CA intelligence via autonomy (ability to complete tasks without intervention) and learning capability (improving automatically through data and experience). No system architecture or implementation details are provided.</t>
  </si>
  <si>
    <t>“CAs… reduce repetitive tasks, enhancing work productivity, and augmenting employee cognitive ability.”
“reduce employees’ mental load, thus reducing their stress and failure rates and further manifesting better performance.”
“CAs can work on-demand 7/24, thus reducing the burden on employees of late night or weekend work.”
“CAs can provide knowledge support to employees, improving their understanding of customer needs.”
Creation of new tasks &amp; roles:
“I supervise chats and step in when something works unusual…” (qualitative response R139)
“My job has become focused on supervision.” (R110)
Increased job variety:
“My job requires more complex knowledge… I take a new responsibility/role of supervising it.”
Increased job control:
“I have more control over varying how I do my work.” (JC2 scale item)
Organizational commitment increases as job identity increases:
“Employee-perceived enhancement of job identity had a significant positive effect on their perceived enhancement of organizational commitment.”</t>
  </si>
  <si>
    <t>Productivity and Load: Impacts include "reduction in routine tasks and increased productivity" , "reducing cognitive load" , and helping "reduce employees' mental load, thus reducing their stress and failure rates".
Human Roles: Employees take on new roles such as "supervising CAs" or "supervise chats and step in when something works unusual".
Work Structure: CAs allow employees to "focus on tasks that require higher-level intelligence (e.g., interpersonal communication with customers)".
Psychological/Identity: The study found that CAs "enhance employee job identity" and "boost organizational commitment" by enhancing "job variety and job control".
Negative Impacts: Potential for "dissatisfaction" or "frustration emotions" when CA performance fails expectations , and "job insecurity concern".</t>
  </si>
  <si>
    <t>Conversational agents reduce repetitive tasks, enhance productivity, and augment employee cognitive ability. They reduce employees’ mental load, stress, and failure rates, support 24/7 service availability, and reduce late-night or weekend work burdens. They provide knowledge support that improves employees’ understanding of customer needs. CA adoption creates new tasks focused on supervising CAs and increases job variety and job control. Enhanced job identity leads to increased organizational commitment.</t>
  </si>
  <si>
    <t>The article does not discuss system reliability, transparency, fairness, LLM governance, model alignment, integration with legacy systems, robustness, etc.
However, qualitative comments show concerns:
“It (Chatbot) is prone to cyber-attacks and can malfunction anytime.” (R12)
“security and privacy must be ensured to prevent data breaches or unauthorized access.” (R35)
Employee concerns about threats:
“I think… my kind of job is going to be gone.” (R109)
“Its perfection will be my downfall.” (R24)
These relate to security, privacy, and psychological threat, but no technical NFR frameworks are included.
Thus:
No formal non-functional requirements (reliability, transparency, integration) are described in the text.</t>
  </si>
  <si>
    <t>Security and Privacy: Employees expressed "employee security concern" , specifically that CAs are "prone to cyber-attacks" and "may handle sensitive customer information" leading to potential data breaches.
Capability Limitations: Challenges include CAs having "difficulties understanding customers requests and having customized interactions" , and the fact that "at this moment, they (chatbots) can't think like humans".
Multilingual Requirements: There is a need for "perceived CA multilingual conversational capability" to "communicate with travelers in multiple languages" and understand "local languages" or accents.
Identity Threat: A challenge identified is "employee perceived threat to job security" and "employee perceived threat to job identity" , with concerns that "sooner or later, my job will become irrelevant".</t>
  </si>
  <si>
    <t>The article does not formally discuss reliability, transparency, fairness, or system governance. Reported concerns include vulnerability to cyber-attacks, risks of malfunction, and the need for security and privacy to prevent data breaches. Employees express job insecurity (“my job is going to be gone,” “its perfection will be my downfall”). Challenges include limited CA ability to understand complex or customized requests, multilingual capability needs, and perceived threats to employee identity.</t>
  </si>
  <si>
    <t>“This research can provide guidelines to help firms assess conditions for CA usage and value creation in frontline customer service.”
Recommendations include:
“Proper training is crucial for promoting AI solutions in the workplace.”
“Firms can develop guidelines and training programs to enhance employee identities through collaboration with CAs.”
“Companies can boost employee productivity and retention by facilitating skill upgrades and job redesign programs.”
“This research helps companies identify essential CA capabilities to focus on in the future… encourages managers to upgrade CA capabilities as AI technology advances.”</t>
  </si>
  <si>
    <t>Training: "Proper training is crucial for promoting AI solutions in the workplace". Firms should "develop guidelines and training programs to enhance employee identities through collaboration with CAs".
Job Redesign: Companies can boost productivity by "facilitating skill upgrades and job redesign programs".
Digital Employee Perspective: The paper proposes viewing CAs as "digital employees" to better understand the "intertwinement between technological and human features".
Capability Upgrades: Managers are encouraged to "upgrade CA capabilities" (specifically autonomy and learning) as technology advances to "enhance employee work experiences"</t>
  </si>
  <si>
    <t>Recommendations include providing proper training to support AI adoption, developing guidelines to enhance employee identity in collaboration with CAs, and implementing job redesign and skill-upgrade programs to improve productivity and retention. Companies should upgrade CA capabilities (e.g., autonomy, learning) as technology advances and use these findings to guide decision-making around CA usage in frontline service.</t>
  </si>
  <si>
    <t>Government Information Quarterly</t>
  </si>
  <si>
    <t>https://www.sciencedirect.com/science/article/pii/S0740624X25000553?via%3Dihub</t>
  </si>
  <si>
    <t>Aya Rizk a, Ida Lindgren b</t>
  </si>
  <si>
    <t>Sweden</t>
  </si>
  <si>
    <t>“By enabling mass decisions in areas related to healthcare, taxation, and social benefits, ADM is can potentially reduce costs and the need for resources in public organizations.” 
“ADM processes follow a similar pattern as regular decision-making process as conceptualized to include four main stages. Automation technologies may be used in one or more of these stages. The four stages are summarized as follows (Cobbe &amp; Singh, 2020; Gerdon et al., 2022):
• Information acquisition: the collection of relevant data and information from relevant sources. …
• Information analysis: the analysis and interpretation of data and information for the purpose of designing decision alternatives. For ADM this includes information processing and analytics tasks.
• Decision selection: the weighing and prioritization of alternatives based on the given data, leading to the choice of the most appropriate decision.
• Decision implementation: performing the chosen action, including communicating the decision and putting it into effect.” 
(Also: examples of administrative decisions and domains.) “Within the public sector, ADM is frequently applied to individual administrative decisions—those made by public organizations exercising their authority in a specific domain. Through the decision-making process of this type of administrative decisions, the rights or duties of individuals are determined (Weitzenboeck, 2021).”</t>
  </si>
  <si>
    <t>The article does not address customer service or business support operations. Instead, it focuses on public administration, especially administrative decision-making in domains such as healthcare, taxation, and social benefits. It breaks down automated decision-making into four stages (data acquisition, analysis, decision selection, and implementation) but does not describe processes such as CRM triage, customer-ticket routing, customer support QA, or summarization.
→ Information not available in the text for customer service–specific processes.</t>
  </si>
  <si>
    <t>“A broad spectrum of techniques can be employed to automate these decisions, either partially or fully. Examples of these technologies are basic rule-based systems, expert systems mimicking experts with domain expertise, data-driven models, and self-learning AI-driven ADM (Janssen et al., 2022; Wang et al., 2023). The degree of automation varies as well, from minimal automation where digital tools assist with tasks like data visualization or analysis to full automation where an entire process is handled by ADM (Barysė &amp; Sarel, 2023).” 
“In cases of semi-automated or highly automated decision-making, both humans and machines interact within the process—often referred to as augmented decision-making (Burton et al., 2020). … These constellations have also been referred to as maintaining a human-in-the-loop or hybrid approaches to ADM (Enarsson et al., 2022). Different modes of human-machine interaction exist, with the decision type, automation level, and approach (whether rule-based or data-driven) collectively shaping the ADM process (Elgendy et al., 2021).”</t>
  </si>
  <si>
    <t>A broad spectrum of techniques can be employed to automate these decisions, either partially or fully. Examples of these technologies are basic rule-based systems, expert systems mimicking experts with domain expertise, data-driven models, and self-learning Al-driven ADM.</t>
  </si>
  <si>
    <t>The article discusses a range of automation technologies used in public-sector decision-making, including rule-based systems, expert systems, data-driven models, and AI-driven self-learning approaches. It also notes configurations where humans and machines collaborate (human-in-the-loop and hybrid models).
However, no LLMs, multi-agent systems, or reinforcement learning are mentioned.
→ Only general ADM techniques are described; nothing specific to modern AI agents.</t>
  </si>
  <si>
    <t>“Utilizing ADM in public administration can thus lead to well-needed and sought-after efficiency gains, by reducing lead times and the need for resources in decision-making processes for mass decisions.” 
“Practical cases raise concerns as public organizations turn to ADM to make administration more efficient, leading to untransparent decision-making processes, unfair decisions, and even discrimination. … A well-documented case is the SyRI-system applied in the Netherlands to identify potential fraud in the social benefit system. After controversy, the District Court of the Hague, judged that the system, and its underlying legislation, violated the European Convention on Human Rights (Rachovitsa &amp; Johann, 2022).” 
“Rinta-Kahila et al. (2022) draw on the Australian scandal case of ADM-based collection of welfare overpayments to 470,000 citizens, ‘Robodebt’ to illustrate how negative and undesirable outcomes can emerge. … In this case, limited managerial vision, biased decisions at scale, along with a commitment to a destructive program lead to faulty decisions at scale. This, in turn, lead to a delegitimization of ADM, eventually halting the whole ADM program.” 
“Trelleborg model … Robotic Process Automation (RPA) has been implemented to automate cases of social benefits, prides itself with shorter time to decision and even reduced number of applications. However, in the later years, it has also been criticized on grounds of legality and transparency, as well as its implications on civil servants' future work and working environment (Kaun, 2022).” 
“Automation initiatives and structures associated with ADM affect civil servants, their perceptions of public values, their roles and responsibilities, and their work practices.”</t>
  </si>
  <si>
    <t>Utilizing ADM in public administration can thus lead to well-needed and sought-after efficiency gains, by reducing lead times and the need for resources in decision-making processes for mass decisions. [...] concern has also been raised on how to ensure accountability when decision-making shifts from the street-level to system-level, as this can disrupt the notion of human discretion in public sector decision-making [...] These constellations have also been referred to as maintaining a human-in-the-loop or hybrid approaches to ADM</t>
  </si>
  <si>
    <t>The article reports that ADM can create efficiency gains, such as reduced lead times and lower resource requirements for processing large volumes of administrative decisions.
At the same time, it highlights significant negative impacts, including:
– risks of unfair or biased decisions,
– potential violations of rights,
– erosion of trust and legitimacy,
– disruptions in the roles and responsibilities of civil servants,
– and organizational backlash when ADM produces large-scale erroneous decisions (e.g., Robodebt in Australia).
Overall, the article emphasizes that ADM reshapes work structures, introduces governance tensions, and may threaten the perceived fairness of public institutions.</t>
  </si>
  <si>
    <t>“These instruments principally address data protection and consumer-facing uses of automated systems, not the special demands of public administrative decision-making. … Existing regulations that cover ADM (e.g. GDPR Art. 22) do not by themselves guarantee these norms.” 
“While this by-proxy regulation may be efficient because regulations overlap, this approach raises several challenges to their applicability. The first challenge is that frameworks like the GDPR exhibit a tension between their rigid legal structure and ambiguous language, resulting in inconsistencies in how they are applied across different jurisdictions … The second challenge is having different individual rights and safeguards depending on which domain the regulation is targeting. The third challenge is that the regulations provide reactive rather than proactive measures in ensuring accountability, such as the right to issue complaints regarding faulty decisions. Studies have shown the limitations of these reactive mechanisms when ADM is implemented at scale (Fountain, 2004; Suksi, 2021).” 
“To address validity and compliance, Cobbe and Singh (2020) suggest that the decision-making process should not be reduced to individual phases, and that the governance structures for the reviewability of the decision need to take the entire process into account. … The literature focused on identifying and mitigating biases tends to focus on a single phase of the process. … Singling out these phases may be ineffective for co-dependent biases that require a more holistic approach (Li et al., 2022). This should be addressed at the organizational structure level in terms of governance processes that guide this holistic identification and mitigation of biases.”</t>
  </si>
  <si>
    <t>Implementing Automated Decision-Making (ADM) systems in public administrations raises several tensions: between efficiency and ensuring fair decisions, between public transparency and individual privacy, and between standardization and discretion. [...] concern has also been raised on how to ensure accountability when decision-making shifts from the street-level to system-level, as this can disrupt the notion of human discretion in public sector decision-making. [...] Applying ADM in public administration risks undermining this legitimacy if not carefully constructed to ensure important public values. [...] Practical cases raise concerns as public organizations turn to ADM to make administration more efficient, leading to untransparent decision-making processes, unfair decisions, and even discrimination.</t>
  </si>
  <si>
    <t>The article focuses heavily on governance and accountability challenges, especially the inadequacy of existing regulations (like GDPR) when applied to ADM. It cites issues around:
– ambiguity in legal language,
– inconsistent interpretations across jurisdictions,
– reactive (instead of proactive) safeguards,
– limited transparency,
– difficulties reviewing ADM processes end-to-end,
– and challenges mitigating bias when ADM stages are interdependent.
The emphasis is on the need for holistic governance structures that ensure reviewability, fairness, and explainability, rather than only compliance with data protection laws.</t>
  </si>
  <si>
    <t xml:space="preserve">“Organizations that aim to develop ADM systems to support their decisions must take a multitude of factors into account when designing and implementing these systems to ensure fairness, trust and perceived legitimacy of these systems. For example, previous work covered in our analysis illustrates that it is important to acknowledge that data is the foundation of ADM. The data collected to make decisions must be specific in scope and designed for the specific decision instance, as well as having high quality. Ideally, it should be visible and comprehensible to the users how the input data correlates with the output decision.” 
“Furthermore, ADM systems can be rule-based or data-driven. The current state-of-the art suggests that, whenever possible, rule-based ADM systems should be prioritized over data-driven ADM systems. The main reason behind this argument, put forth in the literature, is that rule-based ADM systems are more transparent and are perceived as fairer and more trustworthy by citizens. Automation in the earlier stages of e.g. data gathering and sorting should also be prioritized over later stages of decision-making and decision implementation.” 
“Other recommendations include establishing a separate legal entity for ADM agents (Brand, 2020), providing design teams with training on political sensitivity (Grimmelikhuijsen &amp; Meijer, 2022), encouraging civic participation, or co-creation of ADM solutions (de Bruijn et al., 2022), and constructing decision-making hybrids (Elgendy et al., 2021; Enarsson et al., 2022; Marabelli et al., 2021).” 
“To preserve public trust and legal integrity, ADM policies must include enforceable safeguards—such as human review rights, ADM audit mechanisms, and clarity on the limits of automation—tailored to the context of administrative governance. … Periodic audits may be relevant to introduce to test for such changes on both the macro and micro levels.” 
</t>
  </si>
  <si>
    <t>The data collected to make decisions must be specific in scope and designed for the specific decision instance, as well as having high quality. [...] whenever possible, rule-based ADM systems should be prioritized over data-driven ADM systems. [...] Automation in the earlier stages of e.g. data gathering and sorting should also be prioritized over later stages of decision-making and decision implementation. Lastly, since ADM is a multi-faceted phenomenon, organizations implementing ADM systems need to assign ADM development and implementation teams that represent as diverse competences as possible to ensure suitable design of the system. The literature even suggests providing designers and developers with training on political sensitivity, just like other professions in public administrations.</t>
  </si>
  <si>
    <t>The article suggests practical guidance for deploying ADM responsibly in public administration, including:
– ensuring high-quality, decision-specific data,
– prioritizing rule-based automation over opaque data-driven models,
– automating early-stage tasks (e.g., data gathering) rather than final decisions,
– ensuring transparency about how inputs affect outputs,
– adopting human-machine hybrids rather than full automation,
– providing designers with training in political sensitivity,
– enabling civic participation and co-creation,
– and establishing structures for periodic audits and robust review mechanisms.
These measures aim to strengthen legitimacy, fairness, and trust in automated public decisions.</t>
  </si>
  <si>
    <t>Journal of Brand Management</t>
  </si>
  <si>
    <t>https://link.springer.com/article/10.1057/s41262-021-00261-7</t>
  </si>
  <si>
    <t>The abstract only states that the study investigates “AI-enabled customer service” and compares it with “human-staffed service.”
No specific processes such as triage, routing, automation, QA, CRM tasks, or decision-support are mentioned.</t>
  </si>
  <si>
    <t>The primary organizational context is customer service provision. The study investigates the matching effect of brand personality (sincerity vs. competence) and customer service provision type (human-staffed vs. AI-enabled).</t>
  </si>
  <si>
    <t>The abstract only states that the study investigates consumer preferences for AI-enabled customer service versus human-staffed service. It does not describe operational processes, workflows, automation steps, or any specific customer service tasks. No details on triage, routing, decision support, or agent automation are provided.</t>
  </si>
  <si>
    <t>The abstract simply refers to “AI-enabled customer service.”
It does not specify LLMs, multi-agent systems, reinforcement learning, algorithms, or any technical implementation.a</t>
  </si>
  <si>
    <t>The abstract does not describe any AI techniques, models, or architectures. It treats “AI-enabled customer service” as a conceptual service-delivery mode without specifying the underlying technology. There is no mention of LLMs, multi-agent systems, reinforcement learning, or any technical implementation details.</t>
  </si>
  <si>
    <t>The abstract discusses consumer outcomes, not organizational outcomes:
– “more positive brand attitudes”
– “higher purchase intentions”
– mediated by “perceived brand authenticity.”
No productivity, work structure, or organizational performance effects are mentioned.</t>
  </si>
  <si>
    <t>The study focuses exclusively on consumer-side outcomes (brand attitudes, purchase intentions, perceived authenticity). It does not discuss organizational productivity, efficiency, workforce impacts, task automation, or structural changes within customer service operations. Therefore, no organizational impact data is available.</t>
  </si>
  <si>
    <t>The abstract contains no discussion about non-functional requirements, risks, governance, transparency, bias, or ethical concerns.</t>
  </si>
  <si>
    <t>The abstract does not mention any challenges related to reliability, transparency, governance, integration, bias, or ethics. No non-functional requirements or risks of AI-enabled customer service are discussed.</t>
  </si>
  <si>
    <t>The abstract only discusses consumer preference patterns:
– AI service works better for competence brands.
– Human service works better for sincerity brands.
– Effects depend on consumer involvement.
These are marketing insights, not operational guidelines for AI deployment.</t>
  </si>
  <si>
    <t>Findings contribute to brand personality and authenticity theory and have practical implications for companies’ marketing strategies—elucidating, for example, how the effects of utilizing AI-enabled customer service may influence brand attitudes and purchase intentions regarding brands with different “personalities.”</t>
  </si>
  <si>
    <t>The abstract offers marketing insights (e.g., AI service aligns better with competence-oriented brands), but these are not operational guidelines for implementing AI agents. There is no discussion of deployment strategies, scaling practices, safety considerations, or technical governance.</t>
  </si>
  <si>
    <t xml:space="preserve">Journal of Service Management </t>
  </si>
  <si>
    <t>https://www.emerald.com/josm/article/33/2/342/227951/Boundary-work-in-value-co-creation-practices-the</t>
  </si>
  <si>
    <t>Cristina Mele, Tiziana Russo-Spena, MariaLuisa Marzullo, Andrea Ruggiero</t>
  </si>
  <si>
    <t>This article focuses on healthcare, not customer service. Cognitive assistants are used for interaction, health monitoring and support among patients, caregivers, and healthcare professionals:
“automated dialoguing, augmented sharing, connected learning and multilayered trusting” 
“IBM Watson interacts through natural language and a conversational interface… helps them solve problems… cognitive linguistic analysis…” 
“constant control of my state of health, and voice updates” 
“ability to enter one’s daily vital signs and share them with doctors”</t>
  </si>
  <si>
    <t>Extraction: The context is healthcare for the ageing population. The AI agents (cognitive assistants) are applied to three main functions: (1) task effectiveness (improving operational efficiencies for providers and task effectiveness for consumers), (2) decision process (supporting diagnostic and care tasks for doctors and providing cognitive/memory assistance for patients by analyzing copious data) and (3) social support. The two enhanced value co-creation practices that emerge are empowering actors in medical care and engaging actors in a healthy lifestyle.</t>
  </si>
  <si>
    <t>The article does not examine customer service environments, nor does it discuss operational processes like routing, triage, CRM automation, support workflows, or any customer-facing service tasks. The focus is purely on value co-creation practices and boundary work in collaborative settings supported by cognitive assistants.
So, for customer service–specific contexts and processes, the article provides no applicable information.</t>
  </si>
  <si>
    <t>Only the following technical description exists:
“IBM Watson Health, an application for natural language processing, information retrieval, knowledge representation, automated reasoning and automatic learning technologies” 
“IBM Watson interacts through natural language and a conversational interface… cognitive linguistic analysis to identify a variety of tones”</t>
  </si>
  <si>
    <t>Extraction: The technology is referred to as cognitive assistants and the specific system studied is IBM Watson Health. It is described as an application for natural language processing, information retrieval, knowledge representation, automated reasoning and automatic learning technologies. Its features include analyzing high-volume healthcare data, understanding complex questions posed in natural language, continuous learning and proposing evidence-based answers. The technology is a cognitive computing technology.</t>
  </si>
  <si>
    <t>The article speaks broadly about cognitive assistants as digital tools that can support human actors in co-creation activities, but it does not detail any technical implementation. There is no mention of models, AI architectures, LLMs, multi-agent systems, reinforcement learning, or any type of computational mechanism.
So, regarding AI agent techniques, the article provides no direct technical information.</t>
  </si>
  <si>
    <t>Impacts described relate to healthcare value co-creation and roles of actors, not organizational KPIs:
“empowering actors in medical care and engaging actors in a healthy lifestyle” 
“Professionals may combine extensive disease expertise with the deep analytical capabilities of assistive agents to personalize insights and tailor care plans.” 
“Cognitive assistants can lighten the burden of health tasks and help people age actively and successfully” 
“reduces information asymmetry and builds trust in relationships”</t>
  </si>
  <si>
    <t>Extraction: The cognitive assistant enables actors to re-distribute responsibilities, actions and interactions on both sides of the patient–doctor relationships. It elicits two enhanced value co-creation practices: empowering actors in medical care and engaging actors in a healthy lifestyle. The boundary work enabled by the system results in a smarter resource integration that yields broader applications for augmented agency.</t>
  </si>
  <si>
    <t>The paper does not analyze operational productivity, structural changes, efficiency metrics, or impacts on organizational workflows. Its interest lies in how cognitive assistants influence boundary work during value co-creation, not in business performance or internal organizational functioning.
Therefore, there are no organizational-impact insights relevant to this SLR theme.</t>
  </si>
  <si>
    <t xml:space="preserve">The article mentions inequalities, accessibility, ethics, but no NFR framework:
“major digital and health inequalities… influence the provision of accessible, equitable, secure and context-appropriate information” 
“physical, cognitive and ethical barriers” to technology use are mentioned in future research questions </t>
  </si>
  <si>
    <t>Extraction: The assistant enacts multilayered trusting, which reduces information asymmetry and builds trust in relationships, actions, and meanings, alleviating ageing patients’ sense of vulnerability, fear, and general risk. The literature identifies the need to investigate the challenges and obstacles in resource integration  and how physical, cognitive and ethical barriers limit the actors’ boundary work. For practitioners, there is an implication that managers must appreciate how major digital and health inequalities among ageing actors will influence the provision of accessible, equitable, secure and context-appropriate information.</t>
  </si>
  <si>
    <t>The article does not discuss reliability, transparency, integration challenges, governance mechanisms, or ethical aspects of AI systems. It focuses on conceptual elements around human–technology interactions rather than technical or governance constraints.
Thus, it contains no relevant content on non-functional or governance challenges.</t>
  </si>
  <si>
    <t>Only high-level practitioner implications in healthcare:
“professionals… need to appreciate cognitive applications as boundary objects… collect and integrate different information… reduce data asymmetries and knowledge gaps” 
“professionals need to become sure of how to manipulate the patterns of resource integration among groups of actors” 
“technology providers hold a key role in supporting actors’ boundary work… enhancing active and healthy ageing co-creation practices”</t>
  </si>
  <si>
    <t>Extraction: Professionals (medical and other caregivers) need to appreciate cognitive applications as boundary objects  and leverage the boundary work they enhance by promoting dialoguing, sharing, learning and trusting. Professionals should combine expertise with analytical capabilities to personalize insights and tailor care plans , and give patients the confidence to manage their own care. Managers should appreciate how major digital and health inequalities will influence the provision of accessible, equitable, secure and context-appropriate information. Success depends on doctors and caregivers taking active roles in promoting new practices in the use of technologies, and patients being engaged.</t>
  </si>
  <si>
    <t>The article does not provide guidance for implementing AI agents or cognitive systems in organizational settings. It has no recommendations related to system deployment, operationalization, scalability, safety, or best practices. Its contribution is conceptual and theoretical rather than practical.
So, it offers no applicable guidelines or best practices for AI agent implementation.</t>
  </si>
  <si>
    <t>University of Koblenz-Landau</t>
  </si>
  <si>
    <t>https://www.researchgate.net/publication/358661561_The_Smiling_Chatbot_Investigating_Emotional_Contagion_in_Human-Chatbot_Interactions#full-text</t>
  </si>
  <si>
    <t>Konstantin Prinz (First author), Jun.-Prof. Dr. Tobias Krämer (Second author)</t>
  </si>
  <si>
    <t>The text describes service encounters in general and how chatbots communicate with customers. It states that “AI is increasingly used in business operations” and that “in the service sector, AI is most-frequently employed in the form of chatbots that are used to communicate with customers.” The work analyzes how chatbots engage in emotional contagion during customer interactions and how this affects service encounter evaluations.</t>
  </si>
  <si>
    <t>AI is increasingly used in business operations and is taking over many tasks that previously have been handled by human employees. In this respect, the service sector is no exception. Here, AI is most-frequently employed in the form of chatbots that are used to communicate with customers. The study specifically addresses emotional aspects of service encounters and how they affect service encounter performance evaluations.</t>
  </si>
  <si>
    <t>The work focuses on customer service interactions where chatbots communicate directly with customers. It examines how emotional contagion happens in service encounters and how a chatbot’s displayed emotions influence the customer’s emotional state and satisfaction with the service.</t>
  </si>
  <si>
    <t>The article does not detail technical architectures. It only refers broadly to “chatbots,” “AI applications,” and “modern computing technologies.” No mentions of LLMs, multi-agent systems, reinforcement learning, or system design details are provided.</t>
  </si>
  <si>
    <t>The applications studied are artificial intelligence (AI) applications embodied as chatbots. The central research question concerns the process of emotional contagion between a chatbot that displays positive emotions and a human customer.</t>
  </si>
  <si>
    <t>The abstract doesn’t describe technical AI methods. It only mentions AI chatbots in general, without explaining models, architectures, or any specific AI techniques.</t>
  </si>
  <si>
    <t>The dissertation states that emotional contagion in chatbot interactions “positively influences the evaluation of the service provided by the chatbot.” It notes that as AI takes over tasks handled by employees, “the way service tasks are being performed is to change tremendously,” and that chatbot-triggered emotional changes affect satisfaction, future loyalty intentions, and positive word-of-mouth.</t>
  </si>
  <si>
    <t>The study investigates the outcomes in the context of human-to-chatbots interactions, such as encounter satisfaction, future loyalty intentions and positive word-of-mouth. The results clearly show that a chatbot is capable of triggering a change in the affective state of the customer, and this also positively influences the evaluation of the service provided by the chatbot.</t>
  </si>
  <si>
    <t>The findings show that emotionally expressive chatbots improve how customers evaluate the service. The research also points out that as AI takes over more service tasks, the nature of service work changes significantly. Emotional reactions toward chatbots can shape satisfaction, loyalty, and willingness to recommend the service.</t>
  </si>
  <si>
    <t>The text mentions concerns about whether AI can “replace human employees in all aspects of service encounters,” especially regarding emotional capability. It discusses that AI lacks the ability to experience emotions, raising doubts about emotional components of service encounters. No explicit references to transparency, governance, ethics frameworks, safety, or reliability appear.</t>
  </si>
  <si>
    <t>It is frequently argued that AI (due to its lack of being able to experience emotions as a biological reaction) is not capable of meeting emotional aspects of service encounters. The relevance of emotions for the success of service encounters highlights the question of whether the emotional components of service encounters being lost with the advancing use of new technologies.</t>
  </si>
  <si>
    <t>The main concern discussed is that AI doesn’t actually experience emotions, which creates doubts about whether it can fully replace humans in emotionally sensitive service interactions. No deeper discussion on governance, reliability, or ethical implications is included.</t>
  </si>
  <si>
    <t>The text suggests that designers “should not solely focus on functional aspects” and instead consider “more complex mechanisms” that reflect expectations from human-to-human interactions. It also states that the work “provides useful implications for chatbot designers and practitioners,” specifically emphasizing the importance of emotional design and social mechanisms in chatbot interactions.</t>
  </si>
  <si>
    <t>The thesis provides usefull implications for chatbot designers and practitioners. For designers, this means they should not solely focus on functional aspects such their independence from time restrictions. Instead, they have to mind much more complex mechanisms when implementing chatbots so that they can also meet the expectations of human-to-human interactions.</t>
  </si>
  <si>
    <t>The article suggests that chatbot designers should go beyond functional design and consider human-like emotional and social dynamics. The work argues that chatbots should be designed to reflect expectations typically associated with human service employees.</t>
  </si>
  <si>
    <t>https://www.researchgate.net/publication/355146552_Task_Delegability_to_AI_Evaluation_of_a_Framework_in_a_Knowledge_Work_Context/link/616031700bf51d481753bf20/download?_tp=eyJjb250ZXh0Ijp7InBhZ2UiOiJwdWJsaWNhdGlvbiIsInByZXZpb3VzUGFnZSI6bnVsbH19</t>
  </si>
  <si>
    <t>Izabel Cvetkovic, Eva Bittner</t>
  </si>
  <si>
    <t>“AI can be used to automate Q&amp;A, enabling humans to focus on high-level interactions.”
“Examples of Human-AI collaboration can be seen in clinical decision support systems and customer service chatbots.”
“The goal of it is to lay off a part of the workload and distribute labour in efficient ways.”
“An AI assistant helps users achieve their tasks by interacting with them while using machine intelligence in form of, e.g., natural language processing, speech recognition, or machine learning.”</t>
  </si>
  <si>
    <t>The primary organizational context is knowledge-intensive work  and specifically the context of knowledge work in postgraduate research. Tasks examined for delegation include: conducting systematic literature reviews, organizing appointments, and assisting in writing a mid-term paper. AI can be used to automate Q&amp;A. General examples of Human-AI collaboration mentioned are clinical decision support systems and customer service chatbots.</t>
  </si>
  <si>
    <t>The article focuses on knowledge-intensive work, specifically postgraduate research tasks such as literature reviews, data management, data preparation, coding, assisting in laboratory analysis, writing publications, developing evaluation tools, and supervising students. These tasks represent the operational processes where AI assistants might support or partially automate work. The study does not analyze customer service tasks, ticket routing, triage, CRM workflows, or business support operations. Its entire context is academic knowledge work, not organizational customer service.</t>
  </si>
  <si>
    <t>“An AI assistant helps users achieve their tasks by interacting with them while using machine intelligence in form of, e.g., natural language processing, speech recognition, or machine learning.”
“Hybrid Intelligence... combining human and artificial intelligence.”
“Mixed-initiative systems... human-in-the-loop and computer-in-the-loop designs.”</t>
  </si>
  <si>
    <t>AI assistants use machine intelligence in the form of, e.g., natural language processing, speech recognition, or machine learning. The collaboration occurs in Hybrid Knowledge Work Systems  based on the concept of Hybrid Intelligence. The preferred levels of support include computer-in-the-loop (AI leads, human assists) and human-in-the-loop (human leads, AI assists).</t>
  </si>
  <si>
    <t>The article does not describe any AI architecture, LLMs, reinforcement learning, multi-agent systems, or model design. “AI assistants” are referenced only conceptually as general systems that might use machine learning, natural language processing, or automated decision-support features. No technical implementation is provided.</t>
  </si>
  <si>
    <t>“This causes a shift in the division of labour between knowledge workers and AI assistants and increases the proportion of tasks that can be completed by humans and AI assistant(s) as a team.”
“AI capabilities are opening up new pathways for collaboration between knowledge workers and machines.”
“Results show that the factor trust predicts delegability best.”
“Tasks such as ‘conduct literature reviews’, ‘maintain accurate records’, and ‘assist in laboratory analysis’ could profit from the computer-in-the-loop approaches.”</t>
  </si>
  <si>
    <t>Combining complementary strengths of human intelligence and AI leads to a better performance than each could achieve separately and significantly contributes to mutual learning. AI assistants are designed with the intention to augment, not replace human contributions , which relieves their cognitive load and supports the work process. This leads to a shift in the division of labour between knowledge workers and AI assistants.</t>
  </si>
  <si>
    <t>The study focuses on how knowledge workers decide whether to delegate tasks to AI. It finds that trust strongly shapes delegability, and that people are more willing to delegate low-motivation, low-difficulty tasks. It also shows that some tasks, especially data-heavy or repetitive research tasks, are more suitable for AI support, while tasks involving human interaction are least delegable. The article does not discuss organizational productivity, cost savings, workflow redesign, or structural impact on institutions. The findings are strictly about human preferences and decision patterns.</t>
  </si>
  <si>
    <t>“Design issues for Human-AI collaboration... the design of explainable and transparent AI agents.”
“Delegation also requires sophisticated, interactive communication and performance controls.”
“Delegation decision also pertains to the design of intelligent agent user interfaces.”</t>
  </si>
  <si>
    <t>The factor trust predicts delegability best. Prior research emphasizes considering design issues for Human-AI collaboration, including the design of explainable and transparent AI agents. Components of the core delegation framework related to non-functional aspects include perceived machine ability, interpretability, and perceived value alignment. Strategic decisions are less likely to be delegated to AI compared to other humans due to the lack of such perception [of proximity] in the context of AI.</t>
  </si>
  <si>
    <t>The article discusses trust as the central factor in delegating tasks to AI. Concerns include interpretability, alignment with user values, and confidence in machine ability. Risk is discussed conceptually but not as a technical governance issue. The article does not address transparency requirements, reliability, system governance, legacy integration, or ethical compliance frameworks. Its focus remains behavioral and psychological rather than operational.</t>
  </si>
  <si>
    <t>“AI assistants should be designed with the intention to augment, not replace human contributions.”
“Strong preferences for human-in-the-loop and computer-in-the-loop approaches should be accounted for in the digitalization of the workplace.”
“Design of trustworthy AI… emphasizing the relevance of trust in task delegability.”
“Tasks dealing with large amounts of data… could profit from computer-in-the-loop approaches.”
“Tasks requiring common sense… are more appropriate to leverage the human-in-the-loop approach.”</t>
  </si>
  <si>
    <t>AI assistants should be designed with the intention to augment, not replace human contributions. Tasks should be allocated according to corresponding strengths (routine tasks to AI, creative non-routine tasks to humans). Task allocation should be tailored to the qualifications and skills of the users. Design should ensure a high degree of agency and situation control. Delegation requires sophisticated, interactive communication and performance controls. Previous research also emphasizes the importance of designing explainable and transparent AI agents.</t>
  </si>
  <si>
    <t>The paper suggests design implications: AI systems should support hybrid human-in-the-loop and computer-in-the-loop modes because knowledge workers strongly prefer these balanced approaches over full automation. Systems should prioritize building trust, especially through clear communication of ability and alignment. Some tasks, such as literature reviews or data cleaning, can benefit more from AI support, while creative or high-interaction tasks should retain human leadership. These are high-level design recommendations and not operational deployment guidelines.</t>
  </si>
  <si>
    <t>Journal of Travel &amp; Tourism Marketing (Vol. 39, No. 2, 228-255)</t>
  </si>
  <si>
    <t>https://www.tandfonline.com/doi/full/10.1080/10548408.2022.2061672</t>
  </si>
  <si>
    <t>Danting Cai, Hengyun Li &amp; Rob Law</t>
  </si>
  <si>
    <t>Hong Kong SAR, China / Macau SAR, China</t>
  </si>
  <si>
    <t>this study explores perceived chatbot anthropomorphism cues and their effects on customers’ chatbot usage intentions (UIs) in the online travel agency context.”
The abstract does not mention operational processes such as automated triage, routing, CRM summarization, quality assurance, or task automation.</t>
  </si>
  <si>
    <t>The context is the online travel agency (OTA) context and the broader tourism and hospitality field. The agents (chatbots) are used to facilitate effective customer interaction, enhance customer service, interact with customers as they book tourism-related products, and respond when customers encountered a problem (e.g., flight delay). The study explores their effect on customers’ chatbot usage intentions (UIs).</t>
  </si>
  <si>
    <t>The source document is a Journal article published in the Journal of Travel &amp; Tourism Marketing in 2022. The research originated from authors affiliated with institutions in Hong Kong SAR, China and Macau SAR, China. This study provides a deep, mixed-methods analysis of how the design of AI agents impacts customer acceptance and market outcomes in the service sector.</t>
  </si>
  <si>
    <t>No technical details, architectures, or AI techniques (LLMs, multi-agent systems, RL, etc.) are mentioned.
The abstract only refers to “anthropomorphizing chatbots” and “anthropomorphic cues</t>
  </si>
  <si>
    <t>The technology is referred to as AI-enabled chatbots. The study manipulates and analyzes anthropomorphic design cues, categorized as social presence cues (i.e., avatar, name, self-introduction) and emotional message cues (i.e., humor, empathy, emoticons). Information on specific technical architectures, LLMs, Multi-Agent Systems, or Reinforcement Learning is not available in the text.</t>
  </si>
  <si>
    <t>The technology investigated is AI-enabled chatbots. The approach centers on manipulating and designing anthropomorphic cues, or human-like characteristics, to improve interaction.   
These design techniques are categorized as:
Social Presence Cues: Elements such as the chatbot's avatar, humanized name, and self-introduction.   
Emotional Message Cues: Conversational elements like humor, empathy, and the use of emoticons in the dialogue.   
The article does not detail specific core AI technologies, such as LLMs, Multi-Agent Systems, or reinforcement learning architectures.</t>
  </si>
  <si>
    <t>The abstract discusses customer outcomes, not organizational effects.
It states that:
“anthropomorphic emotional message cues are essential in shaping customers’ UIs; and (4) perceived trustworthiness, intelligence, and enjoyment mediate the above effect.”
No organizational performance, productivity, workflow, or human-role impacts are described.</t>
  </si>
  <si>
    <t>Chatbots are considered a promising way to enhance service productivity, improve the user experience, and reduce operating costs. The adoption of AI-enabled customer service may influence brand attitudes and purchase intentions. The goal for enterprises is to foster productive relationships and bolster Usage Intentions (UIs), ultimately helping to increase booking rates. Furthermore, enterprises attempt to control labor costs to ensure survival.</t>
  </si>
  <si>
    <t>The organizational impacts of adoption are measured through customer-centric metrics that directly affect performance and financial viability:
Efficiency and Cost Reduction: Chatbots are viewed by enterprises as a promising way to enhance service productivity and reduce operating costs.   
Revenue and Loyalty: The goal of effective AI service is to influence brand attitudes and purchase intentions , ultimately helping to increase booking rates. Furthermore, enterprises seek to control labor costs to ensure survival.   
Customer Perception: Successful deployment facilitates effective customer interaction and increases usage intentions through mediating factors of perceived trustworthiness, intelligence, and enjoyment.</t>
  </si>
  <si>
    <t>No mentions of reliability, governance, transparency, ethical issues, accountability, or system-level risks.</t>
  </si>
  <si>
    <t>Perceived trustworthiness and intelligence mediate the effect of anthropomorphism cues on customer usage intentions. Challenges noted are that anthropomorphism can elevate customers' expectations, which may lead customers to feel disappointed , and the potential for "uncanny valley" effects where robots appear eerily similar to human staff, evoking adverse customer reactions.</t>
  </si>
  <si>
    <t>The success of AI agent adoption depends heavily on psychological and qualitative non-functional requirements:
Trust and Intelligence: Perceived trustworthiness and intelligence are essential requirements, as they mediate the positive effect of anthropomorphic design on customer usage intention.   
Unrealistic Expectations: A key challenge is that anthropomorphism can elevate customers' expectations, which, if unmet by the system's actual capability, may lead to customer disappointment and disinterest.   
Uncanny Valley Effect: Researchers note the risk of the "uncanny valley"—where the chatbot appears eerily similar to a human but remains imperfect—evoking adverse customer reactions.</t>
  </si>
  <si>
    <t>The abstract provides theoretical insights, not guidelines for implementation.
It states:
“social presence cues and emotional message cues are major anthropomorphic cues of interest for customers and enterprises.”
But it does not offer operational guidance on managing or deploying AI systems.</t>
  </si>
  <si>
    <t>OTAs should pay more attention to chatbots’ anthropomorphic emotional message cues (humor, empathy, emoticons). Simply integrating social presence cues (i.e. human avatar/name/self-disclosure) in chatbot dialogue programming is insufficient. Designers should consider the consistency of multiple anthropomorphic cues (e.g., appearance, language) when designing chatbots to enhance users’ interactive experiences and reduce the uncanny effect. Incorporating humor or emotional expression with emoticons can please customers and give users the impression that they are conversing with a human rather than a robot.</t>
  </si>
  <si>
    <t>The study offers critical prescriptive guidelines for managing the effective adoption and design of AI agents in service contexts:
Prioritize Emotional Cues: Anthropomorphic emotional message cues (humor, empathy, emoticons) are essential for shaping customers’ usage intentions.   
Avoid Superficial Cues: Simply integrating social presence cues (such as a human avatar or calling the customer by name) is insufficient to boost usage intentions.   
Focus on Consistency and Human-Touch: Designers should ensure the consistency of multiple anthropomorphic cues (e.g., appearance and language) to enhance interactive experiences and reduce uncanny effects. Incorporating humor and emotional expression helps give users the impression they are conversing with a human rather than a robot, and the ability to respond with empathy improves trust and confidence.</t>
  </si>
  <si>
    <t>European Journal of Marketing</t>
  </si>
  <si>
    <t>https://doi.org/10.1108/EJM-06-2023-0457</t>
  </si>
  <si>
    <t>Xiong, Xiling; Wong, Ipkin Anthony; Yang, Fiona X.</t>
  </si>
  <si>
    <t>"The study aims to investigate the effects of bodily feelings on preference for robotic service by examining direct and indirect sensations from physical and metaphorically projected bodily feelings."
"Through four empirical experiments involving video and recall tasks to metaphorically manipulate participants’ bodily warmth and directly manipulate ambient temperature, the authors explored the mediating role of the need for warmth and the moderating role of robotic features (warmth vs competence) on consumer willingness to engage with and pay for robotic services."
"Warmth perception exhibits a positive correlation with robotic services."</t>
  </si>
  <si>
    <t>The article investigates consumer responses to robotic services by examining bodily feelings—both direct physical sensations and metaphorically projected bodily warmth. The context is consumer preference for robotic services, mediated by bodily warmth and moderated by robotic features (warmth vs. competence). No operational or organizational processes related to customer service are described.</t>
  </si>
  <si>
    <t>"Through four empirical experiments involving video and recall tasks to metaphorically manipulate participants’ bodily warmth and directly manipulate ambient temperature, the authors explored the mediating role of the need for warmth and the moderating role of robotic features (warmth vs competence) on consumer willingness to engage with and pay for robotic services."</t>
  </si>
  <si>
    <t>The technical approach consists of four empirical experiments using video tasks and recall tasks to manipulate bodily warmth (both metaphorically and physically, via ambient temperature). The experiments assess the mediating role of the need for warmth and the moderating role of robotic features (warmth vs. competence). No AI architecture, system design, or technical description of robots is provided.</t>
  </si>
  <si>
    <t>"Warmth perception exhibits a positive correlation with robotic services. This relationship is mediated by the need for warmth. Moreover, when customers experience a sensation of physical warmth, they show a greater willingness to pay for a robotic service exhibiting competence versus warmth."
"Managers should consider using different robots based on seasonal settings to meet customers’ need for warmth. Understanding customers’ bodily feelings and the metaphoric influence of service features contributes to the design of more effective and customer-centric robotic services."</t>
  </si>
  <si>
    <t>"when customers experience a sensation of physical warmth, they show a greater willingness to pay for a robotic service exhibiting competence versus warmth."</t>
  </si>
  <si>
    <t>Warmth perception is positively correlated with preference for robotic services. This effect is mediated by the need for warmth. Physical warmth increases willingness to pay for competence-oriented robotic services. Managerial implications include tailoring robotic service features according to seasonal bodily-feeling conditions to enhance effectiveness and customer-centricity.</t>
  </si>
  <si>
    <t>No information really</t>
  </si>
  <si>
    <t>"Managers should consider using different robots based on seasonal settings to meet customers’ need for warmth."
"Understanding customers’ bodily feelings and the metaphoric influence of service features contributes to the design of more effective and customer-centric robotic services."</t>
  </si>
  <si>
    <t>"Managers should consider using different robots based on seasonal settings to meet customers’ need for warmth. Understanding customers’ bodily feelings and the metaphoric influence of service features contributes to the design of more effective and customer-centric robotic services."</t>
  </si>
  <si>
    <t>Managers should consider using different robots depending on seasonal bodily-feeling conditions to meet customers’ need for warmth. Understanding bodily feelings and their metaphorical influence on service evaluations is important for designing more customer-centric robotic services.</t>
  </si>
  <si>
    <t>Empowering Value Co-Creation in the Digital Era (IGI Global)</t>
  </si>
  <si>
    <t>Use of Artificial Intelligence Chatbots in the Hospitality Industry: Preliminary Insights on Value Co-Creation</t>
  </si>
  <si>
    <t>https://www.researchgate.net/publication/391087720_Use_of_Artificial_Intelligence_Chatbots_in_the_Hospitality_Industry_Preliminary_Insights_on_Value_Co-Creation</t>
  </si>
  <si>
    <t>Bruna Rijo; Cláudia P. Ribau; Bruno Barbosa Sousa</t>
  </si>
  <si>
    <t>“This chapter presents a preliminary reflection on the use of AI chatbots in the hotel sector.”
“…the benefits and impacts of using AI chatbots in the hotel sector.”</t>
  </si>
  <si>
    <t>The chapter is described only as presenting “a preliminary reflection on the use of AI chatbots in the hotel sector” and referring broadly to “the benefits and impacts of using AI chatbots in the hotel sector.” No technical approaches, algorithms, architectures, or AI techniques are described.</t>
  </si>
  <si>
    <t>“The results of this manuscript demonstrate the difficulty that users have in accepting the use of AI chatbots, and their fears about this new technology.”
“…the benefits and impacts of using AI chatbots in the hotel sector.”</t>
  </si>
  <si>
    <t>International Journal of Hospitality Management</t>
  </si>
  <si>
    <t>https://doi.org/10.1016/j.ijhm.2025.104187</t>
  </si>
  <si>
    <t>Hakseung Shin; Jiyoon Ryu; Yujeong Jo</t>
  </si>
  <si>
    <t>Republic of Korea</t>
  </si>
  <si>
    <t>The study investigates “AI adoption … in hospitality and tourism,” focusing on “accommodation managers and directors.” 
The authors discuss AI and automation technologies as part of hospitality business operations to maintain competitiveness.</t>
  </si>
  <si>
    <t>"hospitality businesses", "accommodation" (managers and directors), "frontline hospitality employees"</t>
  </si>
  <si>
    <t>The study investigates “AI adoption in hospitality and tourism,” focusing on “accommodation managers and directors.” It examines how hospitality businesses adopt AI and automation technologies to maintain competitiveness and discusses the implications for “frontline hospitality employees.”</t>
  </si>
  <si>
    <t>The adoption of AI leads to an evolution in required skill sets for frontline hospitality employees as AI becomes more prevalent. 
The study reveals managerial outcomes (both facilitating and inhibiting) and consequences of AI adoption — implying transformation in workforce roles.</t>
  </si>
  <si>
    <t>"managerial outcomes", "consequences of such adoption", "workforce transformation", "evolving skill sets needed for frontline employees".</t>
  </si>
  <si>
    <t>The adoption of AI leads to an evolution in the required skill sets for frontline hospitality employees as AI becomes more prevalent. The study reveals managerial outcomes—both facilitating and inhibiting—as well as consequences of AI adoption, implying transformation in workforce roles and responsibilities.</t>
  </si>
  <si>
    <t>The study identifies inhibiting factors in AI adoption from managerial interviews. 
Among the inhibitors, “resistance to change and lack of awareness and understanding” across hierarchical levels are highlighted as critical barriers.</t>
  </si>
  <si>
    <t>factors influencing AI adoption", "inhibiting factors".</t>
  </si>
  <si>
    <t>The study identifies inhibiting factors in AI adoption from managerial interviews. Among the inhibitors, “resistance to change and lack of awareness and understanding” across hierarchical levels are highlighted as critical barriers.</t>
  </si>
  <si>
    <t>The article proposes a managerial framework to guide AI adoption in hospitality and tourism. 
The authors outline practical considerations and a future research agenda to support effective adoption</t>
  </si>
  <si>
    <t>"managerial framework", "five essential skills necessary for frontline hospitality employees", "practical considerations"</t>
  </si>
  <si>
    <t>The article proposes a managerial framework to guide AI adoption in hospitality and tourism. The authors outline practical considerations and a future research agenda to support effective adoption.</t>
  </si>
  <si>
    <t>ICMarkTech 2023 – International Conference on Marketing and Technologies</t>
  </si>
  <si>
    <t>https://link.springer.com/chapter/10.1007/978-981-97-1552-7_46#citeas</t>
  </si>
  <si>
    <t>Catarina Simões, Daniela Vilão, Lara Mendes Bacalhau, Vasco Santos, João Tomaz Simões, Bruno Barbosa Sousa</t>
  </si>
  <si>
    <t>These conclusions highlight the unpredictable nature of the tourism industry and emphasize the necessity for marketers to adjust their strategies considering the emerging trends driven by technology. By embracing these advancements, marketers can effectively and meaningfully engage with modern consumers and ensure that entities remain robust contenders in the dynamic evolving and ever-fluid landscape of the tourism and hospitality sector.</t>
  </si>
  <si>
    <t>The abstract does not discuss organizational outcomes related to productivity, workflows, or internal structures. The only insight that indirectly touches on impacts is that the conclusions “highlight the unpredictable nature of the tourism industry and emphasize the necessity for marketers to adjust their strategies considering the emerging trends driven by technology,” suggesting that staying aligned with technological evolution is essential for maintaining competitiveness and consumer engagement.</t>
  </si>
  <si>
    <t>The necessity for marketers to adjust their strategies considering the emerging trends driven by technology. By embracing these advancements, marketers can effectively and meaningfully engage with modern consumers.</t>
  </si>
  <si>
    <t>The text reinforces “the necessity for marketers to adjust their strategies considering the emerging trends driven by technology,” noting that by embracing tools such as mobile technologies, social media, VR, and the metaverse, marketers can “effectively and meaningfully engage with modern consumers.” No implementation guidelines for AI agents or decision-support systems are provided.</t>
  </si>
  <si>
    <t>International Journal of Information Management</t>
  </si>
  <si>
    <t>https://www.sciencedirect.com/science/article/pii/S0268401223000233</t>
  </si>
  <si>
    <t>Yogesh K. Dwivedi, Nir Kshetri, Laurie Hughes, Emma Louise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F. Tegwen Malik, Abbas Mardani, Marcello Mariani, Sunil Mithas, Emmanuel Mogaji, Jeretta Horn Nord, Siobhan O’Connor, Fevzi Okumus, Margherita Pagani, Neeraj Pandey, Savvas Papagiannidis, Ilias O. Pappas, Nishith Pathak, Jan Pries-Heje, Ramakrishnan Raman, … (full author list continues)</t>
  </si>
  <si>
    <t>Not explicitly stated</t>
  </si>
  <si>
    <t>The primary organizational contexts include banking services and the tourism, travel, transport and hospitality industries. Specific processes mentioned are enhancing customers' experiences, providing answers to frequently asked questions, streamlining the banking relationship, and functioning as a Robo Advisor for financial advice in banking. In tourism, it assists with trip planning (itineraries, recommendations), concierge services (answering traveler inquiries), and booking and reservation inquiries. Generally, it provides fast, effective, and human-like customer interactions and assists with generating first drafts for knowledge work tasks.</t>
  </si>
  <si>
    <t>The article does not describe any organizational contexts or customer-service processes. There is no discussion of automated triage, ticket routing, CRM summarization, decision support, quality assurance, or any operational workflow related to customer service or business support. The text focuses exclusively on broad societal, educational, and ethical considerations, and provides no information about practical applications in service environments.</t>
  </si>
  <si>
    <t>“ChatGPT is a large language model… trained with a very large dataset of conversational text such as chat logs, forums and social media posts to precisely forecast what word comes next in a given sentence…” 
“At its core, ChatGPT is thus a generative textual engine, trained to rely on words and phrases used previously to describe a phenomenon or event.” 
This is the only technical description.
The article does not describe architectures, pipelines, or implementation techniques in organizational contexts.</t>
  </si>
  <si>
    <t>The technology is a cutting-edge AI language model that leverages generative AI techniques, specifically the Generative Pre-training Transformer (GPT) architecture. ChatGPT uses a combination of unsupervised pre-training and supervised fine-tuning. GPT-3 is a language model with 175 billion parameters trained on a diverse dataset. Future evolutionary models may be built more on reinforcement learning. Other foundational AI methods mentioned include deep learning, neural networks, and natural language processing (NLP).</t>
  </si>
  <si>
    <t>The article provides only a very high-level description of ChatGPT’s underlying technology. It states that ChatGPT is a large language model trained on extensive conversational data including chat logs, forums, and social media posts, with the purpose of predicting the next word in a sentence. It also characterizes the system as a generative textual engine that relies on previously observed words and phrases to construct responses. Beyond these points, the article does not discuss any implementation details, architectures, multi-agent systems, reinforcement learning approaches, or technical methods relevant to organizational deployment.</t>
  </si>
  <si>
    <t>“The development of AI and automation will threaten an increasing number of jobs…” 
“ChatGPT poses an ethical challenge of potential job loss for certain professionals such as content writers as well as educators…” 
The article focuses on education and research impacts, not on business operations or customer service.</t>
  </si>
  <si>
    <t>AI agents are predicted to enhance productivity and offer significant gains across multiple industries, particularly by accelerating knowledge work through the provision of a competent first draft for written tasks. This technology is disrupting organizational practices, creating new types of hybrid teams where AI acts as a coach, innovator, or software developer. The adoption will result in a reorganisation of required skills  and potentially lead to some jobs being made redundant due to robotic process automation.</t>
  </si>
  <si>
    <t>The article discusses impacts primarily in the context of education, research, and broader societal effects. It highlights concerns about job displacement, stating that advances in AI and automation may threaten an increasing number of jobs and that ChatGPT may create ethical challenges due to potential job loss among professionals such as content writers and educators. The text does not address impacts on productivity, performance, or work structure within organizations, nor does it discuss any outcomes specific to customer service or business operations.</t>
  </si>
  <si>
    <t>“This kind of conversational agent (CA) offers minimum transparency and often operates as ‘black box’ because it is not able to reveal its underlying decision-making processes.” 
“ChatGPT… is often biased due to the inaccurate training data…” 
“Several questions have been raised about the unethical practices followed by OpenAI in gathering training data…” 
“We can question the reliability and credibility of the produced text.”</t>
  </si>
  <si>
    <t>Challenges and non-functional requirements are central to the discourse, encompassing ethical and legal challenges. Specific threats include discrimination and biases, copyright infringement, plagiarism, fraudulent transactions, spreading false information, and misuse. The complexity of the technology, often functioning as a black-box, necessitates enhancing transparency and explainability. Reliability and accuracy are major concerns, as the agent may produce correct-sounding but logically incorrect results or content based on outdated or low-quality data.</t>
  </si>
  <si>
    <t>The article identifies several challenges related to transparency, bias, ethics, and reliability. It describes conversational agents like ChatGPT as systems that operate with minimal transparency and function as “black boxes,” unable to reveal their internal decision-making processes. It also emphasizes that ChatGPT may produce biased output because of inaccuracies in its training data, and it raises ethical concerns regarding OpenAI’s data-collection practices. In addition, the article questions the reliability and credibility of the text generated by the model. These points form the primary non-functional and ethical considerations discussed.</t>
  </si>
  <si>
    <t>Guidance related to education and research use only (not organizational deployment):
“It is important to provide guidance to students on not only the ethical implications of using the technology but also the boundaries with respect to the capabilities.” 
“Researchers have already provided compelling evidence that generative AI… provide biased output.” 
These are ethical and pedagogical guidelines, not operational deployment frameworks.</t>
  </si>
  <si>
    <t>Organizations should utilize established models like the NIST AI Risk Management Framework ("AI RMF 1.0") to systematically assess, understand, and manage risks. This should be complemented by ethical reviews and bias screening. Management must focus on determining optimal combinations of human and generative AI for tasks, developing new approaches and strategies for hybrid teamwork, and ensuring the human workforce is equipped with the skills and capabilities (both technical and non-technical) necessary to understand the limitations of generative AI.</t>
  </si>
  <si>
    <t>The article provides guidance only within academic and educational settings. It stresses the importance of instructing students on the ethical implications of using the technology and on understanding the limits of its capabilities. It also notes that researchers have demonstrated that generative AI systems may produce biased results. However, the article does not offer frameworks, best practices, governance models, or operational guidelines for adopting AI agents within organizational, business, or customer-service environments.</t>
  </si>
  <si>
    <t>Not specified</t>
  </si>
  <si>
    <t>https://link.springer.com/book/10.1007/978-981-99-1865-2</t>
  </si>
  <si>
    <t>Catherine Prentice</t>
  </si>
  <si>
    <t>The text states that the book “is focused on the organisational context, specifically how they affect employees and customers from a marketing perspective.”
It also notes that intelligence “can be utilised as a service to assist employees in performing tasks and delivering services as well as facilitating business transaction and customer experience.”
No specific operational processes such as triage, routing, ticketing, CRM, or decision-support procedures are mentioned.</t>
  </si>
  <si>
    <t>The book is focused on the organisational context, specifically how they affect employees and customers from a marketing perspective. Intelligence... can be utilized as a service to assist employees in performing tasks and delivering services as well as facilitating business transaction and customer experience. The discussion broadly covers the service industry with a focus on tourism and hospitality sector.</t>
  </si>
  <si>
    <t>The text does not describe any specific customer-service or business-support processes, nor does it detail operational activities such as triage, routing, CRM summarization, or decision-support tasks. Instead, it provides a general organizational context by stating that the book focuses on how emotional and artificial intelligence influence employees and customers from a marketing and service perspective. It explains that these forms of intelligence can function as services that assist employees in performing tasks, delivering services, and facilitating business transactions and customer experience. Beyond this broad framing, no concrete processes or customer-service workflows are described.</t>
  </si>
  <si>
    <t>The text does not describe any technical mechanisms or AI architectures. It states only that Chapters 6–8 examine “AI service quality,” how AI is “operationalised as a service,” and how AI influences employees and customers.
No specific algorithms, models, architectures, or technical implementations are mentioned.</t>
  </si>
  <si>
    <t>The provided text does not include technical descriptions of artificial intelligence systems, models, algorithms, or architectures. Although the book discusses AI from a conceptual and service-oriented perspective, the preview does not mention specific technologies such as large language models, reinforcement learning, multi-agent systems, neural networks, or any implementation details. The closest reference is the statement that Chapters 6–8 “anatomise AI” and explain how it is operationalised as a service, but no technical or methodological information is provided in the excerpt.</t>
  </si>
  <si>
    <t>The book states that intelligence “in businesses must turn into organisational assets to manifest their values.”
It also highlights that service “plays a key role in organisational performance and customer relationship with the organisation.”
Additionally, Chapter 11 “integrate[s] EI and AI… to understand their effects on both employees and customers,” covering service industries such as tourism and hospitality, and includes “empirical studies… to address their effects in these sectors.”</t>
  </si>
  <si>
    <t>Service plays a key role in organisational performance and customer relationship with the organisation. The book examines the impact of AI service quality and how it is related to employee service quality.</t>
  </si>
  <si>
    <t>The text describes the general idea that both emotional and artificial intelligence act as organisational assets that can influence employees, customers, and overall performance. It emphasizes that intelligence—whether human or machine—plays a key role in enhancing service delivery and shaping customer relationships, particularly within service-dominant organisations. The book also integrates EI and AI to examine their effects on employees and customers, especially in the tourism and hospitality sectors, and references empirical studies exploring these impacts. However, the preview does not specify particular performance outcomes, productivity metrics, or detailed organisational changes.</t>
  </si>
  <si>
    <t>No challenges, risks, limitations, or non-functional requirements are mentioned in the provided text.</t>
  </si>
  <si>
    <t>The text does not discuss challenges related to the reliability, transparency, governance, ethics, or integration of AI systems. There is no mention of risks, limitations, biases, or non-functional requirements associated with implementing AI or EI in organisational contexts. As such, the excerpt provides no information on the constraints or challenges typically associated with AI deployment.</t>
  </si>
  <si>
    <t>The text does not present guidelines or best practices. It only describes the book’s structure and the conceptual stance that EI and AI are viewed as organisational services.</t>
  </si>
  <si>
    <t>This book is suitable for business practitioners. Chapter 8 is extended to develop a scale to measure such AI service, named AI service quality.</t>
  </si>
  <si>
    <t>No guidelines, frameworks, or best practices for implementing AI systems or integrating EI and AI in organisational environments are included in the provided text. Although the book aims to conceptually frame EI and AI as services and examines their effects on employees and customers, the excerpt offers no practical recommendations, governance structures, adoption models, or management practices. Therefore, no actionable guidance can be extracted from the available content.</t>
  </si>
  <si>
    <t>International Journal of Contemporary Hospitality Management (IJCHM)</t>
  </si>
  <si>
    <t>https://www.emerald.com/ijchm/article-abstract/35/2/533/124933/A-systematic-and-critical-review-of-Internet-of?redirectedFrom=fulltext</t>
  </si>
  <si>
    <t>Zakaria Elkhwesky, Esraa Fayez Youssif Elkhwesky</t>
  </si>
  <si>
    <t>“IoT adoption by the hospitality and tourism (H&amp;T) industries is still rare and with contrasting evidence.”
The text describes IoT in the general context of the “hospitality industry” but does not specify service processes such as automated triage, routing, customer interaction workflows, or operational procedures.</t>
  </si>
  <si>
    <t>The text situates IoT within the general context of the hospitality and tourism industry and highlights its relevance for organizational decision-making and the development of a new era of firm architecture. However, it does not describe any specific customer-service or operational processes. There is no mention of activities such as triage, ticket routing, CRM support, automation workflows, or any concrete service procedures. The description remains broad, focusing only on the overall setting of hospitality rather than detailing how IoT is applied within particular service or business operations.</t>
  </si>
  <si>
    <t>The provided text does not describe any specific IoT architectures, frameworks, algorithms, or technical implementations. It only states that “Internet of Things (IoT) is a key enabler of big data” and discusses IoT conceptually.</t>
  </si>
  <si>
    <t>The provided text does not include any technical explanation of IoT systems or architectures. It does not describe algorithms, models, protocols, platforms, or implementation methods. Aside from stating that IoT is a key enabler of big data and broadly discussing its concept and applications, the excerpt contains no technical information that would clarify how IoT solutions are designed, built or deployed within hospitality contexts.</t>
  </si>
  <si>
    <t>“IoT is a key enabler of big data and it is critical toward a new age of firm's architecture and proper decision-making for the industry.”
“IoT has brought many advantages and challenges in hospitality.”</t>
  </si>
  <si>
    <t>The text notes that IoT is critical for shaping a new age of firm architecture and for enabling proper decision-making within the hospitality industry. It also states that IoT has brought advantages to hospitality while acknowledging the presence of challenges. However, it does not provide any specific organizational impacts, measurable outcomes, or descriptions of how IoT has influenced productivity, performance, work structure, or employee roles. The discussion remains general and conceptual rather than detailing concrete organizational effects.</t>
  </si>
  <si>
    <t>The text states only that IoT “has brought many advantages and challenges in hospitality.”
No specific challenges—technical, ethical, operational, or governance-related—are described within the provided excerpt.</t>
  </si>
  <si>
    <t>Although the text mentions that IoT has brought challenges to hospitality, it does not specify what these challenges entail. There is no discussion of reliability issues, ethical concerns, integration problems, transparency limitations, or governance considerations. The excerpt only indicates that challenges exist but does not elaborate on their nature or implications for hospitality organizations.</t>
  </si>
  <si>
    <t>“This systematic review provides significant implications and recommendations for hospitality sectors, IoT developers and manufacturers, governments and policymakers.”
“This review ends with an in-depth research agenda with several research questions and a framework to achieve theoretical and empirical advances in future IoT research.”</t>
  </si>
  <si>
    <t>This systematic review provides significant implications and recommendations for hospitality sectors, IoT developers and manufacturers, governments and policymakers.</t>
  </si>
  <si>
    <t>The text indicates that the review provides implications, recommendations, and a framework for advancing future IoT research. However, it does not present any specific guidelines or best practices within the excerpt. There is no detail regarding how organizations should manage, adopt, or scale IoT solutions. The statements remain broad, referring to the existence of recommendations in the full article but not describing them in the portion provided.</t>
  </si>
  <si>
    <t>Springer Series in Design and Innovation (SSDI), volume 32</t>
  </si>
  <si>
    <t>https://link.springer.com/chapter/10.1007/978-3-031-35385-7_16</t>
  </si>
  <si>
    <t>Moez Ltifi</t>
  </si>
  <si>
    <t>The text situates chatbots within online customer care contexts, noting that corporations use chatbots “for various tasks across a range of industries” and that prior studies have examined “the utilitarian usage of chatbots for online customer care.” It also states that the chapter focuses specifically on text-based chatbots as an interactive technology in customer interfaces. However, the excerpt does not specify any detailed customer service processes such as automated triage, routing, CRM summarization, or decision-support procedures.</t>
  </si>
  <si>
    <t>The text situates chatbots within the broader context of online customer care, noting that corporations across various industries are increasingly adopting them to support customer interactions. It explains that prior studies have mainly examined the utilitarian use of chatbots in online service settings, while this chapter expands the discussion by incorporating the emotional dimension of customer–chatbot interactions. Although it establishes the general customer-service environment in which chatbots operate, the excerpt does not describe any specific operational processes such as routing, triage, CRM support, information retrieval, or decision-support workflows.</t>
  </si>
  <si>
    <t>The text does not describe any technical mechanisms, architectures, or AI techniques used to develop or implement chatbots. It states only that the study draws on “the Stimulus-Organism-Response theory and the Social Presence theory” to formulate its hypotheses, and refers to text chatbots as an interactive technology. No AI models, algorithms, system architectures, or implementation details are provided in the excerpt.</t>
  </si>
  <si>
    <t>The provided text does not offer any technical description of chatbot systems. It does not explain algorithms, architectures, AI models or implementation techniques. The only conceptual information given is that the study draws on the Stimulus-Organism-Response theory and Social Presence theory to build its hypotheses and that it investigates text-based chatbots as an interactive technology. Beyond this theoretical framing, no technical or methodological details are presented.</t>
  </si>
  <si>
    <t>The text states that the study “examines the consequences of trust in the employment of chatbots as well as the attitudes of reliance and resistance.” It explains that the results aim to “enhance their capabilities, comprehend the consequences on user experiences, and provide a roadmap for relationship development and strategy creation.” These impacts relate to consumer behavior and user experience but no organizational performance metrics or structural changes are specified in the provided text.</t>
  </si>
  <si>
    <t>The text indicates that the study explores the consequences of consumer trust in chatbots and examines attitudes of reliance and resistance that emerge from using them. It also suggests that the findings aim to help e-service providers and chatbot developers better understand how chatbot interactions influence user experiences and to guide strategies for relationship development. While these points relate to consumer behavior and potential business implications, the excerpt does not provide specific organizational impacts, performance outcomes, or changes in work structure.</t>
  </si>
  <si>
    <t>The provided text does not mention reliability, transparency, ethical concerns, governance issues, or integration challenges related to chatbot adoption. No non-functional requirements or system-level constraints are described.</t>
  </si>
  <si>
    <t>The excerpt does not mention any challenges or non-functional requirements associated with chatbot adoption. There is no discussion of reliability concerns, ethical issues, governance, transparency, or integration difficulties. As presented, the text focuses on consumer trust and behavioral responses rather than technical or organizational constraints.</t>
  </si>
  <si>
    <t>The text states that the study “add[s] more valuable data for e-service providers and chatbot developers to enhance their capabilities” and offers insights “to provide a roadmap for relationship development and strategy creation.” However, it does not specify any concrete guidelines, frameworks, or best practices for managing or scaling chatbot adoption.</t>
  </si>
  <si>
    <t>The text notes that the study contributes insights intended to help e-service providers and chatbot developers improve their capabilities and develop strategies for enhancing user relationships. However, it does not offer any concrete guidelines, best practices, frameworks, or managerial recommendations. The excerpt simply states that the study provides valuable data and a roadmap conceptually, without detailing specific actionable guidance.</t>
  </si>
  <si>
    <t>RQ</t>
  </si>
  <si>
    <t>ChatGPT – acertos %</t>
  </si>
  <si>
    <t>Gemini – acertos %</t>
  </si>
  <si>
    <t>ChatGPT – parciais (%)</t>
  </si>
  <si>
    <t>Gemini – parciais (%)</t>
  </si>
  <si>
    <t>ChatGPT – erros %</t>
  </si>
  <si>
    <t>Gemini – erros %</t>
  </si>
  <si>
    <t>Concordância</t>
  </si>
  <si>
    <t xml:space="preserve">RQ1- Contexto </t>
  </si>
  <si>
    <t>RQ2- Técnicas usadas</t>
  </si>
  <si>
    <t>RQ3- Impactos</t>
  </si>
  <si>
    <t>RQ4- Desafios</t>
  </si>
  <si>
    <t>RQ5- Diretrizes/Boas práticas</t>
  </si>
  <si>
    <t>ID Artigo</t>
  </si>
  <si>
    <t>Processo (Ex Triagem/Chatbot)</t>
  </si>
  <si>
    <t>Tipo de IA (Ex LLM ou MLP)</t>
  </si>
  <si>
    <t>Modelos Citados (Ex: GPT-4, LLaMA)</t>
  </si>
  <si>
    <t xml:space="preserve">Impacto: Performance </t>
  </si>
  <si>
    <t>Impacto: Qualidade (CSAT/Precisão)</t>
  </si>
  <si>
    <t>Impacto: Papel Humano (Substituição)</t>
  </si>
  <si>
    <t>Impacto: Papel Humano (Aumento/Copiloto)</t>
  </si>
  <si>
    <t>Sentimento Geral</t>
  </si>
  <si>
    <t>Evidência (Citação curta)</t>
  </si>
  <si>
    <t>Desafio 1: (Ex: Alucinação/Confiabilidade)</t>
  </si>
  <si>
    <t>Desafio 2:</t>
  </si>
  <si>
    <t>Prática 1: Human-in-the-loop</t>
  </si>
  <si>
    <t>Prática 2: Fine-Tuning</t>
  </si>
  <si>
    <t>Prática 3 Engenharia de Prompt</t>
  </si>
  <si>
    <t>Prática 4: Governança de Dados</t>
  </si>
  <si>
    <t>Prática 5: Transparência/XAI</t>
  </si>
  <si>
    <t>General (Chatbot/Direct Support, Task Automation, Decision Support, Tutoring)</t>
  </si>
  <si>
    <t>LLM/Generative AI, Traditional ML, Natural Language Processing (NLP)</t>
  </si>
  <si>
    <t>GPT models, ChatGPT, Whisper, Random Forest</t>
  </si>
  <si>
    <t>Positive</t>
  </si>
  <si>
    <t>No</t>
  </si>
  <si>
    <t>Yes</t>
  </si>
  <si>
    <t>"Patient satisfaction rates are generally high, with many studies reporting positive user experiences and increased engagement with healthcare chatbots."</t>
  </si>
  <si>
    <t>Social Bias / Stereotypes</t>
  </si>
  <si>
    <t>Data Privacy &amp; Protection</t>
  </si>
  <si>
    <t>Process Automation (RPA), Decision Making (e.g., purchasing decisions).</t>
  </si>
  <si>
    <t>AI-enhanced RPA, Autonomous AI, Reinforcement Learning</t>
  </si>
  <si>
    <t>Not Available</t>
  </si>
  <si>
    <t>Organizations that have effectively implemented RPA... witnessed favorable effects on their strategic objectives, workforce efficiency, and customer service</t>
  </si>
  <si>
    <t>Employee Acceptance / Resistance to transferring autonomy</t>
  </si>
  <si>
    <t>Gender differences in technology adoption</t>
  </si>
  <si>
    <t>Task Automation (e.g.</t>
  </si>
  <si>
    <t>LLM/Generative AI, Multi-Agent System 4. Models Cited: GPT-4, screen2words, pix2struct, Seq2Act</t>
  </si>
  <si>
    <t>GPT 4, screen2words, pix2struct, Seq2Act</t>
  </si>
  <si>
    <t>Experimental results indicated a performance jump from a 22.28% success rate in the baseline to 95.24% with Prompt2Task</t>
  </si>
  <si>
    <t>requiring an average of 0.69 user interventions for each new task.</t>
  </si>
  <si>
    <t>Diverse and unclear textual inputs (Need to infer intentions from vague instructions).</t>
  </si>
  <si>
    <t>Dynamic operating environments (App updates, changing UI States)</t>
  </si>
  <si>
    <t>Human-Machine Collaboration / Service Delivery</t>
  </si>
  <si>
    <t>AI (General), Robotics, Generative AI.</t>
  </si>
  <si>
    <t>ChatGPT.</t>
  </si>
  <si>
    <t>"This collaboration has the potential to enhance productivity and enrich customer experiences, contributing to the broader evolution of work environments."</t>
  </si>
  <si>
    <t>Ethical and Societal Issues (e.g., Data bias, privacy, job displacement)</t>
  </si>
  <si>
    <t>Employee Acceptance and Well-being (e.g., Trust, fear of replacement, technostress)</t>
  </si>
  <si>
    <t>Workflow Automation / Knowledge Work Tasks (e.g., form filling, list filtering, information retrieval)</t>
  </si>
  <si>
    <t>LLM/Generative AI (Web Agents)</t>
  </si>
  <si>
    <t>GPT-4o, GPT-3.5, Llama 3, GPT-4, Llama 2, GPT-4o-V</t>
  </si>
  <si>
    <t>"A prominent benefit of UI assistants / web agents is the significant boost in worker productivity that would be achieved by automating repetitive and monotonous tasks."</t>
  </si>
  <si>
    <t>Complex User Interfaces / Long Contexts (Large DOMs, non-standard HTML)</t>
  </si>
  <si>
    <t>Performance Disparity (between open and closed-source models)</t>
  </si>
  <si>
    <t>Business Process Automation / Task Orchestration (e.g., scheduling, expense reporting, procurement)</t>
  </si>
  <si>
    <t>Conversational AI, Multi-Agent Systems, Robotic Process Automation (RPA)</t>
  </si>
  <si>
    <t>"Becoming more efficient in the parts of their jobs that they personally cared about was the primary motivator that participants cited for working with a conversational task assistant."</t>
  </si>
  <si>
    <t>Loss of Agency/Control (shifting agency away from workers</t>
  </si>
  <si>
    <t>Trust &amp; Consequences of Errors (Process and Social consequences)</t>
  </si>
  <si>
    <t>Auditing (Strategic Business Management)</t>
  </si>
  <si>
    <t>Traditional ML (Neural Networks, Fuzzy Logic, Genetic Algorithms)</t>
  </si>
  <si>
    <t>"The efficiency and effectiveness of the audit process will increase, allowing the auditor to be exempted from repetitive and monotonous tasks."</t>
  </si>
  <si>
    <t>Cost / Initial Investment (Implementation costs)</t>
  </si>
  <si>
    <t>Technical Complexity (Need for specialized knowledge/training)</t>
  </si>
  <si>
    <t>Business Performance Management / Strategic Management.</t>
  </si>
  <si>
    <t>Natural Language Processing (NLP), Text Mining, Generative AI (LLMs)</t>
  </si>
  <si>
    <t>ChatGPT, Large Language Models (LLMs).</t>
  </si>
  <si>
    <t>"It can automate routine and rule-based operations... [allowing] human resources to focus on more complex and value-adding activities."</t>
  </si>
  <si>
    <t>High failure rate of digital transformation initiatives (approx. 84% fail)</t>
  </si>
  <si>
    <t>Ambiguity and uncertainty regarding the validity and accuracy of Generative AI information</t>
  </si>
  <si>
    <t>General Task Automation / Information Retrieval / Content Creation (e.g., writing, learning, brainstorming, data analysis)</t>
  </si>
  <si>
    <t>LLM/Generative AI</t>
  </si>
  <si>
    <t>ChatGPT, GPT-4, InstructGPT.</t>
  </si>
  <si>
    <t>"The results show that user competence and autonomy dramatically increase a user's trust in ChatGPT, and trust improves... user satisfaction."</t>
  </si>
  <si>
    <t>Privacy Risks (Security, data confidentiality, loss of control over personal info)</t>
  </si>
  <si>
    <t>Information Accuracy / Reliability (Hallucinations, bias)</t>
  </si>
  <si>
    <t>Customer Experience (CX) Enhancement / Service Delivery.</t>
  </si>
  <si>
    <t>Intelligent Automation (IA), Service Robots, Generative AI (GenAI), Agentic AI.</t>
  </si>
  <si>
    <t>Not Available.</t>
  </si>
  <si>
    <t>"Smart technologies... assist older adults in maintaining their physical experiences... while also offering adaptable interactions."</t>
  </si>
  <si>
    <t>Ageism / Reinforcing negative stereotypes</t>
  </si>
  <si>
    <t>Ethical, Fairness, and Privacy Risks.</t>
  </si>
  <si>
    <t>Decision Support</t>
  </si>
  <si>
    <t>LLM/Generative AI; Augmented Intelligence (assistive framework)</t>
  </si>
  <si>
    <t>ChatGPT</t>
  </si>
  <si>
    <t>Mixed</t>
  </si>
  <si>
    <t>"Through three case studies, we demonstrate the assistive role of Augmented Intelligence and how it can serve as a catalyst for job creation and cognitive enhancement."</t>
  </si>
  <si>
    <t>Concerns about job displacement and adverse impacts on society</t>
  </si>
  <si>
    <t>"Effects of AI and IA tools on human cognitive abilities (Dunning–Kruger Effect)"</t>
  </si>
  <si>
    <t>Education/training, simulation and decision support in VR environments</t>
  </si>
  <si>
    <t>Traditional Machine Learning; Deep Learning; Reinforcement Learning; Multi-Agent Systems; Generative AI</t>
  </si>
  <si>
    <t>ChatGPT; Generative Adversarial Networks (GANs); Neural Radiance Fields; Deep Reinforcement Learning agents; Support Vector Machines; Convolutional Neural Networks; Convolutional Gated Recurrent Neural Networks; BiLSTM-based models</t>
  </si>
  <si>
    <t>"AI enhances VR’s intelligence and interactivity, enabling personalized and immersive user experiences."</t>
  </si>
  <si>
    <t>Real-time data processing bottlenecks and the trade-off between latency, accuracy, and computational cost</t>
  </si>
  <si>
    <t>User privacy and algorithmic/ethical issues in AI–VR systems</t>
  </si>
  <si>
    <t>Decision support for demand forecasting, inventory management, and personalization</t>
  </si>
  <si>
    <t>"E-grocers are using technology to accurately forecast and drive demand, manage inventory efficiently and make informed decisions based on an understanding of consumer behaviour."</t>
  </si>
  <si>
    <t>Intensified competition between unorganized, organized, and online grocery retail</t>
  </si>
  <si>
    <t>The grocery sector initially trailed other e-commerce businesses in digital adoption and growth</t>
  </si>
  <si>
    <t>LLM/Generative AI; Multi-Agent System</t>
  </si>
  <si>
    <t>ChatGPT (multiple versions, including GPT-4o mini)</t>
  </si>
  <si>
    <t>"Experimental results demonstrate TAA’s successful execution of urban accident handling workflows with maintained informational consistency."</t>
  </si>
  <si>
    <t>Scalability and economic costs related to token consumption</t>
  </si>
  <si>
    <t>Ensuring reliable, context-sensitive interactions and accurate reports over extended accident-handling dialogues</t>
  </si>
  <si>
    <t>Conceptualising and defining autonomous supply chains and their autonomy levels</t>
  </si>
  <si>
    <t>Conceptual modelling; multi-agent systems; Industry 4.0 enablers (AI, IoT, robotics)</t>
  </si>
  <si>
    <t>No specific AI model; MAS-based prototype autonomous meat supply chain platform</t>
  </si>
  <si>
    <t>"The paper introduces the MIISI model and a seven-level Supply Chain Autonomy Levels (SCAL) framework as foundational concepts for implementing autonomous supply chains, illustrated by an autonomous meat supply chain case study."</t>
  </si>
  <si>
    <t>Prototype is simulated only, with low intelligence and limited automation and no real-world deployment.</t>
  </si>
  <si>
    <t>Many technological, organisational, and regulatory issues (security, privacy, trust, SME inclusion) are acknowledged but left for future work.</t>
  </si>
  <si>
    <t>To compare and segment restaurant customers’ and owners’ preferences for different types and attributes of serving robots, and to derive implications for their effective adoption</t>
  </si>
  <si>
    <t>Discrete choice experiment (DCE), latent class analysis (LCA), scenario simulations of robot attribute combinations</t>
  </si>
  <si>
    <t>No specific AI model; uses statistical choice modelling and LCA rather than ML/LLM-based methods</t>
  </si>
  <si>
    <t>"The study shows that customers generally prefer non-humanoid movable serving robots while owners split into interaction-oriented and appearance-oriented segments, with all groups favouring a mixed human–robot service model, highlighting an uncanny-valley effect for humanoids and the need to align owner and customer priorities when deploying robots."</t>
  </si>
  <si>
    <t>Findings are based on stated preferences from a survey and hypothetical scenarios rather than observed real-world behaviour in operating restaurants.</t>
  </si>
  <si>
    <t>The sample and context are limited to South Korea, a highly digitalised market, which may restrict generalisability and calls for cross-cultural replications.</t>
  </si>
  <si>
    <t>To examine how different AI types (thinking vs. feeling) interact with consumption contexts (public vs. personal) to influence consumers’ willingness to purchase healthy food, and to test the mediating roles of cognitive and affective responses</t>
  </si>
  <si>
    <t>Two 2×2 between-subjects online experiments with Chinese university students (thinking vs. feeling AI × public vs. personal context), plus a robustness experiment with an alternative AI product; Likert scales, ANOVA, and bootstrapped mediation analysis</t>
  </si>
  <si>
    <t>Conceptual ‘thinking AI’ (data-driven, cognitive, recommendation-oriented) vs. ‘feeling AI’ (anthropomorphic, emotionally responsive assistant) based on the Huang &amp; Rust typology; implemented as scripted interactions with fictional Nutri-AI and WellEat-AI assistants rather than concrete algorithms</t>
  </si>
  <si>
    <t>"Across four scenarios (thinking/feeling AI × public/personal), the study shows a strong interaction: in public contexts, thinking AI that provides rational, data-based guidance most effectively boosts healthy-food purchase intentions via cognitive responses, whereas in personal contexts, feeling AI that offers empathetic, encouraging interaction most strongly raises intentions via affective responses; robustness checks with a second AI product replicate these effects."</t>
  </si>
  <si>
    <t>Behavioural measures are self-reported intentions from short, vignette-based experiments rather than observed long-term purchasing behaviour in real marketplaces.</t>
  </si>
  <si>
    <t>Samples are predominantly Chinese college students in a single cultural context, limiting external validity and calling for broader, cross-cultural and multi-age replications.</t>
  </si>
  <si>
    <t>Multiple processes (automation of tasks, business workflows, decision-making, innovation)</t>
  </si>
  <si>
    <t>LLM/Generative AI; Traditional Machine Learning; Reasoning AI; Autonomous AI</t>
  </si>
  <si>
    <t>ChatGPT; Google Gemini; DALL-E; GPT-4o; Microsoft Azure; Amazon Web Services; Google Cloud AI</t>
  </si>
  <si>
    <t>"The findings reveal AI’s potential to foster innovation, enhance productivity, and address complex challenges."</t>
  </si>
  <si>
    <t>Ethical use, algorithmic fairness, and data privacy issues</t>
  </si>
  <si>
    <t>Processing and analytical constraints for large-scale AI adoption analysis</t>
  </si>
  <si>
    <t>Chatbot / Direct Customer Support</t>
  </si>
  <si>
    <t>LLM / Generative AI</t>
  </si>
  <si>
    <t>"Problem-solving had a statistically significant positive effect on confirmation."</t>
  </si>
  <si>
    <t>User trust in chatbot responses is relatively weak</t>
  </si>
  <si>
    <t>Perceived convenience of chatbot usage is limited</t>
  </si>
  <si>
    <t>Chatbot / Food Recommendation &amp; Health Coaching</t>
  </si>
  <si>
    <t>LLM-based / Conversational AI with Customized Personas</t>
  </si>
  <si>
    <t>"Participants selected significantly fewer meat-heavy meals after interacting with the health coaching assistant than after the gourmet recommendation assistant."</t>
  </si>
  <si>
    <t>Interacting with chatbots tailored as health coaching assistants can effectively nudge consumers toward more sustainable food choices.</t>
  </si>
  <si>
    <t>These findings highlight the potential of human-AI interactions in promoting sustainability and offer implications for chatbot design in the restaurant industry.</t>
  </si>
  <si>
    <t>Managerial Decision-Making/Automated Decision-Making (ADM) across 8 hotel departments (Front Office, Marketing, HR, Accounting &amp; Finance, Maintenance, F&amp;B, Supply &amp; Logistics, Event Management)</t>
  </si>
  <si>
    <t>"The mean responses on 4 of the 5 benefits statements were higher than the scale's neutral answer 3, and the one-sample t-test values of 3 of these 4 means were statistically significant at $p&lt;0.01$ or $p&lt;0.001$, However, they also acknowledged the potential dehumanization effect of AI."</t>
  </si>
  <si>
    <t>AI decisions are usually opaque, meaning they are not transparent enough for humans to understand.</t>
  </si>
  <si>
    <t>AI still has biases due to biases in the algorithms/models or in the training datasets, which may lead to wrong and discriminatory decisions.</t>
  </si>
  <si>
    <t>Customer Service Provision (matching brand personality to service type: human-staffed vs. AI-enabled)</t>
  </si>
  <si>
    <t>Artificial Intelligence (AI)/AI-enabled Service</t>
  </si>
  <si>
    <t xml:space="preserve">No </t>
  </si>
  <si>
    <t>"These preferences lead to more positive brand attitudes and higher purchase intentions."</t>
  </si>
  <si>
    <t>Alignment effects emerge only for high-involvement consumers (not low-involvement consumers).</t>
  </si>
  <si>
    <t>Uncertainty about when consumers prefer AI-enabled services.</t>
  </si>
  <si>
    <t>Value Co-creation/Patient Engagement (Empowering actors in medical care and Engaging actors in a healthy lifestyle), Decision Support, Direct Support/Virtual Coach, Data Monitoring</t>
  </si>
  <si>
    <t>Cognitive Assistant/Cognitive Computing/Traditional ML</t>
  </si>
  <si>
    <t>IBM Watson Health</t>
  </si>
  <si>
    <t>"The boundary work of actors lies in a smarter resource integration that yields broader applications for augmented agency."</t>
  </si>
  <si>
    <t>Digital and health inequalities among ageing actors (access, equity, security)</t>
  </si>
  <si>
    <t>The challenges and obstacles in resource integration affecting value co-creation are not investigated.</t>
  </si>
  <si>
    <t>Customer Communication/Emotional Contagion</t>
  </si>
  <si>
    <t>Artificial Intelligence (AI)/Chatbots</t>
  </si>
  <si>
    <t>"In the context of a service encounter, the results also show that a change in the affective state, meaning emotional contagion, also positively influences the evaluation of the service provided by the chatbot in the further course."</t>
  </si>
  <si>
    <t>AI's lack of ability to experience emotions as a biological reaction.</t>
  </si>
  <si>
    <t>Design challenge of meeting complex social mechanisms of human-to-human interaction.</t>
  </si>
  <si>
    <t>Task Delegation/Task Allocation (to an AI Assistant)</t>
  </si>
  <si>
    <t>AI Assistant/Hybrid Intelligence/Computer-in-the-loop</t>
  </si>
  <si>
    <t>"The existing potential for automation of tasks in knowledge work does not directly correspond to increased performance. In contrast, AI assistants should be designed with the intention to augment, not replace human contributions."</t>
  </si>
  <si>
    <t>Small sample size/Limited statistical power</t>
  </si>
  <si>
    <t>Existing framework (Risk factor) does not fit knowledge work context</t>
  </si>
  <si>
    <t>Customer Service/Customer Interaction/Chatbot Adoption</t>
  </si>
  <si>
    <t>Chatbot/Artificial Intelligence (AI)</t>
  </si>
  <si>
    <t>"This study also enriches the literature on chatbot anthropomorphism in tourism and hospitality by showing that well-designed emotional message cues can influence consumers' perceptions and usage intentions, whereas social presence cues are insufficient."</t>
  </si>
  <si>
    <t>Disappointment due to high expectations (lower AI ability than human)</t>
  </si>
  <si>
    <t>"Uncanny valley" (discomfort from overly human-like appearance)</t>
  </si>
  <si>
    <t>Marketing Strategy and Execution, Consumer Engagement, Service Innovation, Product Dissemination</t>
  </si>
  <si>
    <t>"By embracing these advancements, marketers can effectively and meaningfully engage with modern consumers and ensure that entities remain robust contenders in the dinamic evolving and ever-fluid landscape of the tourism and hospitality sector."</t>
  </si>
  <si>
    <t>Unpredictable nature of the tourism industry</t>
  </si>
  <si>
    <t>Necessity for strategic investments in training and optimization initiatives</t>
  </si>
  <si>
    <t>Text Generation/Enhancing Productivity/Enhancing Business Activities</t>
  </si>
  <si>
    <t>"The contributors acknowledge ChatGPT’s capabilities to enhance productivity and suggest that it is likely to offer significant gains in the banking, hospitality and tourism, and information technology industries, and enhance business activities, such as management and marketing."</t>
  </si>
  <si>
    <t>Ethical and legal issues (threats to privacy/security, biases, misuse, misinformation)</t>
  </si>
  <si>
    <t>Disruptions to practices (and limitations)</t>
  </si>
  <si>
    <t>Service Delivery/Customer Experience/Organizational Performance/Employee Task Assistance</t>
  </si>
  <si>
    <t>Artificial Intelligence (AI)</t>
  </si>
  <si>
    <t>"Intelligence exhibited either by human or machine is not a tangible product, but can be utilised as a service to assist employees in performing tasks and delivering services as well as facilitating business transaction and customer experience."</t>
  </si>
  <si>
    <t>Need for a developed scale to measure AI service quality</t>
  </si>
  <si>
    <t>Decision-Making/Firm's Architecture/IoT Adoption and Application</t>
  </si>
  <si>
    <t>"IoT has brought many advantages and challenges in hospitality."</t>
  </si>
  <si>
    <t>IoT adoption in H&amp;T is rare and has contrasting evidence.</t>
  </si>
  <si>
    <t>Scarcity of hospitality IoT research.</t>
  </si>
  <si>
    <t>Online Customer Care/Customer Experience/Relationship Development</t>
  </si>
  <si>
    <t>Chatbot/Artificial Intelligence (AI)/Text Chatbots</t>
  </si>
  <si>
    <t>"Ultimately, the results add more valuable data for e-service providers and chatbot developers to enhance their capabilities, comprehend the consequences on user experiences, and provide a roadmap for relationship development and strategy creation."</t>
  </si>
  <si>
    <t>Focus on utilitarian usage only in prior studies</t>
  </si>
  <si>
    <t>Lack of research on the effect of online brand equity on brand experience and behavior</t>
  </si>
  <si>
    <t>Marketing; service delivery; communication with clients; supply chain management; trend prediction; use of chatbots and robotic information agents; intelligent decision-making</t>
  </si>
  <si>
    <t>Traditional ML / Intelligent agent technologies / Robotics (robotic information agents, chatbots)</t>
  </si>
  <si>
    <t>"Smart hospitality and tourism have provided opportunities for firms to enhance their operations and productivity, resulting in higher quality products and better processes."</t>
  </si>
  <si>
    <t>Verification/validation, accountability, transparency, bias, privacy, safety (ethics &amp; governance)</t>
  </si>
  <si>
    <t>Interoperability / lack of standardization across ecosystem / procurement coordination</t>
  </si>
  <si>
    <t>Responding to requests; conveying product information; placing orders; processing payments; tracking orders; 24/7 customer service via Facebook Messenger</t>
  </si>
  <si>
    <t>AI-powered chatbots (conversational agents; ML/NLP-based)</t>
  </si>
  <si>
    <t>"They replace employees because of their operational availability (i.e. 24/7) and lower cost."</t>
  </si>
  <si>
    <t>Information credibility / trust (accuracy, timeliness of information)</t>
  </si>
  <si>
    <t>Perceived intelligence / interactivity / uncertainty reduction</t>
  </si>
  <si>
    <t>Customer service (issue resolution); FAQs; product recommendations; 24/7 support; personalized recommendations; helping customers choose products; information search</t>
  </si>
  <si>
    <t>LLM / Generative AI (LLM-based chatbots)</t>
  </si>
  <si>
    <t>ChatGPT; LLMs (general reference)</t>
  </si>
  <si>
    <t>"Current AI chatbots can address 90% of consumer inquiries in real time, thereby improving operational efficiency."</t>
  </si>
  <si>
    <t>Trust / establishing consumer confidence in chatbot capability</t>
  </si>
  <si>
    <t>Ease of use / perceived usability vs. satisfaction trade-offs</t>
  </si>
  <si>
    <t>Preliminary screening and consultation; triage; patient–professional interaction facilitation; medical consultations; health-information dissemination; patient monitoring; automating routine queries/tasks; reduce waiting times</t>
  </si>
  <si>
    <t>AI-driven conversational agents / Virtual agents (NLP-based chatbots; multimodal agents)</t>
  </si>
  <si>
    <t>"These technologies can streamline operations, enhance efficiency and improve patient care."</t>
  </si>
  <si>
    <t>Fairness; privacy; regulatory uncertainty; algorithmic transparency (ethical &amp; governance concerns)</t>
  </si>
  <si>
    <t>Emotional receptivity / empathy and uncanny-valley / social discomfort from overly human-like interactions</t>
  </si>
  <si>
    <t>Drafting responses; meeting scheduling and calendar automation; reporting and file delivery; expense/time report handling; content creation (presentations, reviews); email and meeting summarization</t>
  </si>
  <si>
    <t>ChatGPT; Bard; GitHub Copilot; Copilot for MS Office 365; Zoom AI Companion; Perplexity; IBM WatsonX Orchestrate</t>
  </si>
  <si>
    <t>Neutral</t>
  </si>
  <si>
    <t>"LLMs have the potential to increase productivity and reduce tedious tasks in an unprecedented way."</t>
  </si>
  <si>
    <t>Repeatability / non-deterministic outputs across users (prompt variability)</t>
  </si>
  <si>
    <t>Integration constraints; privacy and data-security company policies</t>
  </si>
  <si>
    <t>Information access; completing transactions; customer support; order processing; personalized assistance</t>
  </si>
  <si>
    <t>AI-driven chatbots / SST chatbots (NLP-based)</t>
  </si>
  <si>
    <t>"Chatbots offer exceptional operational efficiency, supporting large-scale customer interactions – from order processing to complex tasks."</t>
  </si>
  <si>
    <t>Trustworthiness (integrity and believability of chatbot information)</t>
  </si>
  <si>
    <t>Lack of user awareness / difficulty standing out among competitors</t>
  </si>
  <si>
    <t>Reception; guidance; consultation; reminders; room service; check-in/check-out; delivering items; cleaning; order placement; settlement; transport; customized services</t>
  </si>
  <si>
    <t>Service robots / Intelligent robotics (AI-driven robot</t>
  </si>
  <si>
    <t>"The application of hotel robots can enhance the service efficiency of the hotel and reduce labor costs and energy consumption."</t>
  </si>
  <si>
    <t>Trust (trustworthiness, perceived reliability)</t>
  </si>
  <si>
    <t>Perceived risk / information security / privacy; anthropomorphism concerns</t>
  </si>
  <si>
    <t>General hospitality business operations / adoption of AI and automation (no specific operational processes stated)</t>
  </si>
  <si>
    <t>"The adoption of AI leads to an evolution in required skill sets for frontline hospitality employees as AI becomes more prevalent."</t>
  </si>
  <si>
    <t>Resistance to change; lack of awareness and understanding across hierarchical levels</t>
  </si>
  <si>
    <t>Managerial inhibitors to adoption (organizational barriers)</t>
  </si>
  <si>
    <t>Negative</t>
  </si>
  <si>
    <t>"The results of this manuscript demonstrate the difficulty that users have in accepting the use of AI chatbots, and their fears about this new technology."</t>
  </si>
  <si>
    <t>User acceptance / fear of technology</t>
  </si>
  <si>
    <t>Literature gap: focus on AI in general rather than individual technologies (scarcity of technology-specific studies)</t>
  </si>
  <si>
    <t>Decision-making automation; incident/request registration and processing; issue classification; report generation; developer recommendation; automated delegation; support-team matching</t>
  </si>
  <si>
    <t>Traditional ML / Artificial Neural Networks (Multilayer Perceptron - MP ANN)</t>
  </si>
  <si>
    <t>Multilayer Perceptron (MP ANN); RoBERTa (referenced); GPT-like models (referenced)</t>
  </si>
  <si>
    <t>"An information-cognitive concept of a predicting method... with the use of multilayer perceptron (MP) artificial neural networks."</t>
  </si>
  <si>
    <t>Data completeness / test coverage of possible activation chains (generalization/testing limitations)</t>
  </si>
  <si>
    <t>Consumer preference evaluation for robotic services (manipulations of bodily warmth; assessment of robotic features warmth vs competence)</t>
  </si>
  <si>
    <t>"Warmth perception exhibits a positive correlation with robotic services."</t>
  </si>
  <si>
    <t>Process Automation &amp; Order Processing</t>
  </si>
  <si>
    <t>Traditional ML</t>
  </si>
  <si>
    <t>“RPA can reduce routine and repetitive works… enhancing operational efficiency.”</t>
  </si>
  <si>
    <t>Virtual Collaboration / Teamwork Support</t>
  </si>
  <si>
    <t>Virtual Assistant (Conversational System; ML-based)</t>
  </si>
  <si>
    <t>There is no significant difference in the perceived workload of the task and the achieved score between the group supported by a VA and the group assisted by another human.</t>
  </si>
  <si>
    <t>Reduced identification with human teammates</t>
  </si>
  <si>
    <t>Unclear role of VAs as social actors vs. tools</t>
  </si>
  <si>
    <t>Decision Support via Chatbot</t>
  </si>
  <si>
    <t>Conversational AI / Chatbot</t>
  </si>
  <si>
    <t>Virtual agents that satisfy these three needs are significantly related to user engagement and user satisfaction</t>
  </si>
  <si>
    <t>Difficulty manipulating competency condition</t>
  </si>
  <si>
    <t>Limited sophistication of simulated AI environment</t>
  </si>
  <si>
    <t>Customer Service / Service Delivery (Robot-Assisted)</t>
  </si>
  <si>
    <t>Service Robot (AI-Enabled; not model-specific)</t>
  </si>
  <si>
    <t>Usefulness and usability are positively affecting attitudes… attitude, perceived value and perceived behavioral control positively influence behavioral intention.”</t>
  </si>
  <si>
    <t xml:space="preserve">
Insufficient sample size </t>
  </si>
  <si>
    <t>Theoretical model validity and systemicity require further verification</t>
  </si>
  <si>
    <t>Yes (customers interact with robots but remain decision-makers)</t>
  </si>
  <si>
    <t>Chatbot/Direct Support; Dialogue Generation &amp; Evaluation</t>
  </si>
  <si>
    <t xml:space="preserve">LLM / Generative AI (ChatGPT-3.5) </t>
  </si>
  <si>
    <t>ChatGPT 3.5</t>
  </si>
  <si>
    <t>“ChatGPT produced dialogues characterized by diverse language levels... demonstrating efficacy in generating acceptable quality dialogues</t>
  </si>
  <si>
    <t>Need to verify quality and coherence of generated dialogues (emotional + language consistency</t>
  </si>
  <si>
    <t>Limitations of automatic dialogue generation systems (novelty vs. quality assurance)</t>
  </si>
  <si>
    <t xml:space="preserve">Yes (manual evaluation and filtering of dialogues) </t>
  </si>
  <si>
    <t>Yes (explicit prompting for emotion + CEFR level)</t>
  </si>
  <si>
    <t>Integration Architecture / System Design for MARL</t>
  </si>
  <si>
    <t xml:space="preserve">Multi-Agent Reinforcement Learning (MARL) </t>
  </si>
  <si>
    <t xml:space="preserve">Not Available </t>
  </si>
  <si>
    <t>Neutral (conceptual discussion, no claims of benefits or harms)</t>
  </si>
  <si>
    <t>“The paper introduces three approaches to integrate microservices into MARL research.</t>
  </si>
  <si>
    <t>Lack of standardized architectural patterns for MARL–microservice systems</t>
  </si>
  <si>
    <t>Customer Experience / Customer–Chatbot Interaction</t>
  </si>
  <si>
    <t>Chatbots…intensify the customer experience while reducing operational costs.</t>
  </si>
  <si>
    <t>Negative customer reactions to digital technologies</t>
  </si>
  <si>
    <t>Difficulty in forming emotional relationships in utilitarian banking contexts</t>
  </si>
  <si>
    <t>Service Transformation / Member Service</t>
  </si>
  <si>
    <t>General Artificial Intelligence (no specific subtype)</t>
  </si>
  <si>
    <t>“AI represents both an opportunity and a challenge for credit unions.”</t>
  </si>
  <si>
    <t>AI overwhelms CX workers</t>
  </si>
  <si>
    <t>AI presents serious challenges in implementation</t>
  </si>
  <si>
    <t>Customer Service Interaction (Chatbot dialogue management)</t>
  </si>
  <si>
    <t>“Chatbots’ expression of humor in chit-chat dialogues leads to higher perceived entertainment and service satisfaction.”</t>
  </si>
  <si>
    <t>Distraction caused by humor in task-oriented dialogues</t>
  </si>
  <si>
    <t>Inconsistent customer reactions to chatbot identity disclosure</t>
  </si>
  <si>
    <t>Emotional Interaction / User Experience / Human–AI Communication</t>
  </si>
  <si>
    <t>Emotional AI / Affective Computing</t>
  </si>
  <si>
    <t>“Artificial emotional intelligence enhances human–computer interaction by enabling machines to interpret and respond to human emotions.”</t>
  </si>
  <si>
    <t>Ethical and privacy concerns in emotional data</t>
  </si>
  <si>
    <t>Accuracy and reliability of emotion recognition</t>
  </si>
  <si>
    <t>Chatbot Interaction / Customer Support Communication</t>
  </si>
  <si>
    <t>AI Chatbot (General—no specific ML architecture)</t>
  </si>
  <si>
    <t>Positive (AI tolerance increases willingness to engage)</t>
  </si>
  <si>
    <t>Positive (enhanced communication intention and trust)</t>
  </si>
  <si>
    <t xml:space="preserve">“AI tolerance positively influences users’ AI interaction intention.” </t>
  </si>
  <si>
    <t>Users’ low tolerance toward AI</t>
  </si>
  <si>
    <t xml:space="preserve">Perception differences affecting relationship-building with chatbots </t>
  </si>
  <si>
    <t>Direct Support / Service (Barista service).</t>
  </si>
  <si>
    <t>"The findings delineate six pivotal themes encapsulating Chinese coffee consumers' perceptions of robot baristas – Perceived Introvert Friendliness, Perceived Novelty, Perceived Intellectual Discrepancies, Perceived Efficiency and Reliability, Perceived Emotional Disconnection, and Perceived Labour Market Disruption."</t>
  </si>
  <si>
    <t>Emotional Disconnection (Mentioned as "Perceived Emotional Disconnection")</t>
  </si>
  <si>
    <t>Intellectual Discrepancies (Mentioned as "Perceived Intellectual Discrepancies").</t>
  </si>
  <si>
    <t xml:space="preserve"> No (The study focuses on consumer perception of the robot itself, not design practices)</t>
  </si>
  <si>
    <t>No.</t>
  </si>
  <si>
    <t>Service Delivery / Automation</t>
  </si>
  <si>
    <t>AI-mediated automation</t>
  </si>
  <si>
    <t>Redefinition of participation roles</t>
  </si>
  <si>
    <t>Loss of socially embedded properties in service</t>
  </si>
  <si>
    <t>Process Optimization / Automation across Finance, Supply Chain, Customer Experience</t>
  </si>
  <si>
    <t>Foundation Models, Large Language Models, Traditional ML, Domain-Specific Algorithms</t>
  </si>
  <si>
    <t>Joule Copilot, SAP BTP AI Foundation Models</t>
  </si>
  <si>
    <t>“These findings demonstrate significant implications… enhancing decision-making capabilities and operational efficiency.”</t>
  </si>
  <si>
    <t>Fragmented analysis of AI implementation across SAP ecosystem</t>
  </si>
  <si>
    <t>Need for unified platform integration</t>
  </si>
  <si>
    <t>Firm Performance / Operational Processes / Customer Satisfaction Analysis</t>
  </si>
  <si>
    <t>“Model 1 indicates a positive correlation between AI integration and firm performance.”</t>
  </si>
  <si>
    <t>Limited generalizability beyond Guangzhou</t>
  </si>
  <si>
    <t>Kitchen Workflow Optimization / Food Preparation / Delivery Operations</t>
  </si>
  <si>
    <t>“AI could drive efficiency, reduce costs, and improve the overall dining experience.”</t>
  </si>
  <si>
    <t>Managing available resources</t>
  </si>
  <si>
    <t>Process Automation / E-Commerce Roadmap Development</t>
  </si>
  <si>
    <t>“This study aims to provide a holistic view of e-commerce automation…”</t>
  </si>
  <si>
    <t>Identifying maturity levels in organizations</t>
  </si>
  <si>
    <t>Information Analysis / Information Retrieval Enhancement</t>
  </si>
  <si>
    <t>Conversational AI (LLM-based)</t>
  </si>
  <si>
    <t>“Our goal is to demonstrate the effectiveness, reliability, and scalability of the GCAIA…”</t>
  </si>
  <si>
    <t>Information overload</t>
  </si>
  <si>
    <t>Need for efficient retrieval and contextual adaptation</t>
  </si>
  <si>
    <t>Customer Service / Voice Agent Automation</t>
  </si>
  <si>
    <t>AI Voice Agents (Generative/Conversational AI implied, but not explicitly stated)</t>
  </si>
  <si>
    <t>“Key benefits such as significant cost savings, operational efficiency, 24/7 availability, and scalability are highlighted."</t>
  </si>
  <si>
    <t>Trust issues</t>
  </si>
  <si>
    <t>Regulation and technological constraints</t>
  </si>
  <si>
    <t>Decision Support / Autonomous Decision-Making in Marketing</t>
  </si>
  <si>
    <t>Autonomous AI Agents</t>
  </si>
  <si>
    <t>“Automation has evolved into intelligent decision-making.”</t>
  </si>
  <si>
    <t>Understanding AI autonomy levels in marketing</t>
  </si>
  <si>
    <t>Complaint Analysis</t>
  </si>
  <si>
    <t>Large Language Models + Topic Modeling</t>
  </si>
  <si>
    <t>“The insights obtained can potentially improve customer relationship management.”</t>
  </si>
  <si>
    <t>Increase in customer complaints</t>
  </si>
  <si>
    <t>Customer service issues</t>
  </si>
  <si>
    <t>Chatbot Development &amp; Deployment / Customer Service Automation</t>
  </si>
  <si>
    <t>Not Available (LLMs mentioned but none specified)</t>
  </si>
  <si>
    <t>Yes (chatbots handle routine queries, freeing agents)</t>
  </si>
  <si>
    <t>Yes (humans enrich content, train intents, manage tuning)</t>
  </si>
  <si>
    <t>“Overall, user ratings were mostly positive.”</t>
  </si>
  <si>
    <t>Context understanding / need for enriched content due to pilot</t>
  </si>
  <si>
    <t>Technical integration requirements (backend communication, tokens, HTML embedding)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</si>
</sst>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2">
    <font>
      <sz val="10.0"/>
      <color rgb="FF000000"/>
      <name val="Arial"/>
      <scheme val="minor"/>
    </font>
    <font>
      <b/>
      <color theme="1"/>
      <name val="Arial"/>
    </font>
    <font>
      <color theme="1"/>
      <name val="Arial"/>
    </font>
    <font>
      <b/>
      <sz val="12.0"/>
      <color theme="1"/>
      <name val="Arial"/>
    </font>
    <font>
      <sz val="12.0"/>
      <color theme="1"/>
      <name val="Arial"/>
    </font>
    <font>
      <b/>
      <sz val="10.0"/>
      <color theme="1"/>
      <name val="Arial"/>
    </font>
    <font>
      <i/>
      <color rgb="FF0000FF"/>
      <name val="Arial"/>
    </font>
    <font>
      <i/>
      <u/>
      <color rgb="FF0000FF"/>
      <name val="Arial"/>
    </font>
    <font>
      <sz val="24.0"/>
      <color theme="1"/>
      <name val="Arial"/>
    </font>
    <font>
      <u/>
      <color rgb="FF1155CC"/>
      <name val="Arial"/>
    </font>
    <font>
      <u/>
      <color rgb="FF0000FF"/>
    </font>
    <font>
      <color rgb="FF6AA84F"/>
      <name val="Arial"/>
    </font>
    <font>
      <u/>
      <color rgb="FF6AA84F"/>
    </font>
    <font>
      <i/>
      <u/>
      <color rgb="FF1155CC"/>
    </font>
    <font>
      <b/>
      <color rgb="FF0000FF"/>
      <name val="Arial"/>
    </font>
    <font>
      <b/>
      <color rgb="FFFF0000"/>
      <name val="Arial"/>
    </font>
    <font>
      <b/>
      <u/>
      <color rgb="FF0000FF"/>
    </font>
    <font>
      <i/>
      <u/>
      <color rgb="FF0000FF"/>
    </font>
    <font>
      <b/>
      <u/>
      <color rgb="FF1155CC"/>
    </font>
    <font>
      <i/>
      <u/>
      <color rgb="FF1155CC"/>
    </font>
    <font>
      <i/>
      <color rgb="FF000000"/>
      <name val="Arial"/>
    </font>
    <font>
      <color rgb="FF000000"/>
      <name val="Arial"/>
    </font>
    <font>
      <color theme="1"/>
      <name val="Arial"/>
      <scheme val="minor"/>
    </font>
    <font>
      <u/>
      <color rgb="FF0000FF"/>
    </font>
    <font>
      <sz val="11.0"/>
      <color rgb="FF000000"/>
      <name val="Calibri"/>
    </font>
    <font>
      <u/>
      <color rgb="FF000000"/>
      <name val="Arial"/>
    </font>
    <font>
      <u/>
      <color rgb="FF000000"/>
      <name val="Arial"/>
    </font>
    <font>
      <b/>
      <sz val="11.0"/>
      <color rgb="FF000000"/>
      <name val="Calibri"/>
    </font>
    <font>
      <b/>
      <color theme="1"/>
      <name val="Arial"/>
      <scheme val="minor"/>
    </font>
    <font>
      <color rgb="FFFF0000"/>
      <name val="Arial"/>
      <scheme val="minor"/>
    </font>
    <font>
      <color rgb="FF000000"/>
      <name val="Arial"/>
      <scheme val="minor"/>
    </font>
    <font>
      <color rgb="FF1F1F1F"/>
      <name val="ElsevierGulliver"/>
    </font>
    <font>
      <i/>
      <color rgb="FF000000"/>
      <name val="Arial"/>
      <scheme val="minor"/>
    </font>
    <font>
      <color rgb="FFFF0000"/>
      <name val="Arial"/>
    </font>
    <font>
      <u/>
      <color rgb="FF0000FF"/>
    </font>
    <font>
      <color rgb="FF000000"/>
    </font>
    <font>
      <b/>
      <color rgb="FF000000"/>
      <name val="Arial"/>
      <scheme val="minor"/>
    </font>
    <font>
      <u/>
      <color rgb="FF1155CC"/>
      <name val="Arial"/>
    </font>
    <font>
      <b/>
      <color theme="1"/>
      <name val="Google Sans Text"/>
    </font>
    <font>
      <color theme="1"/>
      <name val="Google Sans Text"/>
    </font>
    <font>
      <color rgb="FF1F1F1F"/>
      <name val="&quot;Google Sans Text&quot;"/>
    </font>
    <font>
      <b/>
      <color rgb="FF1F1F1F"/>
      <name val="&quot;Google Sans Text&quot;"/>
    </font>
  </fonts>
  <fills count="22">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CFE2F3"/>
        <bgColor rgb="FFCFE2F3"/>
      </patternFill>
    </fill>
    <fill>
      <patternFill patternType="solid">
        <fgColor rgb="FFEFEFEF"/>
        <bgColor rgb="FFEFEFEF"/>
      </patternFill>
    </fill>
    <fill>
      <patternFill patternType="solid">
        <fgColor rgb="FF6FA8DC"/>
        <bgColor rgb="FF6FA8DC"/>
      </patternFill>
    </fill>
    <fill>
      <patternFill patternType="solid">
        <fgColor rgb="FF00FF00"/>
        <bgColor rgb="FF00FF00"/>
      </patternFill>
    </fill>
    <fill>
      <patternFill patternType="solid">
        <fgColor rgb="FFC27BA0"/>
        <bgColor rgb="FFC27BA0"/>
      </patternFill>
    </fill>
    <fill>
      <patternFill patternType="solid">
        <fgColor rgb="FFFF0000"/>
        <bgColor rgb="FFFF0000"/>
      </patternFill>
    </fill>
    <fill>
      <patternFill patternType="solid">
        <fgColor rgb="FF93C47D"/>
        <bgColor rgb="FF93C47D"/>
      </patternFill>
    </fill>
    <fill>
      <patternFill patternType="solid">
        <fgColor rgb="FF9900FF"/>
        <bgColor rgb="FF9900FF"/>
      </patternFill>
    </fill>
    <fill>
      <patternFill patternType="solid">
        <fgColor rgb="FFEAD1DC"/>
        <bgColor rgb="FFEAD1DC"/>
      </patternFill>
    </fill>
    <fill>
      <patternFill patternType="solid">
        <fgColor rgb="FFF4CCCC"/>
        <bgColor rgb="FFF4CCCC"/>
      </patternFill>
    </fill>
    <fill>
      <patternFill patternType="solid">
        <fgColor rgb="FFFCE5CD"/>
        <bgColor rgb="FFFCE5CD"/>
      </patternFill>
    </fill>
    <fill>
      <patternFill patternType="solid">
        <fgColor rgb="FFB7E1CD"/>
        <bgColor rgb="FFB7E1CD"/>
      </patternFill>
    </fill>
    <fill>
      <patternFill patternType="solid">
        <fgColor rgb="FFFFE599"/>
        <bgColor rgb="FFFFE599"/>
      </patternFill>
    </fill>
    <fill>
      <patternFill patternType="solid">
        <fgColor rgb="FFFF9900"/>
        <bgColor rgb="FFFF9900"/>
      </patternFill>
    </fill>
    <fill>
      <patternFill patternType="solid">
        <fgColor rgb="FF00FFFF"/>
        <bgColor rgb="FF00FFFF"/>
      </patternFill>
    </fill>
    <fill>
      <patternFill patternType="solid">
        <fgColor rgb="FF1155CC"/>
        <bgColor rgb="FF1155CC"/>
      </patternFill>
    </fill>
    <fill>
      <patternFill patternType="solid">
        <fgColor rgb="FFFF00FF"/>
        <bgColor rgb="FFFF00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2" fontId="1" numFmtId="0" xfId="0" applyAlignment="1" applyFill="1" applyFont="1">
      <alignment horizontal="center"/>
    </xf>
    <xf borderId="0" fillId="3" fontId="1" numFmtId="0" xfId="0" applyAlignment="1" applyFill="1" applyFont="1">
      <alignment horizontal="left"/>
    </xf>
    <xf borderId="0" fillId="3" fontId="2" numFmtId="0" xfId="0" applyFont="1"/>
    <xf borderId="0" fillId="0" fontId="3" numFmtId="0" xfId="0" applyAlignment="1" applyFont="1">
      <alignment horizontal="left"/>
    </xf>
    <xf borderId="0" fillId="0" fontId="2" numFmtId="0" xfId="0" applyAlignment="1" applyFont="1">
      <alignment shrinkToFit="0" wrapText="1"/>
    </xf>
    <xf borderId="0" fillId="0" fontId="4" numFmtId="0" xfId="0" applyAlignment="1" applyFont="1">
      <alignment horizontal="center"/>
    </xf>
    <xf borderId="0" fillId="0" fontId="5" numFmtId="0" xfId="0" applyAlignment="1" applyFont="1">
      <alignment horizontal="left"/>
    </xf>
    <xf borderId="0" fillId="0" fontId="6" numFmtId="0" xfId="0" applyAlignment="1" applyFont="1">
      <alignment shrinkToFit="0" wrapText="1"/>
    </xf>
    <xf borderId="0" fillId="4" fontId="2" numFmtId="0" xfId="0" applyFill="1" applyFont="1"/>
    <xf borderId="0" fillId="0" fontId="2" numFmtId="0" xfId="0" applyFont="1"/>
    <xf borderId="0" fillId="0" fontId="7" numFmtId="0" xfId="0" applyAlignment="1" applyFont="1">
      <alignment shrinkToFit="0" wrapText="1"/>
    </xf>
    <xf borderId="0" fillId="4" fontId="2" numFmtId="0" xfId="0" applyAlignment="1" applyFont="1">
      <alignment shrinkToFit="0" vertical="center" wrapText="1"/>
    </xf>
    <xf borderId="0" fillId="5" fontId="1" numFmtId="0" xfId="0" applyAlignment="1" applyFill="1" applyFont="1">
      <alignment horizontal="right" vertical="center"/>
    </xf>
    <xf borderId="0" fillId="5" fontId="1" numFmtId="0" xfId="0" applyAlignment="1" applyFont="1">
      <alignment horizontal="left" shrinkToFit="0" wrapText="1"/>
    </xf>
    <xf borderId="0" fillId="0" fontId="8" numFmtId="0" xfId="0" applyFont="1"/>
    <xf borderId="0" fillId="0" fontId="4" numFmtId="0" xfId="0" applyFont="1"/>
    <xf borderId="0" fillId="0" fontId="9" numFmtId="0" xfId="0" applyFont="1"/>
    <xf borderId="0" fillId="0" fontId="10" numFmtId="0" xfId="0" applyFont="1"/>
    <xf borderId="0" fillId="0" fontId="11" numFmtId="0" xfId="0" applyFont="1"/>
    <xf borderId="0" fillId="0" fontId="12" numFmtId="0" xfId="0" applyFont="1"/>
    <xf borderId="0" fillId="0" fontId="13" numFmtId="0" xfId="0" applyAlignment="1" applyFont="1">
      <alignment shrinkToFit="0" wrapText="1"/>
    </xf>
    <xf borderId="0" fillId="0" fontId="3" numFmtId="0" xfId="0" applyFont="1"/>
    <xf borderId="0" fillId="0" fontId="1" numFmtId="0" xfId="0" applyFont="1"/>
    <xf borderId="0" fillId="3" fontId="6" numFmtId="0" xfId="0" applyAlignment="1" applyFont="1">
      <alignment shrinkToFit="0" wrapText="1"/>
    </xf>
    <xf borderId="0" fillId="3" fontId="14" numFmtId="0" xfId="0" applyAlignment="1" applyFont="1">
      <alignment horizontal="right"/>
    </xf>
    <xf borderId="0" fillId="3" fontId="3" numFmtId="0" xfId="0" applyFont="1"/>
    <xf borderId="0" fillId="0" fontId="1" numFmtId="0" xfId="0" applyAlignment="1" applyFont="1">
      <alignment vertical="bottom"/>
    </xf>
    <xf borderId="0" fillId="0" fontId="6" numFmtId="0" xfId="0" applyAlignment="1" applyFont="1">
      <alignment shrinkToFit="0" vertical="bottom" wrapText="1"/>
    </xf>
    <xf borderId="0" fillId="0" fontId="15" numFmtId="0" xfId="0" applyFont="1"/>
    <xf borderId="0" fillId="5" fontId="16" numFmtId="0" xfId="0" applyAlignment="1" applyFont="1">
      <alignment horizontal="left" shrinkToFit="0" wrapText="1"/>
    </xf>
    <xf borderId="0" fillId="0" fontId="17" numFmtId="0" xfId="0" applyAlignment="1" applyFont="1">
      <alignment shrinkToFit="0" wrapText="1"/>
    </xf>
    <xf borderId="0" fillId="5" fontId="18" numFmtId="0" xfId="0" applyAlignment="1" applyFont="1">
      <alignment horizontal="left" shrinkToFit="0" wrapText="1"/>
    </xf>
    <xf borderId="0" fillId="3" fontId="19" numFmtId="0" xfId="0" applyAlignment="1" applyFont="1">
      <alignment shrinkToFit="0" wrapText="1"/>
    </xf>
    <xf borderId="0" fillId="5" fontId="1" numFmtId="0" xfId="0" applyAlignment="1" applyFont="1">
      <alignment horizontal="center" shrinkToFit="0" wrapText="1"/>
    </xf>
    <xf borderId="0" fillId="0" fontId="20" numFmtId="0" xfId="0" applyAlignment="1" applyFont="1">
      <alignment shrinkToFit="0" wrapText="1"/>
    </xf>
    <xf borderId="0" fillId="5" fontId="1" numFmtId="0" xfId="0" applyAlignment="1" applyFont="1">
      <alignment horizontal="center" shrinkToFit="0" vertical="center" wrapText="1"/>
    </xf>
    <xf borderId="0" fillId="5" fontId="2" numFmtId="0" xfId="0" applyAlignment="1" applyFont="1">
      <alignment shrinkToFit="0" wrapText="1"/>
    </xf>
    <xf borderId="0" fillId="5" fontId="21" numFmtId="0" xfId="0" applyAlignment="1" applyFont="1">
      <alignment shrinkToFit="0" wrapText="1"/>
    </xf>
    <xf borderId="1" fillId="5" fontId="1" numFmtId="0" xfId="0" applyAlignment="1" applyBorder="1" applyFont="1">
      <alignment shrinkToFit="0" wrapText="1"/>
    </xf>
    <xf borderId="0" fillId="6" fontId="2" numFmtId="0" xfId="0" applyFill="1" applyFont="1"/>
    <xf borderId="0" fillId="7" fontId="22" numFmtId="0" xfId="0" applyAlignment="1" applyFill="1" applyFont="1">
      <alignment readingOrder="0"/>
    </xf>
    <xf borderId="0" fillId="8" fontId="22" numFmtId="0" xfId="0" applyAlignment="1" applyFill="1" applyFont="1">
      <alignment readingOrder="0"/>
    </xf>
    <xf borderId="0" fillId="0" fontId="23" numFmtId="0" xfId="0" applyAlignment="1" applyFont="1">
      <alignment readingOrder="0"/>
    </xf>
    <xf borderId="0" fillId="8" fontId="22" numFmtId="0" xfId="0" applyFont="1"/>
    <xf borderId="0" fillId="0" fontId="21" numFmtId="0" xfId="0" applyAlignment="1" applyFont="1">
      <alignment shrinkToFit="0" vertical="bottom" wrapText="0"/>
    </xf>
    <xf borderId="0" fillId="0" fontId="21" numFmtId="0" xfId="0" applyAlignment="1" applyFont="1">
      <alignment horizontal="right" shrinkToFit="0" vertical="bottom" wrapText="0"/>
    </xf>
    <xf borderId="0" fillId="0" fontId="24" numFmtId="0" xfId="0" applyAlignment="1" applyFont="1">
      <alignment shrinkToFit="0" vertical="bottom" wrapText="0"/>
    </xf>
    <xf borderId="0" fillId="0" fontId="25" numFmtId="0" xfId="0" applyAlignment="1" applyFont="1">
      <alignment readingOrder="0" shrinkToFit="0" vertical="bottom" wrapText="0"/>
    </xf>
    <xf borderId="0" fillId="8" fontId="2" numFmtId="0" xfId="0" applyAlignment="1" applyFont="1">
      <alignment vertical="bottom"/>
    </xf>
    <xf borderId="0" fillId="0" fontId="26" numFmtId="0" xfId="0" applyAlignment="1" applyFont="1">
      <alignment shrinkToFit="0" vertical="bottom" wrapText="0"/>
    </xf>
    <xf borderId="0" fillId="0" fontId="24" numFmtId="0" xfId="0" applyAlignment="1" applyFont="1">
      <alignment horizontal="right" shrinkToFit="0" vertical="bottom" wrapText="0"/>
    </xf>
    <xf borderId="0" fillId="5" fontId="22" numFmtId="0" xfId="0" applyAlignment="1" applyFont="1">
      <alignment readingOrder="0"/>
    </xf>
    <xf borderId="0" fillId="0" fontId="2" numFmtId="0" xfId="0" applyAlignment="1" applyFont="1">
      <alignment readingOrder="0" vertical="bottom"/>
    </xf>
    <xf borderId="0" fillId="9" fontId="22" numFmtId="0" xfId="0" applyAlignment="1" applyFill="1" applyFont="1">
      <alignment readingOrder="0"/>
    </xf>
    <xf borderId="0" fillId="0" fontId="22" numFmtId="0" xfId="0" applyAlignment="1" applyFont="1">
      <alignment readingOrder="0"/>
    </xf>
    <xf quotePrefix="1" borderId="0" fillId="0" fontId="24" numFmtId="0" xfId="0" applyAlignment="1" applyFont="1">
      <alignment shrinkToFit="0" vertical="bottom" wrapText="0"/>
    </xf>
    <xf borderId="0" fillId="0" fontId="24" numFmtId="0" xfId="0" applyAlignment="1" applyFont="1">
      <alignment readingOrder="0" shrinkToFit="0" vertical="bottom" wrapText="0"/>
    </xf>
    <xf borderId="0" fillId="0" fontId="27" numFmtId="0" xfId="0" applyAlignment="1" applyFont="1">
      <alignment shrinkToFit="0" vertical="bottom" wrapText="0"/>
    </xf>
    <xf borderId="0" fillId="2" fontId="22" numFmtId="0" xfId="0" applyAlignment="1" applyFont="1">
      <alignment readingOrder="0"/>
    </xf>
    <xf borderId="0" fillId="10" fontId="22" numFmtId="0" xfId="0" applyFill="1" applyFont="1"/>
    <xf borderId="0" fillId="11" fontId="22" numFmtId="0" xfId="0" applyAlignment="1" applyFill="1" applyFont="1">
      <alignment readingOrder="0"/>
    </xf>
    <xf borderId="0" fillId="12" fontId="22" numFmtId="0" xfId="0" applyAlignment="1" applyFill="1" applyFont="1">
      <alignment readingOrder="0"/>
    </xf>
    <xf borderId="0" fillId="12" fontId="22" numFmtId="0" xfId="0" applyFont="1"/>
    <xf borderId="0" fillId="0" fontId="2" numFmtId="0" xfId="0" applyAlignment="1" applyFont="1">
      <alignment vertical="bottom"/>
    </xf>
    <xf borderId="0" fillId="13" fontId="22" numFmtId="0" xfId="0" applyAlignment="1" applyFill="1" applyFont="1">
      <alignment readingOrder="0"/>
    </xf>
    <xf borderId="1" fillId="0" fontId="28" numFmtId="0" xfId="0" applyAlignment="1" applyBorder="1" applyFont="1">
      <alignment readingOrder="0"/>
    </xf>
    <xf borderId="1" fillId="0" fontId="22" numFmtId="0" xfId="0" applyAlignment="1" applyBorder="1" applyFont="1">
      <alignment readingOrder="0"/>
    </xf>
    <xf borderId="1" fillId="0" fontId="22" numFmtId="0" xfId="0" applyBorder="1" applyFont="1"/>
    <xf borderId="1" fillId="0" fontId="28" numFmtId="0" xfId="0" applyBorder="1" applyFont="1"/>
    <xf borderId="0" fillId="5" fontId="28" numFmtId="0" xfId="0" applyAlignment="1" applyFont="1">
      <alignment horizontal="center" readingOrder="0" shrinkToFit="0" vertical="center" wrapText="1"/>
    </xf>
    <xf borderId="0" fillId="5" fontId="29" numFmtId="0" xfId="0" applyAlignment="1" applyFont="1">
      <alignment horizontal="left" readingOrder="0" shrinkToFit="0" wrapText="1"/>
    </xf>
    <xf borderId="0" fillId="5" fontId="29" numFmtId="0" xfId="0" applyAlignment="1" applyFont="1">
      <alignment readingOrder="0" shrinkToFit="0" wrapText="1"/>
    </xf>
    <xf borderId="0" fillId="5" fontId="22" numFmtId="0" xfId="0" applyAlignment="1" applyFont="1">
      <alignment readingOrder="0" shrinkToFit="0" wrapText="1"/>
    </xf>
    <xf borderId="0" fillId="5" fontId="22" numFmtId="164" xfId="0" applyAlignment="1" applyFont="1" applyNumberFormat="1">
      <alignment readingOrder="0" shrinkToFit="0" wrapText="1"/>
    </xf>
    <xf borderId="1" fillId="5" fontId="28" numFmtId="0" xfId="0" applyAlignment="1" applyBorder="1" applyFont="1">
      <alignment readingOrder="0" shrinkToFit="0" wrapText="1"/>
    </xf>
    <xf borderId="0" fillId="0" fontId="29" numFmtId="0" xfId="0" applyAlignment="1" applyFont="1">
      <alignment readingOrder="0"/>
    </xf>
    <xf borderId="0" fillId="3" fontId="22" numFmtId="0" xfId="0" applyFont="1"/>
    <xf borderId="0" fillId="5" fontId="28" numFmtId="0" xfId="0" applyAlignment="1" applyFont="1">
      <alignment readingOrder="0" shrinkToFit="0" wrapText="1"/>
    </xf>
    <xf borderId="0" fillId="14" fontId="28" numFmtId="0" xfId="0" applyAlignment="1" applyFill="1" applyFont="1">
      <alignment horizontal="center" readingOrder="0" shrinkToFit="0" vertical="center" wrapText="1"/>
    </xf>
    <xf borderId="0" fillId="15" fontId="28" numFmtId="0" xfId="0" applyAlignment="1" applyFill="1" applyFont="1">
      <alignment horizontal="center" readingOrder="0" shrinkToFit="0" vertical="center" wrapText="1"/>
    </xf>
    <xf borderId="1" fillId="14" fontId="28" numFmtId="0" xfId="0" applyAlignment="1" applyBorder="1" applyFont="1">
      <alignment readingOrder="0" shrinkToFit="0" wrapText="1"/>
    </xf>
    <xf borderId="0" fillId="0" fontId="30" numFmtId="0" xfId="0" applyAlignment="1" applyFont="1">
      <alignment readingOrder="0"/>
    </xf>
    <xf borderId="0" fillId="3" fontId="22" numFmtId="0" xfId="0" applyAlignment="1" applyFont="1">
      <alignment readingOrder="0"/>
    </xf>
    <xf borderId="0" fillId="6" fontId="22" numFmtId="0" xfId="0" applyFont="1"/>
    <xf borderId="0" fillId="3" fontId="22" numFmtId="164" xfId="0" applyAlignment="1" applyFont="1" applyNumberFormat="1">
      <alignment readingOrder="0"/>
    </xf>
    <xf borderId="0" fillId="0" fontId="22" numFmtId="0" xfId="0" applyFont="1"/>
    <xf borderId="0" fillId="0" fontId="31" numFmtId="0" xfId="0" applyAlignment="1" applyFont="1">
      <alignment readingOrder="0"/>
    </xf>
    <xf borderId="0" fillId="5" fontId="28" numFmtId="0" xfId="0" applyAlignment="1" applyFont="1">
      <alignment horizontal="left" readingOrder="0" shrinkToFit="0" vertical="center" wrapText="1"/>
    </xf>
    <xf borderId="0" fillId="0" fontId="32" numFmtId="0" xfId="0" applyAlignment="1" applyFont="1">
      <alignment readingOrder="0" shrinkToFit="0" wrapText="0"/>
    </xf>
    <xf borderId="0" fillId="0" fontId="30" numFmtId="0" xfId="0" applyAlignment="1" applyFont="1">
      <alignment readingOrder="0"/>
    </xf>
    <xf borderId="0" fillId="0" fontId="33" numFmtId="0" xfId="0" applyAlignment="1" applyFont="1">
      <alignment readingOrder="0" vertical="bottom"/>
    </xf>
    <xf borderId="0" fillId="0" fontId="34" numFmtId="0" xfId="0" applyAlignment="1" applyFont="1">
      <alignment readingOrder="0"/>
    </xf>
    <xf borderId="0" fillId="0" fontId="2" numFmtId="0" xfId="0" applyAlignment="1" applyFont="1">
      <alignment vertical="bottom"/>
    </xf>
    <xf borderId="0" fillId="0" fontId="35" numFmtId="0" xfId="0" applyAlignment="1" applyFont="1">
      <alignment readingOrder="0"/>
    </xf>
    <xf borderId="0" fillId="0" fontId="28" numFmtId="0" xfId="0" applyAlignment="1" applyFont="1">
      <alignment readingOrder="0"/>
    </xf>
    <xf borderId="0" fillId="0" fontId="36" numFmtId="0" xfId="0" applyAlignment="1" applyFont="1">
      <alignment readingOrder="0"/>
    </xf>
    <xf borderId="0" fillId="0" fontId="37" numFmtId="0" xfId="0" applyAlignment="1" applyFont="1">
      <alignment vertical="bottom"/>
    </xf>
    <xf borderId="0" fillId="0" fontId="2" numFmtId="0" xfId="0" applyAlignment="1" applyFont="1">
      <alignment horizontal="right" vertical="bottom"/>
    </xf>
    <xf borderId="0" fillId="0" fontId="22" numFmtId="0" xfId="0" applyAlignment="1" applyFont="1">
      <alignment readingOrder="0"/>
    </xf>
    <xf borderId="0" fillId="16" fontId="28" numFmtId="0" xfId="0" applyAlignment="1" applyFill="1" applyFont="1">
      <alignment readingOrder="0"/>
    </xf>
    <xf borderId="0" fillId="0" fontId="38" numFmtId="0" xfId="0" applyAlignment="1" applyFont="1">
      <alignment horizontal="right" vertical="bottom"/>
    </xf>
    <xf borderId="0" fillId="0" fontId="39" numFmtId="0" xfId="0" applyAlignment="1" applyFont="1">
      <alignment vertical="bottom"/>
    </xf>
    <xf borderId="0" fillId="0" fontId="38" numFmtId="0" xfId="0" applyAlignment="1" applyFont="1">
      <alignment vertical="bottom"/>
    </xf>
    <xf borderId="0" fillId="10" fontId="22" numFmtId="0" xfId="0" applyAlignment="1" applyFont="1">
      <alignment readingOrder="0"/>
    </xf>
    <xf borderId="0" fillId="17" fontId="40" numFmtId="0" xfId="0" applyAlignment="1" applyFill="1" applyFont="1">
      <alignment readingOrder="0"/>
    </xf>
    <xf borderId="0" fillId="17" fontId="22" numFmtId="0" xfId="0" applyFont="1"/>
    <xf borderId="0" fillId="18" fontId="41" numFmtId="0" xfId="0" applyAlignment="1" applyFill="1" applyFont="1">
      <alignment readingOrder="0"/>
    </xf>
    <xf borderId="0" fillId="0" fontId="40" numFmtId="0" xfId="0" applyAlignment="1" applyFont="1">
      <alignment readingOrder="0"/>
    </xf>
    <xf borderId="0" fillId="18" fontId="28" numFmtId="0" xfId="0" applyAlignment="1" applyFont="1">
      <alignment readingOrder="0"/>
    </xf>
    <xf borderId="0" fillId="0" fontId="39" numFmtId="0" xfId="0" applyAlignment="1" applyFont="1">
      <alignment readingOrder="0" vertical="bottom"/>
    </xf>
    <xf borderId="0" fillId="19" fontId="28" numFmtId="0" xfId="0" applyAlignment="1" applyFill="1" applyFont="1">
      <alignment readingOrder="0"/>
    </xf>
    <xf borderId="0" fillId="19" fontId="41" numFmtId="0" xfId="0" applyAlignment="1" applyFont="1">
      <alignment readingOrder="0"/>
    </xf>
    <xf borderId="0" fillId="20" fontId="41" numFmtId="0" xfId="0" applyAlignment="1" applyFill="1" applyFont="1">
      <alignment readingOrder="0"/>
    </xf>
    <xf borderId="0" fillId="20" fontId="28" numFmtId="0" xfId="0" applyAlignment="1" applyFont="1">
      <alignment readingOrder="0"/>
    </xf>
    <xf borderId="0" fillId="21" fontId="41" numFmtId="0" xfId="0" applyAlignment="1" applyFill="1" applyFont="1">
      <alignment readingOrder="0"/>
    </xf>
    <xf borderId="0" fillId="21" fontId="28" numFmtId="0" xfId="0" applyAlignment="1" applyFont="1">
      <alignment readingOrder="0"/>
    </xf>
    <xf borderId="0" fillId="10" fontId="41" numFmtId="0" xfId="0" applyAlignment="1" applyFont="1">
      <alignment readingOrder="0"/>
    </xf>
    <xf borderId="0" fillId="8" fontId="41" numFmtId="0" xfId="0" applyAlignment="1" applyFont="1">
      <alignment readingOrder="0"/>
    </xf>
    <xf borderId="0" fillId="8" fontId="28" numFmtId="0" xfId="0" applyAlignment="1" applyFont="1">
      <alignment readingOrder="0"/>
    </xf>
  </cellXfs>
  <cellStyles count="1">
    <cellStyle xfId="0" name="Normal" builtinId="0"/>
  </cellStyles>
  <dxfs count="6">
    <dxf>
      <font/>
      <fill>
        <patternFill patternType="solid">
          <fgColor rgb="FFF4CCCC"/>
          <bgColor rgb="FFF4CCCC"/>
        </patternFill>
      </fill>
      <border/>
    </dxf>
    <dxf>
      <font/>
      <fill>
        <patternFill patternType="solid">
          <fgColor rgb="FFB6D7A8"/>
          <bgColor rgb="FFB6D7A8"/>
        </patternFill>
      </fill>
      <border/>
    </dxf>
    <dxf>
      <font/>
      <fill>
        <patternFill patternType="solid">
          <fgColor rgb="FFB7E1CD"/>
          <bgColor rgb="FFB7E1CD"/>
        </patternFill>
      </fill>
      <border/>
    </dxf>
    <dxf>
      <font/>
      <fill>
        <patternFill patternType="solid">
          <fgColor rgb="FFCFE2F3"/>
          <bgColor rgb="FFCFE2F3"/>
        </patternFill>
      </fill>
      <border/>
    </dxf>
    <dxf>
      <font/>
      <fill>
        <patternFill patternType="solid">
          <fgColor rgb="FFFFF2CC"/>
          <bgColor rgb="FFFFF2CC"/>
        </patternFill>
      </fill>
      <border/>
    </dxf>
    <dxf>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science/article/pii/S2543925124000123" TargetMode="External"/><Relationship Id="rId2" Type="http://schemas.openxmlformats.org/officeDocument/2006/relationships/hyperlink" Target="https://sarcouncil.com/download-article/SJMD-199-2025-863-870.pdf"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tmchre5JjFA" TargetMode="External"/><Relationship Id="rId2" Type="http://schemas.openxmlformats.org/officeDocument/2006/relationships/hyperlink" Target="https://www.youtube.com/watch?v=zUHF4w-6nhc" TargetMode="External"/><Relationship Id="rId3" Type="http://schemas.openxmlformats.org/officeDocument/2006/relationships/hyperlink" Target="https://www.youtube.com/watch?v=_i6vIjHGh0I" TargetMode="External"/><Relationship Id="rId4" Type="http://schemas.openxmlformats.org/officeDocument/2006/relationships/hyperlink" Target="https://www.youtube.com/watch?v=C-LXhuLCZdQ"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research-portal.uws.ac.uk/en/publications/client-led-design-a-systemic-approach-to-information-systems-defi" TargetMode="External"/><Relationship Id="rId2" Type="http://schemas.openxmlformats.org/officeDocument/2006/relationships/hyperlink" Target="https://docs.google.com/spreadsheets/d/1owy1iEbxJN9vW6wr3oIJF-tTO2On25AT/edit" TargetMode="External"/><Relationship Id="rId3" Type="http://schemas.openxmlformats.org/officeDocument/2006/relationships/hyperlink" Target="https://docs.google.com/spreadsheets/d/1raFegglGWhB5ezrxW8-MMIVvOo3VbycaSBnl5xZv2ZM/edit?usp=sharing" TargetMode="External"/><Relationship Id="rId4" Type="http://schemas.openxmlformats.org/officeDocument/2006/relationships/hyperlink" Target="https://docs.google.com/spreadsheets/d/1raFegglGWhB5ezrxW8-MMIVvOo3VbycaSBnl5xZv2ZM/edit?usp=sharing" TargetMode="External"/><Relationship Id="rId5" Type="http://schemas.openxmlformats.org/officeDocument/2006/relationships/hyperlink" Target="https://docs.google.com/spreadsheets/d/1raFegglGWhB5ezrxW8-MMIVvOo3VbycaSBnl5xZv2ZM/edit?usp=sharing" TargetMode="External"/><Relationship Id="rId6" Type="http://schemas.openxmlformats.org/officeDocument/2006/relationships/hyperlink" Target="https://docs.google.com/spreadsheets/d/1raFegglGWhB5ezrxW8-MMIVvOo3VbycaSBnl5xZv2ZM/edit?usp=sharing"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ci-hub.se/https://ieeexplore.ieee.org/abstract/document/8423891" TargetMode="External"/><Relationship Id="rId2" Type="http://schemas.openxmlformats.org/officeDocument/2006/relationships/hyperlink" Target="https://docs.google.com/spreadsheets/d/10V3_Zgbui7HD5bgSpMVfZfrSk2H8XOczcJvvSw-eSm4/edit" TargetMode="External"/><Relationship Id="rId3" Type="http://schemas.openxmlformats.org/officeDocument/2006/relationships/hyperlink" Target="https://docs.google.com/spreadsheets/d/1FeaD2UoM5sB2fkhJYgRnT_PjjyTy7EzvOzXjL8T54Wo/edit" TargetMode="External"/><Relationship Id="rId4" Type="http://schemas.openxmlformats.org/officeDocument/2006/relationships/hyperlink" Target="https://docs.google.com/spreadsheets/d/1FeaD2UoM5sB2fkhJYgRnT_PjjyTy7EzvOzXjL8T54Wo/edit"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isel.aisnet.org/do/search/advanced/?q=(%20ai%20agents%20)%20OR%20(%20customer%20service%20or%20support%20operations%20)%20OR%20(%20business%20process%20automation%20)&amp;start=0&amp;context=509156&amp;sort=score&amp;facet=publication_facet%3AManagement%20Information%20Systems%20Quarterly" TargetMode="External"/><Relationship Id="rId2" Type="http://schemas.openxmlformats.org/officeDocument/2006/relationships/hyperlink" Target="https://www.scopus.com/results/results.uri?sort=plf-f&amp;src=s&amp;sid=b60ecc03b8d49e9753ad00f56367fbe4&amp;sot=a&amp;sdt=cl&amp;sl=442&amp;s=%28%22AI+agents%22+OR+%22intelligent+agents%22+OR+%22cognitive+agents%22+OR+%22intelligent+Agents%22+OR+%22autonomous+Systems%22+OR+%22software+Agents%22%29+AND+%28%22customer+service%22+OR+%22customer+experience%22+OR+%22central+de+servi%26%23231%3Bos%22+OR+%22contact+center+operations%22%29+AND+%28%22Services+Automation%22+OR+%22intelligent+automation%22+OR+%22Smart+Automation%22+OR+%22process+optimization%22+OR+%22robotic+process+automation%22+OR+%22Task+Automation%22%29+AND+%28%22Decision+Making%22+OR+%22Decision+Support%22%29&amp;origin=resultslist&amp;editSaveSearch=&amp;txGid=4dfd1e4cdeda15c322ca2696a13e3c1e&amp;sessionSearchId=b60ecc03b8d49e9753ad00f56367fbe4&amp;limit=10&amp;yearFrom=2020&amp;yearTo=2025"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145/3719160.3736621" TargetMode="External"/><Relationship Id="rId2" Type="http://schemas.openxmlformats.org/officeDocument/2006/relationships/hyperlink" Target="https://www.sciencedirect.com/science/article/pii/S0148296325004849?pes=vor&amp;utm_source=scopus&amp;getft_integrator=scopus" TargetMode="External"/><Relationship Id="rId3" Type="http://schemas.openxmlformats.org/officeDocument/2006/relationships/hyperlink" Target="https://ieeexplore.ieee.org/document/11006187" TargetMode="External"/><Relationship Id="rId4" Type="http://schemas.openxmlformats.org/officeDocument/2006/relationships/hyperlink" Target="https://www.sciencedirect.com/science/article/pii/S019566632500371X?pes=vor&amp;utm_source=scopus&amp;getft_integrator=scopus" TargetMode="External"/><Relationship Id="rId5" Type="http://schemas.openxmlformats.org/officeDocument/2006/relationships/hyperlink" Target="https://arxiv.org/abs/2403.07718" TargetMode="External"/><Relationship Id="rId6" Type="http://schemas.openxmlformats.org/officeDocument/2006/relationships/hyperlink" Target="https://dl.acm.org/doi/proceedings/10.5555/3709347" TargetMode="External"/><Relationship Id="rId7" Type="http://schemas.openxmlformats.org/officeDocument/2006/relationships/hyperlink" Target="https://doi.org/10.1108/JHTT-04-2024-0261"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emerald.com/josm/article/33/2/342/227951/Boundary-work-in-value-co-creation-practices-the" TargetMode="External"/><Relationship Id="rId42" Type="http://schemas.openxmlformats.org/officeDocument/2006/relationships/hyperlink" Target="https://www.researchgate.net/publication/355146552_Task_Delegability_to_AI_Evaluation_of_a_Framework_in_a_Knowledge_Work_Context/link/616031700bf51d481753bf20/download?_tp=eyJjb250ZXh0Ijp7InBhZ2UiOiJwdWJsaWNhdGlvbiIsInByZXZpb3VzUGFnZSI6bnVsbH19" TargetMode="External"/><Relationship Id="rId41" Type="http://schemas.openxmlformats.org/officeDocument/2006/relationships/hyperlink" Target="https://www.researchgate.net/publication/358661561_The_Smiling_Chatbot_Investigating_Emotional_Contagion_in_Human-Chatbot_Interactions" TargetMode="External"/><Relationship Id="rId44" Type="http://schemas.openxmlformats.org/officeDocument/2006/relationships/hyperlink" Target="https://doi.org/10.1108/EJM-06-2023-0457" TargetMode="External"/><Relationship Id="rId43" Type="http://schemas.openxmlformats.org/officeDocument/2006/relationships/hyperlink" Target="https://www.tandfonline.com/doi/full/10.1080/10548408.2022.2061672" TargetMode="External"/><Relationship Id="rId46" Type="http://schemas.openxmlformats.org/officeDocument/2006/relationships/hyperlink" Target="https://doi.org/10.1016/j.ijhm.2025.104187" TargetMode="External"/><Relationship Id="rId45" Type="http://schemas.openxmlformats.org/officeDocument/2006/relationships/hyperlink" Target="https://www.researchgate.net/publication/391087720_Use_of_Artificial_Intelligence_Chatbots_in_the_Hospitality_Industry_Preliminary_Insights_on_Value_Co-Creation" TargetMode="External"/><Relationship Id="rId1" Type="http://schemas.openxmlformats.org/officeDocument/2006/relationships/hyperlink" Target="https://dl.acm.org/doi/10.1145/3719160.3736621" TargetMode="External"/><Relationship Id="rId2" Type="http://schemas.openxmlformats.org/officeDocument/2006/relationships/hyperlink" Target="https://dl.acm.org/doi/10.1007/978-3-031-70396-6_29" TargetMode="External"/><Relationship Id="rId3" Type="http://schemas.openxmlformats.org/officeDocument/2006/relationships/hyperlink" Target="https://dl.acm.org/doi/10.1145/3716132" TargetMode="External"/><Relationship Id="rId4" Type="http://schemas.openxmlformats.org/officeDocument/2006/relationships/hyperlink" Target="https://www.researchgate.net/publication/395598385_Beyond_replacement_human-machine_collaboration_in_the_age_of_AI" TargetMode="External"/><Relationship Id="rId9" Type="http://schemas.openxmlformats.org/officeDocument/2006/relationships/hyperlink" Target="https://dl.acm.org/doi/10.1007/s10796-024-10562-2" TargetMode="External"/><Relationship Id="rId48" Type="http://schemas.openxmlformats.org/officeDocument/2006/relationships/hyperlink" Target="https://www.sciencedirect.com/science/article/pii/S0268401223000233" TargetMode="External"/><Relationship Id="rId47" Type="http://schemas.openxmlformats.org/officeDocument/2006/relationships/hyperlink" Target="https://link.springer.com/chapter/10.1007/978-981-97-1552-7_46" TargetMode="External"/><Relationship Id="rId49" Type="http://schemas.openxmlformats.org/officeDocument/2006/relationships/hyperlink" Target="https://link.springer.com/book/10.1007/978-981-99-1865-2" TargetMode="External"/><Relationship Id="rId5" Type="http://schemas.openxmlformats.org/officeDocument/2006/relationships/hyperlink" Target="https://dl.acm.org/doi/10.5555/3692070.3692532" TargetMode="External"/><Relationship Id="rId6" Type="http://schemas.openxmlformats.org/officeDocument/2006/relationships/hyperlink" Target="https://dl.acm.org/doi/10.1145/3596671.3598572" TargetMode="External"/><Relationship Id="rId7" Type="http://schemas.openxmlformats.org/officeDocument/2006/relationships/hyperlink" Target="https://dl.acm.org/doi/abs/10.1504/ijbis.2024.135970" TargetMode="External"/><Relationship Id="rId8" Type="http://schemas.openxmlformats.org/officeDocument/2006/relationships/hyperlink" Target="https://www.google.com/url?sa=t&amp;rct=j&amp;q=&amp;esrc=s&amp;source=web&amp;cd=&amp;cad=rja&amp;uact=8&amp;ved=2ahUKEwiNn-2TlYSRAxWfJrkGHWuVFlwQFnoECBkQAQ&amp;url=https%3A%2F%2Fjitm.ut.ac.ir%2Farticle_103298_06e47a7d51e09ed4f81605ad5cbec0b6.pdf&amp;usg=AOvVaw2hb-O27iWxJ8C9WXBS_Z4A&amp;opi=89978449" TargetMode="External"/><Relationship Id="rId31" Type="http://schemas.openxmlformats.org/officeDocument/2006/relationships/hyperlink" Target="https://doi.org/10.1108/JSIT-09-2021-0206" TargetMode="External"/><Relationship Id="rId30" Type="http://schemas.openxmlformats.org/officeDocument/2006/relationships/hyperlink" Target="https://doi.org/10.1108/TR-09-2019-0360" TargetMode="External"/><Relationship Id="rId33" Type="http://schemas.openxmlformats.org/officeDocument/2006/relationships/hyperlink" Target="https://doi.org/10.1108/BPMJ-07-2024-0655" TargetMode="External"/><Relationship Id="rId32" Type="http://schemas.openxmlformats.org/officeDocument/2006/relationships/hyperlink" Target="https://doi.org/10.1016/j.jbusres.2025.115661" TargetMode="External"/><Relationship Id="rId35" Type="http://schemas.openxmlformats.org/officeDocument/2006/relationships/hyperlink" Target="https://doi.org/10.1108/EBR-06-2024-0190?urlappend=%3Futm_source%3Dresearchgate.net%26medium%3Darticle" TargetMode="External"/><Relationship Id="rId34" Type="http://schemas.openxmlformats.org/officeDocument/2006/relationships/hyperlink" Target="https://doi.org/10.48550/arXiv.2503.16774" TargetMode="External"/><Relationship Id="rId37" Type="http://schemas.openxmlformats.org/officeDocument/2006/relationships/hyperlink" Target="https://doi.org/10.1016/j.im.2025.104099" TargetMode="External"/><Relationship Id="rId36" Type="http://schemas.openxmlformats.org/officeDocument/2006/relationships/hyperlink" Target="https://doi.org/10.3390/su17125271" TargetMode="External"/><Relationship Id="rId39" Type="http://schemas.openxmlformats.org/officeDocument/2006/relationships/hyperlink" Target="https://link.springer.com/article/10.1057/s41262-021-00261-7" TargetMode="External"/><Relationship Id="rId38" Type="http://schemas.openxmlformats.org/officeDocument/2006/relationships/hyperlink" Target="https://www.sciencedirect.com/science/article/pii/S0740624X25000553?via%3Dihub" TargetMode="External"/><Relationship Id="rId20" Type="http://schemas.openxmlformats.org/officeDocument/2006/relationships/hyperlink" Target="https://doi.org/10.1057/s41264-023-00237-5" TargetMode="External"/><Relationship Id="rId22" Type="http://schemas.openxmlformats.org/officeDocument/2006/relationships/hyperlink" Target="https://doi.org/10.1016/j.jretconser.2023.103599" TargetMode="External"/><Relationship Id="rId21" Type="http://schemas.openxmlformats.org/officeDocument/2006/relationships/hyperlink" Target="https://doi.org/10.1016/j.chb.2024.108238" TargetMode="External"/><Relationship Id="rId24" Type="http://schemas.openxmlformats.org/officeDocument/2006/relationships/hyperlink" Target="https://www.sciencedirect.com/science/article/abs/pii/S019566632500371X?via%3Dihub" TargetMode="External"/><Relationship Id="rId23" Type="http://schemas.openxmlformats.org/officeDocument/2006/relationships/hyperlink" Target="https://www.sciencedirect.com/science/article/pii/S0148296325004849?via%3Dihub" TargetMode="External"/><Relationship Id="rId26" Type="http://schemas.openxmlformats.org/officeDocument/2006/relationships/hyperlink" Target="https://dl.acm.org/doi/10.4018/JGIM.365600" TargetMode="External"/><Relationship Id="rId25" Type="http://schemas.openxmlformats.org/officeDocument/2006/relationships/hyperlink" Target="https://onlinelibrary.wiley.com/doi/10.1155/2019/5941096" TargetMode="External"/><Relationship Id="rId28" Type="http://schemas.openxmlformats.org/officeDocument/2006/relationships/hyperlink" Target="https://doi.org/10.1108/JHTI-01-2024-0126" TargetMode="External"/><Relationship Id="rId27" Type="http://schemas.openxmlformats.org/officeDocument/2006/relationships/hyperlink" Target="https://www.researchgate.net/publication/389916184_The_Healthy_Aging_and_Service_Firms_The_Promise_of_Smart_Technologies" TargetMode="External"/><Relationship Id="rId29" Type="http://schemas.openxmlformats.org/officeDocument/2006/relationships/hyperlink" Target="https://doi.org/10.1080/02642069.2024.2418315" TargetMode="External"/><Relationship Id="rId51" Type="http://schemas.openxmlformats.org/officeDocument/2006/relationships/hyperlink" Target="https://link.springer.com/chapter/10.1007/978-3-031-35385-7_16" TargetMode="External"/><Relationship Id="rId50" Type="http://schemas.openxmlformats.org/officeDocument/2006/relationships/hyperlink" Target="https://www.emerald.com/ijchm/article-abstract/35/2/533/124933/A-systematic-and-critical-review-of-Internet-of?redirectedFrom=fulltext" TargetMode="External"/><Relationship Id="rId52" Type="http://schemas.openxmlformats.org/officeDocument/2006/relationships/drawing" Target="../drawings/drawing11.xml"/><Relationship Id="rId11" Type="http://schemas.openxmlformats.org/officeDocument/2006/relationships/hyperlink" Target="https://www.igi-global.com/gateway/chapter/363545" TargetMode="External"/><Relationship Id="rId10" Type="http://schemas.openxmlformats.org/officeDocument/2006/relationships/hyperlink" Target="https://doi.org/10.1145/3769090" TargetMode="External"/><Relationship Id="rId13" Type="http://schemas.openxmlformats.org/officeDocument/2006/relationships/hyperlink" Target="https://doi.org/10.1145/3766899" TargetMode="External"/><Relationship Id="rId12" Type="http://schemas.openxmlformats.org/officeDocument/2006/relationships/hyperlink" Target="https://doi.org/10.1145/3766899" TargetMode="External"/><Relationship Id="rId15" Type="http://schemas.openxmlformats.org/officeDocument/2006/relationships/hyperlink" Target="https://www.nature.com/articles/s41599-025-05391-w?utm_source=chatgpt.com" TargetMode="External"/><Relationship Id="rId14" Type="http://schemas.openxmlformats.org/officeDocument/2006/relationships/hyperlink" Target="https://doi.org/10.1016/j.techsoc.2025.103026" TargetMode="External"/><Relationship Id="rId17" Type="http://schemas.openxmlformats.org/officeDocument/2006/relationships/hyperlink" Target="https://doi.org/10.1016/j.aei.2021.101369" TargetMode="External"/><Relationship Id="rId16" Type="http://schemas.openxmlformats.org/officeDocument/2006/relationships/hyperlink" Target="https://www.sciencedirect.com/science/article/pii/S2444569X25001647?via%3Dihub" TargetMode="External"/><Relationship Id="rId19" Type="http://schemas.openxmlformats.org/officeDocument/2006/relationships/hyperlink" Target="https://doi.org/10.1108/IMDS-11-2019-0603?urlappend=%3Futm_source%3Dresearchgate.net%26medium%3Darticle" TargetMode="External"/><Relationship Id="rId18" Type="http://schemas.openxmlformats.org/officeDocument/2006/relationships/hyperlink" Target="https://doi.org/10.1007/s12599-020-00672-x"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8"/>
    <col customWidth="1" min="2" max="2" width="102.25"/>
    <col customWidth="1" min="3" max="3" width="28.5"/>
    <col customWidth="1" min="4" max="6" width="12.63"/>
  </cols>
  <sheetData>
    <row r="1" ht="15.75" customHeight="1">
      <c r="A1" s="1" t="s">
        <v>0</v>
      </c>
      <c r="D1" s="2"/>
      <c r="E1" s="2"/>
      <c r="F1" s="2"/>
      <c r="G1" s="2"/>
      <c r="H1" s="2"/>
      <c r="I1" s="3"/>
      <c r="J1" s="3"/>
      <c r="K1" s="3"/>
      <c r="L1" s="3"/>
      <c r="M1" s="3"/>
      <c r="N1" s="3"/>
      <c r="O1" s="3"/>
      <c r="P1" s="3"/>
      <c r="Q1" s="3"/>
      <c r="R1" s="3"/>
      <c r="S1" s="3"/>
      <c r="T1" s="3"/>
      <c r="U1" s="3"/>
      <c r="V1" s="3"/>
      <c r="W1" s="3"/>
      <c r="X1" s="3"/>
      <c r="Y1" s="3" t="s">
        <v>1</v>
      </c>
    </row>
    <row r="2" ht="15.75" customHeight="1">
      <c r="A2" s="4" t="s">
        <v>2</v>
      </c>
      <c r="B2" s="5"/>
      <c r="C2" s="6" t="s">
        <v>3</v>
      </c>
    </row>
    <row r="3" ht="15.75" customHeight="1">
      <c r="A3" s="7" t="s">
        <v>4</v>
      </c>
      <c r="B3" s="8" t="s">
        <v>5</v>
      </c>
      <c r="C3" s="9"/>
      <c r="Y3" s="10" t="s">
        <v>6</v>
      </c>
    </row>
    <row r="4">
      <c r="A4" s="7" t="s">
        <v>7</v>
      </c>
      <c r="B4" s="8" t="s">
        <v>8</v>
      </c>
      <c r="C4" s="9"/>
      <c r="Y4" s="10" t="s">
        <v>9</v>
      </c>
    </row>
    <row r="5">
      <c r="A5" s="7" t="s">
        <v>10</v>
      </c>
      <c r="B5" s="8" t="s">
        <v>11</v>
      </c>
      <c r="C5" s="9"/>
    </row>
    <row r="6">
      <c r="A6" s="7" t="s">
        <v>12</v>
      </c>
      <c r="B6" s="8" t="s">
        <v>13</v>
      </c>
      <c r="C6" s="9"/>
    </row>
    <row r="7">
      <c r="A7" s="7" t="s">
        <v>14</v>
      </c>
      <c r="B7" s="8" t="s">
        <v>15</v>
      </c>
      <c r="C7" s="9"/>
    </row>
    <row r="8">
      <c r="A8" s="7" t="s">
        <v>16</v>
      </c>
      <c r="B8" s="8" t="s">
        <v>17</v>
      </c>
      <c r="C8" s="9"/>
    </row>
    <row r="9">
      <c r="A9" s="7"/>
      <c r="B9" s="8"/>
      <c r="C9" s="9"/>
    </row>
    <row r="10">
      <c r="A10" s="7" t="s">
        <v>18</v>
      </c>
      <c r="B10" s="11" t="s">
        <v>19</v>
      </c>
      <c r="C10" s="12"/>
    </row>
    <row r="11">
      <c r="A11" s="7" t="s">
        <v>20</v>
      </c>
      <c r="B11" s="11" t="s">
        <v>21</v>
      </c>
      <c r="C11" s="9"/>
    </row>
    <row r="12">
      <c r="A12" s="7" t="s">
        <v>22</v>
      </c>
      <c r="B12" s="8" t="s">
        <v>23</v>
      </c>
      <c r="C12" s="9"/>
    </row>
    <row r="13">
      <c r="A13" s="7" t="s">
        <v>24</v>
      </c>
      <c r="B13" s="8" t="s">
        <v>25</v>
      </c>
      <c r="C13" s="9"/>
    </row>
    <row r="14">
      <c r="A14" s="7" t="s">
        <v>26</v>
      </c>
      <c r="B14" s="8" t="s">
        <v>27</v>
      </c>
      <c r="C14" s="9"/>
    </row>
    <row r="15" ht="15.75" customHeight="1">
      <c r="A15" s="13" t="s">
        <v>28</v>
      </c>
      <c r="B15" s="14" t="s">
        <v>29</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c r="E50" s="10"/>
    </row>
    <row r="51" ht="15.75" customHeight="1">
      <c r="E51" s="10" t="s">
        <v>9</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C1"/>
    <mergeCell ref="B15:C15"/>
  </mergeCells>
  <hyperlinks>
    <hyperlink r:id="rId1" ref="B10"/>
    <hyperlink r:id="rId2" ref="B11"/>
  </hyperlinks>
  <printOptions gridLines="1" horizontalCentered="1"/>
  <pageMargins bottom="0.75" footer="0.0" header="0.0" left="0.7" right="0.7" top="0.75"/>
  <pageSetup fitToHeight="0" paperSize="9"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6" width="12.63"/>
  </cols>
  <sheetData>
    <row r="1" ht="15.75" customHeight="1">
      <c r="A1" s="15"/>
      <c r="G1" s="16"/>
    </row>
    <row r="2" ht="15.75" customHeight="1">
      <c r="A2" s="17" t="s">
        <v>30</v>
      </c>
    </row>
    <row r="3" ht="15.75" customHeight="1"/>
    <row r="4" ht="15.75" customHeight="1">
      <c r="A4" s="10" t="s">
        <v>31</v>
      </c>
      <c r="B4" s="18" t="s">
        <v>32</v>
      </c>
    </row>
    <row r="5" ht="15.75" customHeight="1">
      <c r="B5" s="19" t="s">
        <v>33</v>
      </c>
    </row>
    <row r="6" ht="15.75" customHeight="1">
      <c r="A6" s="10"/>
      <c r="B6" s="10"/>
    </row>
    <row r="7" ht="15.75" customHeight="1">
      <c r="A7" s="10" t="s">
        <v>34</v>
      </c>
      <c r="B7" s="18" t="s">
        <v>35</v>
      </c>
    </row>
    <row r="8" ht="15.75" customHeight="1">
      <c r="B8" s="19" t="s">
        <v>36</v>
      </c>
    </row>
    <row r="9" ht="15.75" customHeight="1">
      <c r="A9" s="10"/>
      <c r="B9" s="10"/>
    </row>
    <row r="10" ht="15.75" customHeight="1">
      <c r="A10" s="10" t="s">
        <v>37</v>
      </c>
      <c r="B10" s="18" t="s">
        <v>38</v>
      </c>
    </row>
    <row r="11" ht="15.75" customHeight="1">
      <c r="B11" s="20" t="s">
        <v>39</v>
      </c>
    </row>
    <row r="12" ht="15.75" customHeight="1"/>
    <row r="13" ht="15.75" customHeight="1">
      <c r="A13" s="10" t="s">
        <v>40</v>
      </c>
    </row>
    <row r="14" ht="15.75" customHeight="1"/>
    <row r="15" ht="15.75" customHeight="1"/>
    <row r="16" ht="15.75" customHeight="1">
      <c r="A16" s="10"/>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1" ref="B4"/>
    <hyperlink r:id="rId2" ref="B7"/>
    <hyperlink r:id="rId3" ref="B10"/>
    <hyperlink r:id="rId4" ref="B11"/>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93.75"/>
    <col customWidth="1" min="3" max="6" width="12.63"/>
  </cols>
  <sheetData>
    <row r="1" ht="15.75" customHeight="1">
      <c r="A1" s="1" t="s">
        <v>0</v>
      </c>
      <c r="C1" s="2"/>
      <c r="D1" s="2"/>
      <c r="E1" s="2"/>
      <c r="F1" s="2"/>
      <c r="G1" s="2"/>
      <c r="H1" s="3"/>
      <c r="I1" s="3"/>
      <c r="J1" s="3"/>
      <c r="K1" s="3"/>
      <c r="L1" s="3"/>
      <c r="M1" s="3"/>
      <c r="N1" s="3"/>
      <c r="O1" s="3"/>
      <c r="P1" s="3"/>
      <c r="Q1" s="3"/>
      <c r="R1" s="3"/>
      <c r="S1" s="3"/>
      <c r="T1" s="3"/>
      <c r="U1" s="3"/>
      <c r="V1" s="3"/>
      <c r="W1" s="3"/>
      <c r="X1" s="3"/>
    </row>
    <row r="2" ht="15.75" customHeight="1">
      <c r="A2" s="4" t="s">
        <v>2</v>
      </c>
      <c r="B2" s="5"/>
    </row>
    <row r="3" ht="15.75" customHeight="1">
      <c r="A3" s="7" t="s">
        <v>4</v>
      </c>
      <c r="B3" s="8"/>
    </row>
    <row r="4" ht="15.75" customHeight="1">
      <c r="A4" s="7" t="s">
        <v>7</v>
      </c>
      <c r="B4" s="8" t="s">
        <v>41</v>
      </c>
    </row>
    <row r="5" ht="15.75" customHeight="1">
      <c r="A5" s="7" t="s">
        <v>10</v>
      </c>
      <c r="B5" s="8" t="s">
        <v>42</v>
      </c>
    </row>
    <row r="6" ht="15.75" customHeight="1">
      <c r="A6" s="7" t="s">
        <v>12</v>
      </c>
      <c r="B6" s="8" t="s">
        <v>43</v>
      </c>
    </row>
    <row r="7" ht="15.75" customHeight="1">
      <c r="A7" s="7" t="s">
        <v>14</v>
      </c>
      <c r="B7" s="21" t="s">
        <v>44</v>
      </c>
    </row>
    <row r="8" ht="15.75" customHeight="1">
      <c r="A8" s="7" t="s">
        <v>22</v>
      </c>
      <c r="B8" s="8" t="s">
        <v>45</v>
      </c>
    </row>
    <row r="9" ht="15.75" customHeight="1">
      <c r="A9" s="7" t="s">
        <v>24</v>
      </c>
      <c r="B9" s="8" t="s">
        <v>46</v>
      </c>
    </row>
    <row r="10" ht="15.75" customHeight="1">
      <c r="A10" s="7" t="s">
        <v>26</v>
      </c>
      <c r="B10" s="8" t="s">
        <v>47</v>
      </c>
    </row>
    <row r="11" ht="15.75" customHeight="1">
      <c r="A11" s="13" t="s">
        <v>28</v>
      </c>
      <c r="B11" s="14" t="s">
        <v>48</v>
      </c>
    </row>
    <row r="12" ht="15.75" customHeight="1">
      <c r="A12" s="22" t="s">
        <v>49</v>
      </c>
      <c r="B12" s="5"/>
    </row>
    <row r="13" ht="15.75" customHeight="1">
      <c r="A13" s="23" t="s">
        <v>50</v>
      </c>
      <c r="B13" s="8" t="s">
        <v>51</v>
      </c>
    </row>
    <row r="14" ht="15.75" customHeight="1">
      <c r="A14" s="23" t="s">
        <v>52</v>
      </c>
      <c r="B14" s="8" t="s">
        <v>53</v>
      </c>
    </row>
    <row r="15" ht="15.75" customHeight="1">
      <c r="A15" s="23" t="s">
        <v>54</v>
      </c>
      <c r="B15" s="8" t="s">
        <v>55</v>
      </c>
    </row>
    <row r="16" ht="15.75" customHeight="1">
      <c r="A16" s="23" t="s">
        <v>56</v>
      </c>
      <c r="B16" s="24" t="s">
        <v>57</v>
      </c>
    </row>
    <row r="17" ht="15.75" customHeight="1">
      <c r="A17" s="25"/>
      <c r="B17" s="24"/>
    </row>
    <row r="18" ht="15.75" customHeight="1">
      <c r="A18" s="25"/>
      <c r="B18" s="24"/>
    </row>
    <row r="19" ht="15.75" customHeight="1">
      <c r="A19" s="23" t="s">
        <v>58</v>
      </c>
      <c r="B19" s="24" t="s">
        <v>59</v>
      </c>
    </row>
    <row r="20" ht="15.75" customHeight="1">
      <c r="A20" s="23" t="s">
        <v>60</v>
      </c>
      <c r="B20" s="8" t="s">
        <v>61</v>
      </c>
    </row>
    <row r="21" ht="15.75" customHeight="1">
      <c r="A21" s="13" t="s">
        <v>62</v>
      </c>
      <c r="B21" s="14" t="s">
        <v>63</v>
      </c>
    </row>
    <row r="22" ht="15.75" customHeight="1">
      <c r="A22" s="26" t="s">
        <v>64</v>
      </c>
    </row>
    <row r="23" ht="15.75" customHeight="1">
      <c r="A23" s="23" t="s">
        <v>65</v>
      </c>
      <c r="B23" s="8" t="s">
        <v>66</v>
      </c>
    </row>
    <row r="24" ht="15.75" customHeight="1">
      <c r="A24" s="23" t="s">
        <v>67</v>
      </c>
      <c r="B24" s="8" t="s">
        <v>68</v>
      </c>
    </row>
    <row r="25" ht="15.75" customHeight="1">
      <c r="A25" s="23" t="s">
        <v>69</v>
      </c>
      <c r="B25" s="8" t="s">
        <v>70</v>
      </c>
    </row>
    <row r="26" ht="15.75" customHeight="1">
      <c r="A26" s="27" t="s">
        <v>71</v>
      </c>
      <c r="B26" s="28" t="s">
        <v>72</v>
      </c>
    </row>
    <row r="27" ht="15.75" customHeight="1">
      <c r="A27" s="29" t="s">
        <v>73</v>
      </c>
      <c r="B27" s="8" t="s">
        <v>74</v>
      </c>
    </row>
    <row r="28" ht="15.75" customHeight="1">
      <c r="A28" s="13" t="s">
        <v>75</v>
      </c>
      <c r="B28" s="30" t="s">
        <v>76</v>
      </c>
    </row>
    <row r="29" ht="15.75" customHeight="1">
      <c r="A29" s="26" t="s">
        <v>77</v>
      </c>
    </row>
    <row r="30" ht="15.75" customHeight="1">
      <c r="A30" s="23" t="s">
        <v>78</v>
      </c>
      <c r="B30" s="8" t="s">
        <v>79</v>
      </c>
    </row>
    <row r="31" ht="15.75" customHeight="1">
      <c r="A31" s="29" t="s">
        <v>73</v>
      </c>
      <c r="B31" s="8" t="s">
        <v>80</v>
      </c>
    </row>
    <row r="32" ht="15.75" customHeight="1">
      <c r="A32" s="13" t="s">
        <v>81</v>
      </c>
      <c r="B32" s="30" t="s">
        <v>82</v>
      </c>
    </row>
    <row r="33" ht="15.75" customHeight="1">
      <c r="A33" s="26" t="s">
        <v>83</v>
      </c>
    </row>
    <row r="34" ht="15.75" customHeight="1">
      <c r="A34" s="23" t="s">
        <v>84</v>
      </c>
      <c r="B34" s="8" t="s">
        <v>85</v>
      </c>
    </row>
    <row r="35" ht="15.75" customHeight="1">
      <c r="A35" s="23" t="s">
        <v>86</v>
      </c>
      <c r="B35" s="8" t="s">
        <v>87</v>
      </c>
    </row>
    <row r="36" ht="15.75" customHeight="1">
      <c r="A36" s="13" t="s">
        <v>88</v>
      </c>
      <c r="B36" s="30" t="s">
        <v>89</v>
      </c>
    </row>
    <row r="37" ht="15.75" customHeight="1">
      <c r="A37" s="26" t="s">
        <v>90</v>
      </c>
    </row>
    <row r="38" ht="15.75" customHeight="1">
      <c r="A38" s="23" t="s">
        <v>91</v>
      </c>
      <c r="B38" s="8" t="s">
        <v>92</v>
      </c>
    </row>
    <row r="39" ht="15.75" customHeight="1">
      <c r="A39" s="23" t="s">
        <v>93</v>
      </c>
      <c r="B39" s="31" t="s">
        <v>94</v>
      </c>
    </row>
    <row r="40" ht="15.75" customHeight="1">
      <c r="A40" s="13" t="s">
        <v>95</v>
      </c>
      <c r="B40" s="14" t="s">
        <v>96</v>
      </c>
    </row>
    <row r="41" ht="15.75" customHeight="1">
      <c r="A41" s="26" t="s">
        <v>97</v>
      </c>
    </row>
    <row r="42" ht="15.75" customHeight="1">
      <c r="A42" s="23" t="s">
        <v>98</v>
      </c>
      <c r="B42" s="8" t="s">
        <v>99</v>
      </c>
    </row>
    <row r="43" ht="15.75" customHeight="1">
      <c r="A43" s="13" t="s">
        <v>100</v>
      </c>
      <c r="B43" s="32" t="s">
        <v>101</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B1"/>
  </mergeCells>
  <hyperlinks>
    <hyperlink r:id="rId1" ref="B7"/>
    <hyperlink r:id="rId2" location="gid=343802571" ref="B28"/>
    <hyperlink r:id="rId3" ref="B32"/>
    <hyperlink r:id="rId4" ref="B36"/>
    <hyperlink r:id="rId5" ref="B39"/>
    <hyperlink r:id="rId6" ref="B43"/>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93.75"/>
    <col customWidth="1" min="3" max="6" width="12.63"/>
  </cols>
  <sheetData>
    <row r="1" ht="15.75" customHeight="1">
      <c r="A1" s="1" t="s">
        <v>0</v>
      </c>
      <c r="C1" s="2"/>
      <c r="D1" s="2"/>
      <c r="E1" s="2"/>
      <c r="F1" s="2"/>
      <c r="G1" s="2"/>
      <c r="H1" s="3"/>
      <c r="I1" s="3"/>
      <c r="J1" s="3"/>
      <c r="K1" s="3"/>
      <c r="L1" s="3"/>
      <c r="M1" s="3"/>
      <c r="N1" s="3"/>
      <c r="O1" s="3"/>
      <c r="P1" s="3"/>
      <c r="Q1" s="3"/>
      <c r="R1" s="3"/>
      <c r="S1" s="3"/>
      <c r="T1" s="3"/>
      <c r="U1" s="3"/>
      <c r="V1" s="3"/>
      <c r="W1" s="3"/>
      <c r="X1" s="3"/>
    </row>
    <row r="2" ht="15.75" customHeight="1">
      <c r="A2" s="4" t="s">
        <v>2</v>
      </c>
      <c r="B2" s="5"/>
    </row>
    <row r="3" ht="15.75" customHeight="1">
      <c r="A3" s="7" t="s">
        <v>4</v>
      </c>
      <c r="B3" s="8"/>
    </row>
    <row r="4" ht="15.75" customHeight="1">
      <c r="A4" s="7" t="s">
        <v>7</v>
      </c>
      <c r="B4" s="8" t="s">
        <v>102</v>
      </c>
    </row>
    <row r="5" ht="15.75" customHeight="1">
      <c r="A5" s="7" t="s">
        <v>10</v>
      </c>
      <c r="B5" s="8" t="s">
        <v>103</v>
      </c>
    </row>
    <row r="6" ht="15.75" customHeight="1">
      <c r="A6" s="7" t="s">
        <v>12</v>
      </c>
      <c r="B6" s="8" t="s">
        <v>104</v>
      </c>
    </row>
    <row r="7" ht="75.0" customHeight="1">
      <c r="A7" s="7" t="s">
        <v>14</v>
      </c>
      <c r="B7" s="21" t="s">
        <v>105</v>
      </c>
    </row>
    <row r="8" ht="15.75" customHeight="1">
      <c r="A8" s="7" t="s">
        <v>22</v>
      </c>
      <c r="B8" s="8" t="s">
        <v>106</v>
      </c>
    </row>
    <row r="9" ht="15.75" customHeight="1">
      <c r="A9" s="7" t="s">
        <v>24</v>
      </c>
      <c r="B9" s="8" t="s">
        <v>107</v>
      </c>
    </row>
    <row r="10" ht="15.75" customHeight="1">
      <c r="A10" s="7" t="s">
        <v>26</v>
      </c>
      <c r="B10" s="8" t="s">
        <v>108</v>
      </c>
    </row>
    <row r="11" ht="15.75" customHeight="1">
      <c r="A11" s="13" t="s">
        <v>28</v>
      </c>
      <c r="B11" s="14" t="s">
        <v>48</v>
      </c>
    </row>
    <row r="12" ht="15.75" customHeight="1">
      <c r="A12" s="22" t="s">
        <v>49</v>
      </c>
      <c r="B12" s="5"/>
    </row>
    <row r="13" ht="15.75" customHeight="1">
      <c r="A13" s="23" t="s">
        <v>50</v>
      </c>
      <c r="B13" s="8" t="s">
        <v>109</v>
      </c>
    </row>
    <row r="14" ht="55.5" customHeight="1">
      <c r="A14" s="23" t="s">
        <v>52</v>
      </c>
      <c r="B14" s="8" t="s">
        <v>110</v>
      </c>
    </row>
    <row r="15" ht="15.75" customHeight="1">
      <c r="A15" s="23" t="s">
        <v>54</v>
      </c>
      <c r="B15" s="8" t="s">
        <v>111</v>
      </c>
    </row>
    <row r="16" ht="15.75" customHeight="1">
      <c r="A16" s="23" t="s">
        <v>56</v>
      </c>
      <c r="B16" s="24" t="s">
        <v>57</v>
      </c>
    </row>
    <row r="17" ht="15.75" customHeight="1">
      <c r="A17" s="25"/>
      <c r="B17" s="24"/>
    </row>
    <row r="18" ht="15.75" customHeight="1">
      <c r="A18" s="25"/>
      <c r="B18" s="24"/>
    </row>
    <row r="19" ht="15.75" customHeight="1">
      <c r="A19" s="23" t="s">
        <v>58</v>
      </c>
      <c r="B19" s="33" t="s">
        <v>112</v>
      </c>
    </row>
    <row r="20" ht="15.75" customHeight="1">
      <c r="A20" s="23" t="s">
        <v>60</v>
      </c>
      <c r="B20" s="8" t="s">
        <v>113</v>
      </c>
    </row>
    <row r="21" ht="15.75" customHeight="1">
      <c r="A21" s="13" t="s">
        <v>62</v>
      </c>
      <c r="B21" s="14" t="s">
        <v>63</v>
      </c>
    </row>
    <row r="22" ht="15.75" customHeight="1">
      <c r="A22" s="26" t="s">
        <v>64</v>
      </c>
    </row>
    <row r="23" ht="15.75" customHeight="1">
      <c r="A23" s="23" t="s">
        <v>65</v>
      </c>
      <c r="B23" s="8" t="s">
        <v>114</v>
      </c>
    </row>
    <row r="24" ht="15.75" customHeight="1">
      <c r="A24" s="23" t="s">
        <v>67</v>
      </c>
      <c r="B24" s="8" t="s">
        <v>115</v>
      </c>
    </row>
    <row r="25" ht="15.75" customHeight="1">
      <c r="A25" s="23" t="s">
        <v>69</v>
      </c>
      <c r="B25" s="8" t="s">
        <v>116</v>
      </c>
    </row>
    <row r="26" ht="15.75" customHeight="1">
      <c r="A26" s="27" t="s">
        <v>71</v>
      </c>
      <c r="B26" s="28" t="s">
        <v>117</v>
      </c>
    </row>
    <row r="27" ht="15.75" customHeight="1">
      <c r="A27" s="29" t="s">
        <v>73</v>
      </c>
      <c r="B27" s="8" t="s">
        <v>118</v>
      </c>
    </row>
    <row r="28" ht="15.75" customHeight="1">
      <c r="A28" s="13" t="s">
        <v>75</v>
      </c>
      <c r="B28" s="14" t="s">
        <v>119</v>
      </c>
    </row>
    <row r="29" ht="15.75" customHeight="1">
      <c r="A29" s="26" t="s">
        <v>77</v>
      </c>
    </row>
    <row r="30" ht="15.75" customHeight="1">
      <c r="A30" s="23" t="s">
        <v>78</v>
      </c>
      <c r="B30" s="8" t="s">
        <v>120</v>
      </c>
    </row>
    <row r="31" ht="15.75" customHeight="1">
      <c r="A31" s="29" t="s">
        <v>73</v>
      </c>
      <c r="B31" s="8" t="s">
        <v>121</v>
      </c>
    </row>
    <row r="32" ht="15.75" customHeight="1">
      <c r="A32" s="13" t="s">
        <v>81</v>
      </c>
      <c r="B32" s="14" t="s">
        <v>122</v>
      </c>
    </row>
    <row r="33" ht="15.75" customHeight="1">
      <c r="A33" s="26" t="s">
        <v>83</v>
      </c>
    </row>
    <row r="34" ht="15.75" customHeight="1">
      <c r="A34" s="23" t="s">
        <v>84</v>
      </c>
      <c r="B34" s="28" t="s">
        <v>123</v>
      </c>
    </row>
    <row r="35" ht="15.75" customHeight="1">
      <c r="A35" s="23" t="s">
        <v>86</v>
      </c>
      <c r="B35" s="21" t="s">
        <v>124</v>
      </c>
    </row>
    <row r="36" ht="15.75" customHeight="1">
      <c r="A36" s="13" t="s">
        <v>88</v>
      </c>
      <c r="B36" s="14" t="s">
        <v>125</v>
      </c>
    </row>
    <row r="37" ht="15.75" customHeight="1">
      <c r="A37" s="26" t="s">
        <v>90</v>
      </c>
    </row>
    <row r="38" ht="15.75" customHeight="1">
      <c r="A38" s="23" t="s">
        <v>91</v>
      </c>
      <c r="B38" s="8" t="s">
        <v>126</v>
      </c>
    </row>
    <row r="39" ht="15.75" customHeight="1">
      <c r="A39" s="23" t="s">
        <v>93</v>
      </c>
      <c r="B39" s="21" t="s">
        <v>124</v>
      </c>
    </row>
    <row r="40" ht="15.75" customHeight="1">
      <c r="A40" s="13" t="s">
        <v>95</v>
      </c>
      <c r="B40" s="14" t="s">
        <v>96</v>
      </c>
    </row>
    <row r="41" ht="15.75" customHeight="1">
      <c r="A41" s="26" t="s">
        <v>97</v>
      </c>
    </row>
    <row r="42" ht="15.75" customHeight="1">
      <c r="A42" s="23" t="s">
        <v>98</v>
      </c>
      <c r="B42" s="8" t="s">
        <v>99</v>
      </c>
    </row>
    <row r="43" ht="15.75" customHeight="1">
      <c r="A43" s="13" t="s">
        <v>100</v>
      </c>
      <c r="B43" s="14" t="s">
        <v>101</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B1"/>
  </mergeCells>
  <hyperlinks>
    <hyperlink r:id="rId1" ref="B7"/>
    <hyperlink r:id="rId2" location="gid=1546267202" ref="B19"/>
    <hyperlink r:id="rId3" location="gid=711724059" ref="B35"/>
    <hyperlink r:id="rId4" location="gid=711724059" ref="B39"/>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8"/>
    <col customWidth="1" min="2" max="2" width="44.75"/>
    <col customWidth="1" min="3" max="3" width="19.0"/>
    <col customWidth="1" min="4" max="4" width="42.25"/>
    <col customWidth="1" min="5" max="5" width="28.5"/>
    <col customWidth="1" min="6" max="6" width="12.63"/>
  </cols>
  <sheetData>
    <row r="1" ht="15.75" customHeight="1">
      <c r="A1" s="34" t="s">
        <v>127</v>
      </c>
      <c r="C1" s="1"/>
      <c r="D1" s="1"/>
      <c r="E1" s="1"/>
      <c r="F1" s="2"/>
      <c r="G1" s="2"/>
      <c r="H1" s="2"/>
      <c r="I1" s="2"/>
      <c r="J1" s="2"/>
      <c r="K1" s="3"/>
      <c r="L1" s="3"/>
      <c r="M1" s="3"/>
      <c r="N1" s="3"/>
      <c r="O1" s="3"/>
      <c r="P1" s="3"/>
      <c r="Q1" s="3"/>
      <c r="R1" s="3"/>
      <c r="S1" s="3"/>
      <c r="T1" s="3"/>
      <c r="U1" s="3"/>
      <c r="V1" s="3"/>
      <c r="W1" s="3"/>
      <c r="X1" s="3"/>
      <c r="Y1" s="3"/>
      <c r="Z1" s="3"/>
      <c r="AA1" s="3" t="s">
        <v>1</v>
      </c>
    </row>
    <row r="2" ht="15.75" customHeight="1">
      <c r="A2" s="22" t="s">
        <v>49</v>
      </c>
      <c r="B2" s="5"/>
      <c r="C2" s="5"/>
      <c r="D2" s="5"/>
      <c r="E2" s="9"/>
    </row>
    <row r="3" ht="35.25" customHeight="1">
      <c r="A3" s="23" t="s">
        <v>50</v>
      </c>
      <c r="B3" s="8" t="s">
        <v>128</v>
      </c>
      <c r="E3" s="9"/>
    </row>
    <row r="4">
      <c r="A4" s="23" t="s">
        <v>52</v>
      </c>
      <c r="B4" s="8" t="s">
        <v>129</v>
      </c>
      <c r="E4" s="9"/>
    </row>
    <row r="5">
      <c r="A5" s="23" t="s">
        <v>54</v>
      </c>
      <c r="B5" s="8" t="s">
        <v>130</v>
      </c>
      <c r="E5" s="9"/>
    </row>
    <row r="6">
      <c r="A6" s="23" t="s">
        <v>56</v>
      </c>
      <c r="B6" s="24" t="s">
        <v>131</v>
      </c>
      <c r="E6" s="9"/>
    </row>
    <row r="7">
      <c r="A7" s="23" t="s">
        <v>132</v>
      </c>
      <c r="B7" s="24" t="s">
        <v>133</v>
      </c>
      <c r="E7" s="9"/>
    </row>
    <row r="8">
      <c r="A8" s="23" t="s">
        <v>60</v>
      </c>
      <c r="B8" s="8" t="s">
        <v>134</v>
      </c>
      <c r="E8" s="9"/>
    </row>
    <row r="9">
      <c r="A9" s="23"/>
      <c r="B9" s="8" t="s">
        <v>34</v>
      </c>
      <c r="C9" s="8">
        <v>178.0</v>
      </c>
      <c r="D9" s="11" t="s">
        <v>135</v>
      </c>
      <c r="E9" s="9"/>
    </row>
    <row r="10">
      <c r="A10" s="23"/>
      <c r="B10" s="8" t="s">
        <v>37</v>
      </c>
      <c r="C10" s="8">
        <v>26.0</v>
      </c>
      <c r="D10" s="35" t="s">
        <v>136</v>
      </c>
      <c r="E10" s="9"/>
    </row>
    <row r="11">
      <c r="A11" s="23"/>
      <c r="B11" s="8" t="s">
        <v>31</v>
      </c>
      <c r="C11" s="8">
        <v>226.0</v>
      </c>
      <c r="D11" s="11" t="s">
        <v>137</v>
      </c>
      <c r="E11" s="9"/>
    </row>
    <row r="12">
      <c r="A12" s="23"/>
      <c r="B12" s="8" t="s">
        <v>138</v>
      </c>
      <c r="C12" s="8">
        <f>SUM(C9:C11)</f>
        <v>430</v>
      </c>
      <c r="D12" s="8"/>
      <c r="E12" s="9"/>
    </row>
    <row r="13">
      <c r="A13" s="23" t="s">
        <v>67</v>
      </c>
      <c r="B13" s="28" t="s">
        <v>139</v>
      </c>
      <c r="E13" s="9"/>
    </row>
    <row r="14">
      <c r="A14" s="23" t="s">
        <v>65</v>
      </c>
      <c r="B14" s="28" t="s">
        <v>140</v>
      </c>
      <c r="E14" s="9"/>
    </row>
    <row r="15">
      <c r="A15" s="13" t="s">
        <v>62</v>
      </c>
      <c r="B15" s="14" t="s">
        <v>63</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c r="G56" s="10">
        <f>450.897777777777</f>
        <v>450.8977778</v>
      </c>
    </row>
    <row r="57" ht="15.75" customHeight="1">
      <c r="G57" s="10" t="s">
        <v>9</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sheetData>
  <mergeCells count="10">
    <mergeCell ref="B13:D13"/>
    <mergeCell ref="B14:D14"/>
    <mergeCell ref="B15:E15"/>
    <mergeCell ref="A1:B1"/>
    <mergeCell ref="B3:D3"/>
    <mergeCell ref="B4:D4"/>
    <mergeCell ref="B5:D5"/>
    <mergeCell ref="B6:D6"/>
    <mergeCell ref="B7:D7"/>
    <mergeCell ref="B8:D8"/>
  </mergeCells>
  <hyperlinks>
    <hyperlink r:id="rId1" ref="D9"/>
    <hyperlink r:id="rId2" ref="D11"/>
  </hyperlinks>
  <printOptions gridLines="1" horizontalCentered="1"/>
  <pageMargins bottom="0.75" footer="0.0" header="0.0" left="0.7" right="0.7" top="0.75"/>
  <pageSetup fitToHeight="0" paperSize="9" cellComments="atEnd" orientation="landscape" pageOrder="overThenDown"/>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75"/>
    <col customWidth="1" min="2" max="2" width="35.13"/>
    <col customWidth="1" min="3" max="3" width="21.63"/>
    <col customWidth="1" min="4" max="4" width="7.38"/>
    <col customWidth="1" min="5" max="5" width="11.25"/>
    <col customWidth="1" min="6" max="6" width="10.88"/>
    <col customWidth="1" min="7" max="7" width="17.38"/>
    <col customWidth="1" min="8" max="8" width="13.13"/>
    <col customWidth="1" min="9" max="9" width="13.0"/>
    <col customWidth="1" min="13" max="13" width="17.13"/>
  </cols>
  <sheetData>
    <row r="1" ht="30.0" customHeight="1">
      <c r="A1" s="36" t="s">
        <v>127</v>
      </c>
      <c r="C1" s="37" t="s">
        <v>141</v>
      </c>
    </row>
    <row r="2" ht="30.0" hidden="1" customHeight="1">
      <c r="A2" s="36" t="s">
        <v>142</v>
      </c>
      <c r="C2" s="38" t="s">
        <v>143</v>
      </c>
      <c r="D2" s="37"/>
      <c r="E2" s="37"/>
      <c r="F2" s="37"/>
      <c r="G2" s="37"/>
      <c r="H2" s="37"/>
      <c r="I2" s="37"/>
      <c r="J2" s="37"/>
      <c r="K2" s="37"/>
      <c r="L2" s="37"/>
      <c r="M2" s="37"/>
      <c r="N2" s="37"/>
    </row>
    <row r="3" ht="30.0" hidden="1" customHeight="1">
      <c r="A3" s="36" t="s">
        <v>144</v>
      </c>
      <c r="C3" s="38" t="s">
        <v>145</v>
      </c>
      <c r="D3" s="37"/>
      <c r="E3" s="37"/>
      <c r="F3" s="37"/>
      <c r="G3" s="37"/>
      <c r="H3" s="37"/>
      <c r="I3" s="37"/>
      <c r="J3" s="37"/>
      <c r="K3" s="37"/>
      <c r="L3" s="37"/>
      <c r="M3" s="37"/>
      <c r="N3" s="37"/>
    </row>
    <row r="4" ht="52.5" hidden="1" customHeight="1">
      <c r="A4" s="39" t="s">
        <v>146</v>
      </c>
      <c r="B4" s="39" t="s">
        <v>147</v>
      </c>
      <c r="C4" s="39" t="s">
        <v>148</v>
      </c>
      <c r="D4" s="39" t="s">
        <v>149</v>
      </c>
      <c r="E4" s="39" t="s">
        <v>150</v>
      </c>
      <c r="F4" s="39" t="s">
        <v>151</v>
      </c>
      <c r="G4" s="39" t="s">
        <v>152</v>
      </c>
      <c r="H4" s="39" t="s">
        <v>153</v>
      </c>
      <c r="I4" s="39" t="s">
        <v>154</v>
      </c>
      <c r="J4" s="39" t="s">
        <v>155</v>
      </c>
      <c r="K4" s="39" t="s">
        <v>156</v>
      </c>
      <c r="L4" s="39" t="s">
        <v>157</v>
      </c>
      <c r="M4" s="39" t="s">
        <v>158</v>
      </c>
      <c r="N4" s="39" t="s">
        <v>159</v>
      </c>
    </row>
    <row r="5" ht="30.0" customHeight="1">
      <c r="A5" s="10" t="s">
        <v>34</v>
      </c>
      <c r="B5" s="10" t="s">
        <v>160</v>
      </c>
      <c r="C5" s="10" t="s">
        <v>161</v>
      </c>
      <c r="D5" s="10">
        <v>2025.0</v>
      </c>
      <c r="E5" s="18" t="s">
        <v>162</v>
      </c>
      <c r="F5" s="10" t="s">
        <v>163</v>
      </c>
      <c r="G5" s="3" t="s">
        <v>164</v>
      </c>
      <c r="H5" s="10" t="s">
        <v>165</v>
      </c>
      <c r="I5" s="10" t="s">
        <v>166</v>
      </c>
      <c r="J5" s="40" t="str">
        <f t="shared" ref="J5:J994" si="1">IF(OR(ISBLANK(H5),ISBLANK(I5)),"",IF(H5&lt;&gt;I5,"Diferente","Igual"))</f>
        <v>Diferente</v>
      </c>
      <c r="K5" s="10" t="s">
        <v>167</v>
      </c>
      <c r="L5" s="10" t="s">
        <v>168</v>
      </c>
      <c r="M5" s="10" t="s">
        <v>169</v>
      </c>
      <c r="N5" s="40" t="str">
        <f t="shared" ref="N5:N994" si="2">IF(OR(ISBLANK(H5),ISBLANK(I5)),"", IF(J5="Diferente","Sim",IF(H5="Sim","Sim","Não")))</f>
        <v>Sim</v>
      </c>
      <c r="O5" s="41"/>
      <c r="P5" s="42" t="s">
        <v>170</v>
      </c>
    </row>
    <row r="6" ht="30.0" customHeight="1">
      <c r="A6" s="10" t="s">
        <v>31</v>
      </c>
      <c r="B6" s="10" t="s">
        <v>171</v>
      </c>
      <c r="C6" s="10" t="s">
        <v>172</v>
      </c>
      <c r="D6" s="10">
        <v>2025.0</v>
      </c>
      <c r="E6" s="43" t="s">
        <v>173</v>
      </c>
      <c r="F6" s="10" t="s">
        <v>174</v>
      </c>
      <c r="G6" s="3" t="s">
        <v>175</v>
      </c>
      <c r="H6" s="10" t="s">
        <v>165</v>
      </c>
      <c r="I6" s="10" t="s">
        <v>165</v>
      </c>
      <c r="J6" s="40" t="str">
        <f t="shared" si="1"/>
        <v>Igual</v>
      </c>
      <c r="K6" s="10" t="s">
        <v>176</v>
      </c>
      <c r="L6" s="10" t="s">
        <v>177</v>
      </c>
      <c r="M6" s="10" t="s">
        <v>169</v>
      </c>
      <c r="N6" s="40" t="str">
        <f t="shared" si="2"/>
        <v>Sim</v>
      </c>
      <c r="O6" s="41"/>
      <c r="P6" s="44"/>
    </row>
    <row r="7" ht="30.0" customHeight="1">
      <c r="A7" s="10" t="s">
        <v>37</v>
      </c>
      <c r="B7" s="10" t="s">
        <v>178</v>
      </c>
      <c r="C7" s="10" t="s">
        <v>179</v>
      </c>
      <c r="D7" s="10">
        <v>2025.0</v>
      </c>
      <c r="E7" s="18" t="s">
        <v>180</v>
      </c>
      <c r="F7" s="10" t="s">
        <v>181</v>
      </c>
      <c r="G7" s="3" t="s">
        <v>182</v>
      </c>
      <c r="H7" s="10" t="s">
        <v>165</v>
      </c>
      <c r="I7" s="10" t="s">
        <v>166</v>
      </c>
      <c r="J7" s="40" t="str">
        <f t="shared" si="1"/>
        <v>Diferente</v>
      </c>
      <c r="K7" s="10" t="s">
        <v>183</v>
      </c>
      <c r="L7" s="10" t="s">
        <v>184</v>
      </c>
      <c r="M7" s="10" t="s">
        <v>169</v>
      </c>
      <c r="N7" s="40" t="str">
        <f t="shared" si="2"/>
        <v>Sim</v>
      </c>
      <c r="O7" s="41"/>
      <c r="P7" s="44"/>
    </row>
    <row r="8" ht="30.0" customHeight="1">
      <c r="A8" s="10" t="s">
        <v>31</v>
      </c>
      <c r="B8" s="10" t="s">
        <v>185</v>
      </c>
      <c r="C8" s="10" t="s">
        <v>186</v>
      </c>
      <c r="D8" s="10">
        <v>2025.0</v>
      </c>
      <c r="E8" s="18" t="s">
        <v>187</v>
      </c>
      <c r="F8" s="10" t="s">
        <v>188</v>
      </c>
      <c r="G8" s="3" t="s">
        <v>189</v>
      </c>
      <c r="H8" s="10" t="s">
        <v>165</v>
      </c>
      <c r="I8" s="10" t="s">
        <v>165</v>
      </c>
      <c r="J8" s="40" t="str">
        <f t="shared" si="1"/>
        <v>Igual</v>
      </c>
      <c r="K8" s="10" t="s">
        <v>190</v>
      </c>
      <c r="L8" s="10" t="s">
        <v>191</v>
      </c>
      <c r="M8" s="10" t="s">
        <v>169</v>
      </c>
      <c r="N8" s="40" t="str">
        <f t="shared" si="2"/>
        <v>Sim</v>
      </c>
      <c r="O8" s="41"/>
      <c r="P8" s="44"/>
    </row>
    <row r="9" ht="1.5" hidden="1" customHeight="1">
      <c r="G9" s="3"/>
      <c r="H9" s="10"/>
      <c r="I9" s="10"/>
      <c r="J9" s="40" t="str">
        <f t="shared" si="1"/>
        <v/>
      </c>
      <c r="M9" s="10"/>
      <c r="N9" s="40" t="str">
        <f t="shared" si="2"/>
        <v/>
      </c>
    </row>
    <row r="10" ht="30.0" customHeight="1">
      <c r="A10" s="45" t="s">
        <v>34</v>
      </c>
      <c r="B10" s="45" t="s">
        <v>192</v>
      </c>
      <c r="C10" s="45" t="s">
        <v>193</v>
      </c>
      <c r="D10" s="46">
        <v>2024.0</v>
      </c>
      <c r="E10" s="45" t="s">
        <v>194</v>
      </c>
      <c r="F10" s="45" t="s">
        <v>195</v>
      </c>
      <c r="G10" s="45" t="s">
        <v>196</v>
      </c>
      <c r="H10" s="10" t="s">
        <v>166</v>
      </c>
      <c r="I10" s="10" t="s">
        <v>165</v>
      </c>
      <c r="J10" s="40" t="str">
        <f t="shared" si="1"/>
        <v>Diferente</v>
      </c>
      <c r="K10" s="47" t="s">
        <v>197</v>
      </c>
      <c r="L10" s="10" t="s">
        <v>198</v>
      </c>
      <c r="M10" s="10" t="s">
        <v>199</v>
      </c>
      <c r="N10" s="40" t="str">
        <f t="shared" si="2"/>
        <v>Sim</v>
      </c>
      <c r="O10" s="41"/>
      <c r="P10" s="44"/>
    </row>
    <row r="11" ht="30.0" customHeight="1">
      <c r="A11" s="45" t="s">
        <v>34</v>
      </c>
      <c r="B11" s="45" t="s">
        <v>200</v>
      </c>
      <c r="C11" s="45" t="s">
        <v>201</v>
      </c>
      <c r="D11" s="46">
        <v>2025.0</v>
      </c>
      <c r="E11" s="45" t="s">
        <v>202</v>
      </c>
      <c r="F11" s="45" t="s">
        <v>203</v>
      </c>
      <c r="G11" s="45" t="s">
        <v>204</v>
      </c>
      <c r="H11" s="10" t="s">
        <v>166</v>
      </c>
      <c r="I11" s="10" t="s">
        <v>165</v>
      </c>
      <c r="J11" s="40" t="str">
        <f t="shared" si="1"/>
        <v>Diferente</v>
      </c>
      <c r="K11" s="47" t="s">
        <v>197</v>
      </c>
      <c r="L11" s="10" t="s">
        <v>205</v>
      </c>
      <c r="M11" s="10" t="s">
        <v>199</v>
      </c>
      <c r="N11" s="40" t="str">
        <f t="shared" si="2"/>
        <v>Sim</v>
      </c>
      <c r="O11" s="41"/>
      <c r="P11" s="44"/>
    </row>
    <row r="12" ht="30.0" hidden="1" customHeight="1">
      <c r="A12" s="45" t="s">
        <v>34</v>
      </c>
      <c r="B12" s="45" t="s">
        <v>206</v>
      </c>
      <c r="C12" s="45" t="s">
        <v>207</v>
      </c>
      <c r="D12" s="46">
        <v>2025.0</v>
      </c>
      <c r="E12" s="45" t="s">
        <v>208</v>
      </c>
      <c r="F12" s="45" t="s">
        <v>209</v>
      </c>
      <c r="G12" s="45" t="s">
        <v>210</v>
      </c>
      <c r="H12" s="10" t="s">
        <v>166</v>
      </c>
      <c r="I12" s="10" t="s">
        <v>166</v>
      </c>
      <c r="J12" s="40" t="str">
        <f t="shared" si="1"/>
        <v>Igual</v>
      </c>
      <c r="K12" s="47" t="s">
        <v>197</v>
      </c>
      <c r="L12" s="10" t="s">
        <v>211</v>
      </c>
      <c r="M12" s="10" t="s">
        <v>199</v>
      </c>
      <c r="N12" s="40" t="str">
        <f t="shared" si="2"/>
        <v>Não</v>
      </c>
    </row>
    <row r="13" ht="30.0" hidden="1" customHeight="1">
      <c r="A13" s="45" t="s">
        <v>34</v>
      </c>
      <c r="B13" s="45" t="s">
        <v>212</v>
      </c>
      <c r="C13" s="45" t="s">
        <v>213</v>
      </c>
      <c r="D13" s="46">
        <v>2024.0</v>
      </c>
      <c r="E13" s="45" t="s">
        <v>214</v>
      </c>
      <c r="F13" s="45" t="s">
        <v>215</v>
      </c>
      <c r="G13" s="45" t="s">
        <v>216</v>
      </c>
      <c r="H13" s="10" t="s">
        <v>166</v>
      </c>
      <c r="I13" s="10" t="s">
        <v>166</v>
      </c>
      <c r="J13" s="40" t="str">
        <f t="shared" si="1"/>
        <v>Igual</v>
      </c>
      <c r="K13" s="47" t="s">
        <v>197</v>
      </c>
      <c r="L13" s="10" t="s">
        <v>217</v>
      </c>
      <c r="M13" s="10" t="s">
        <v>199</v>
      </c>
      <c r="N13" s="40" t="str">
        <f t="shared" si="2"/>
        <v>Não</v>
      </c>
    </row>
    <row r="14" ht="30.0" hidden="1" customHeight="1">
      <c r="A14" s="45" t="s">
        <v>34</v>
      </c>
      <c r="B14" s="45" t="s">
        <v>218</v>
      </c>
      <c r="C14" s="45" t="s">
        <v>219</v>
      </c>
      <c r="D14" s="46">
        <v>2023.0</v>
      </c>
      <c r="E14" s="45" t="s">
        <v>220</v>
      </c>
      <c r="F14" s="45" t="s">
        <v>221</v>
      </c>
      <c r="G14" s="45" t="s">
        <v>222</v>
      </c>
      <c r="H14" s="10" t="s">
        <v>166</v>
      </c>
      <c r="I14" s="10" t="s">
        <v>166</v>
      </c>
      <c r="J14" s="40" t="str">
        <f t="shared" si="1"/>
        <v>Igual</v>
      </c>
      <c r="K14" s="47" t="s">
        <v>197</v>
      </c>
      <c r="L14" s="10" t="s">
        <v>223</v>
      </c>
      <c r="M14" s="10" t="s">
        <v>199</v>
      </c>
      <c r="N14" s="40" t="str">
        <f t="shared" si="2"/>
        <v>Não</v>
      </c>
    </row>
    <row r="15" ht="30.0" hidden="1" customHeight="1">
      <c r="A15" s="45" t="s">
        <v>34</v>
      </c>
      <c r="B15" s="45" t="s">
        <v>224</v>
      </c>
      <c r="C15" s="45" t="s">
        <v>225</v>
      </c>
      <c r="D15" s="46">
        <v>2025.0</v>
      </c>
      <c r="E15" s="45" t="s">
        <v>226</v>
      </c>
      <c r="F15" s="45" t="s">
        <v>227</v>
      </c>
      <c r="G15" s="45" t="s">
        <v>228</v>
      </c>
      <c r="H15" s="10" t="s">
        <v>166</v>
      </c>
      <c r="I15" s="10" t="s">
        <v>166</v>
      </c>
      <c r="J15" s="40" t="str">
        <f t="shared" si="1"/>
        <v>Igual</v>
      </c>
      <c r="K15" s="47" t="s">
        <v>197</v>
      </c>
      <c r="L15" s="10" t="s">
        <v>229</v>
      </c>
      <c r="M15" s="10" t="s">
        <v>199</v>
      </c>
      <c r="N15" s="40" t="str">
        <f t="shared" si="2"/>
        <v>Não</v>
      </c>
    </row>
    <row r="16" ht="30.0" customHeight="1">
      <c r="A16" s="45" t="s">
        <v>34</v>
      </c>
      <c r="B16" s="45" t="s">
        <v>230</v>
      </c>
      <c r="C16" s="45" t="s">
        <v>231</v>
      </c>
      <c r="D16" s="46">
        <v>2024.0</v>
      </c>
      <c r="E16" s="48" t="s">
        <v>232</v>
      </c>
      <c r="F16" s="45" t="s">
        <v>233</v>
      </c>
      <c r="G16" s="45"/>
      <c r="H16" s="10" t="s">
        <v>165</v>
      </c>
      <c r="I16" s="10" t="s">
        <v>165</v>
      </c>
      <c r="J16" s="40" t="str">
        <f t="shared" si="1"/>
        <v>Igual</v>
      </c>
      <c r="K16" s="47" t="s">
        <v>234</v>
      </c>
      <c r="L16" s="10" t="s">
        <v>235</v>
      </c>
      <c r="M16" s="10" t="s">
        <v>199</v>
      </c>
      <c r="N16" s="40" t="str">
        <f t="shared" si="2"/>
        <v>Sim</v>
      </c>
      <c r="O16" s="41"/>
      <c r="P16" s="44"/>
    </row>
    <row r="17" ht="30.0" customHeight="1">
      <c r="A17" s="45" t="s">
        <v>34</v>
      </c>
      <c r="B17" s="45" t="s">
        <v>236</v>
      </c>
      <c r="C17" s="45" t="s">
        <v>237</v>
      </c>
      <c r="D17" s="46">
        <v>2023.0</v>
      </c>
      <c r="E17" s="45" t="s">
        <v>238</v>
      </c>
      <c r="F17" s="45" t="s">
        <v>239</v>
      </c>
      <c r="G17" s="45" t="s">
        <v>240</v>
      </c>
      <c r="H17" s="10" t="s">
        <v>166</v>
      </c>
      <c r="I17" s="10" t="s">
        <v>165</v>
      </c>
      <c r="J17" s="40" t="str">
        <f t="shared" si="1"/>
        <v>Diferente</v>
      </c>
      <c r="K17" s="47" t="s">
        <v>197</v>
      </c>
      <c r="L17" s="10" t="s">
        <v>241</v>
      </c>
      <c r="M17" s="10" t="s">
        <v>199</v>
      </c>
      <c r="N17" s="40" t="str">
        <f t="shared" si="2"/>
        <v>Sim</v>
      </c>
      <c r="O17" s="41"/>
      <c r="P17" s="44"/>
    </row>
    <row r="18" ht="30.0" customHeight="1">
      <c r="A18" s="45" t="s">
        <v>34</v>
      </c>
      <c r="B18" s="45" t="s">
        <v>242</v>
      </c>
      <c r="C18" s="45" t="s">
        <v>243</v>
      </c>
      <c r="D18" s="46">
        <v>2024.0</v>
      </c>
      <c r="E18" s="45" t="s">
        <v>244</v>
      </c>
      <c r="F18" s="45" t="s">
        <v>245</v>
      </c>
      <c r="G18" s="45" t="s">
        <v>246</v>
      </c>
      <c r="H18" s="10" t="s">
        <v>166</v>
      </c>
      <c r="I18" s="10" t="s">
        <v>165</v>
      </c>
      <c r="J18" s="40" t="str">
        <f t="shared" si="1"/>
        <v>Diferente</v>
      </c>
      <c r="K18" s="47" t="s">
        <v>197</v>
      </c>
      <c r="L18" s="10" t="s">
        <v>247</v>
      </c>
      <c r="M18" s="10" t="s">
        <v>199</v>
      </c>
      <c r="N18" s="40" t="str">
        <f t="shared" si="2"/>
        <v>Sim</v>
      </c>
      <c r="O18" s="41"/>
      <c r="P18" s="44"/>
    </row>
    <row r="19" ht="30.0" hidden="1" customHeight="1">
      <c r="A19" s="45" t="s">
        <v>34</v>
      </c>
      <c r="B19" s="45" t="s">
        <v>248</v>
      </c>
      <c r="C19" s="45" t="s">
        <v>249</v>
      </c>
      <c r="D19" s="46">
        <v>2023.0</v>
      </c>
      <c r="E19" s="45" t="s">
        <v>250</v>
      </c>
      <c r="F19" s="45" t="s">
        <v>251</v>
      </c>
      <c r="G19" s="45" t="s">
        <v>252</v>
      </c>
      <c r="H19" s="10" t="s">
        <v>166</v>
      </c>
      <c r="I19" s="10" t="s">
        <v>166</v>
      </c>
      <c r="J19" s="40" t="str">
        <f t="shared" si="1"/>
        <v>Igual</v>
      </c>
      <c r="K19" s="47" t="s">
        <v>197</v>
      </c>
      <c r="L19" s="10" t="s">
        <v>253</v>
      </c>
      <c r="M19" s="10" t="s">
        <v>199</v>
      </c>
      <c r="N19" s="40" t="str">
        <f t="shared" si="2"/>
        <v>Não</v>
      </c>
    </row>
    <row r="20" ht="30.0" hidden="1" customHeight="1">
      <c r="A20" s="45" t="s">
        <v>34</v>
      </c>
      <c r="B20" s="45" t="s">
        <v>254</v>
      </c>
      <c r="C20" s="45" t="s">
        <v>255</v>
      </c>
      <c r="D20" s="46">
        <v>2022.0</v>
      </c>
      <c r="E20" s="45" t="s">
        <v>256</v>
      </c>
      <c r="F20" s="45" t="s">
        <v>257</v>
      </c>
      <c r="G20" s="45" t="s">
        <v>258</v>
      </c>
      <c r="H20" s="10" t="s">
        <v>166</v>
      </c>
      <c r="I20" s="10" t="s">
        <v>166</v>
      </c>
      <c r="J20" s="40" t="str">
        <f t="shared" si="1"/>
        <v>Igual</v>
      </c>
      <c r="K20" s="47" t="s">
        <v>197</v>
      </c>
      <c r="L20" s="10" t="s">
        <v>259</v>
      </c>
      <c r="M20" s="10" t="s">
        <v>199</v>
      </c>
      <c r="N20" s="40" t="str">
        <f t="shared" si="2"/>
        <v>Não</v>
      </c>
    </row>
    <row r="21" ht="30.0" customHeight="1">
      <c r="A21" s="45" t="s">
        <v>34</v>
      </c>
      <c r="B21" s="45" t="s">
        <v>260</v>
      </c>
      <c r="C21" s="45" t="s">
        <v>261</v>
      </c>
      <c r="D21" s="46">
        <v>2024.0</v>
      </c>
      <c r="E21" s="45" t="s">
        <v>262</v>
      </c>
      <c r="F21" s="45" t="s">
        <v>263</v>
      </c>
      <c r="G21" s="45" t="s">
        <v>264</v>
      </c>
      <c r="H21" s="10" t="s">
        <v>166</v>
      </c>
      <c r="I21" s="10" t="s">
        <v>165</v>
      </c>
      <c r="J21" s="40" t="str">
        <f t="shared" si="1"/>
        <v>Diferente</v>
      </c>
      <c r="K21" s="47" t="s">
        <v>197</v>
      </c>
      <c r="L21" s="10" t="s">
        <v>265</v>
      </c>
      <c r="M21" s="10" t="s">
        <v>199</v>
      </c>
      <c r="N21" s="40" t="str">
        <f t="shared" si="2"/>
        <v>Sim</v>
      </c>
      <c r="O21" s="41"/>
      <c r="P21" s="49"/>
    </row>
    <row r="22" ht="30.0" customHeight="1">
      <c r="A22" s="45" t="s">
        <v>34</v>
      </c>
      <c r="B22" s="45" t="s">
        <v>266</v>
      </c>
      <c r="C22" s="45" t="s">
        <v>267</v>
      </c>
      <c r="D22" s="46">
        <v>2024.0</v>
      </c>
      <c r="E22" s="45" t="s">
        <v>268</v>
      </c>
      <c r="F22" s="45" t="s">
        <v>269</v>
      </c>
      <c r="G22" s="45" t="s">
        <v>270</v>
      </c>
      <c r="H22" s="10" t="s">
        <v>166</v>
      </c>
      <c r="I22" s="10" t="s">
        <v>165</v>
      </c>
      <c r="J22" s="40" t="str">
        <f t="shared" si="1"/>
        <v>Diferente</v>
      </c>
      <c r="K22" s="47" t="s">
        <v>197</v>
      </c>
      <c r="L22" s="10" t="s">
        <v>271</v>
      </c>
      <c r="M22" s="10" t="s">
        <v>199</v>
      </c>
      <c r="N22" s="40" t="str">
        <f t="shared" si="2"/>
        <v>Sim</v>
      </c>
      <c r="O22" s="41"/>
      <c r="P22" s="49"/>
    </row>
    <row r="23" ht="30.0" hidden="1" customHeight="1">
      <c r="A23" s="45" t="s">
        <v>34</v>
      </c>
      <c r="B23" s="45"/>
      <c r="C23" s="45" t="s">
        <v>272</v>
      </c>
      <c r="D23" s="46">
        <v>2025.0</v>
      </c>
      <c r="E23" s="50" t="s">
        <v>273</v>
      </c>
      <c r="F23" s="45" t="s">
        <v>274</v>
      </c>
      <c r="G23" s="45"/>
      <c r="H23" s="10" t="s">
        <v>166</v>
      </c>
      <c r="I23" s="10" t="s">
        <v>166</v>
      </c>
      <c r="J23" s="40" t="str">
        <f t="shared" si="1"/>
        <v>Igual</v>
      </c>
      <c r="K23" s="47" t="s">
        <v>197</v>
      </c>
      <c r="L23" s="10" t="s">
        <v>275</v>
      </c>
      <c r="M23" s="10" t="s">
        <v>199</v>
      </c>
      <c r="N23" s="40" t="str">
        <f t="shared" si="2"/>
        <v>Não</v>
      </c>
    </row>
    <row r="24" ht="30.0" customHeight="1">
      <c r="A24" s="45" t="s">
        <v>34</v>
      </c>
      <c r="B24" s="45" t="s">
        <v>276</v>
      </c>
      <c r="C24" s="45" t="s">
        <v>277</v>
      </c>
      <c r="D24" s="46">
        <v>2025.0</v>
      </c>
      <c r="E24" s="45" t="s">
        <v>278</v>
      </c>
      <c r="F24" s="45" t="s">
        <v>279</v>
      </c>
      <c r="G24" s="45" t="s">
        <v>280</v>
      </c>
      <c r="H24" s="10" t="s">
        <v>165</v>
      </c>
      <c r="I24" s="10" t="s">
        <v>166</v>
      </c>
      <c r="J24" s="40" t="str">
        <f t="shared" si="1"/>
        <v>Diferente</v>
      </c>
      <c r="K24" s="47" t="s">
        <v>234</v>
      </c>
      <c r="L24" s="10" t="s">
        <v>281</v>
      </c>
      <c r="M24" s="10" t="s">
        <v>199</v>
      </c>
      <c r="N24" s="40" t="str">
        <f t="shared" si="2"/>
        <v>Sim</v>
      </c>
      <c r="O24" s="41"/>
      <c r="P24" s="49"/>
    </row>
    <row r="25" ht="30.0" hidden="1" customHeight="1">
      <c r="A25" s="45" t="s">
        <v>34</v>
      </c>
      <c r="B25" s="45" t="s">
        <v>282</v>
      </c>
      <c r="C25" s="45" t="s">
        <v>283</v>
      </c>
      <c r="D25" s="46">
        <v>2025.0</v>
      </c>
      <c r="E25" s="45" t="s">
        <v>284</v>
      </c>
      <c r="F25" s="45" t="s">
        <v>285</v>
      </c>
      <c r="G25" s="45" t="s">
        <v>286</v>
      </c>
      <c r="H25" s="10" t="s">
        <v>166</v>
      </c>
      <c r="I25" s="10" t="s">
        <v>166</v>
      </c>
      <c r="J25" s="40" t="str">
        <f t="shared" si="1"/>
        <v>Igual</v>
      </c>
      <c r="K25" s="47" t="s">
        <v>197</v>
      </c>
      <c r="L25" s="10" t="s">
        <v>287</v>
      </c>
      <c r="M25" s="10" t="s">
        <v>199</v>
      </c>
      <c r="N25" s="40" t="str">
        <f t="shared" si="2"/>
        <v>Não</v>
      </c>
    </row>
    <row r="26" ht="30.0" hidden="1" customHeight="1">
      <c r="A26" s="45" t="s">
        <v>34</v>
      </c>
      <c r="B26" s="45" t="s">
        <v>288</v>
      </c>
      <c r="C26" s="45" t="s">
        <v>289</v>
      </c>
      <c r="D26" s="46">
        <v>2025.0</v>
      </c>
      <c r="E26" s="45" t="s">
        <v>290</v>
      </c>
      <c r="F26" s="45" t="s">
        <v>291</v>
      </c>
      <c r="G26" s="45" t="s">
        <v>292</v>
      </c>
      <c r="H26" s="10" t="s">
        <v>166</v>
      </c>
      <c r="I26" s="10" t="s">
        <v>166</v>
      </c>
      <c r="J26" s="40" t="str">
        <f t="shared" si="1"/>
        <v>Igual</v>
      </c>
      <c r="K26" s="47" t="s">
        <v>197</v>
      </c>
      <c r="L26" s="10" t="s">
        <v>293</v>
      </c>
      <c r="M26" s="10" t="s">
        <v>199</v>
      </c>
      <c r="N26" s="40" t="str">
        <f t="shared" si="2"/>
        <v>Não</v>
      </c>
    </row>
    <row r="27" ht="30.0" customHeight="1">
      <c r="A27" s="45" t="s">
        <v>34</v>
      </c>
      <c r="B27" s="45" t="s">
        <v>294</v>
      </c>
      <c r="C27" s="45" t="s">
        <v>295</v>
      </c>
      <c r="D27" s="46">
        <v>2025.0</v>
      </c>
      <c r="E27" s="45" t="s">
        <v>296</v>
      </c>
      <c r="F27" s="45" t="s">
        <v>297</v>
      </c>
      <c r="G27" s="45" t="s">
        <v>298</v>
      </c>
      <c r="H27" s="10" t="s">
        <v>165</v>
      </c>
      <c r="I27" s="10" t="s">
        <v>165</v>
      </c>
      <c r="J27" s="40" t="str">
        <f t="shared" si="1"/>
        <v>Igual</v>
      </c>
      <c r="K27" s="47" t="s">
        <v>234</v>
      </c>
      <c r="L27" s="10" t="s">
        <v>299</v>
      </c>
      <c r="M27" s="10" t="s">
        <v>199</v>
      </c>
      <c r="N27" s="40" t="str">
        <f t="shared" si="2"/>
        <v>Sim</v>
      </c>
      <c r="O27" s="41"/>
      <c r="P27" s="49"/>
    </row>
    <row r="28" ht="30.0" hidden="1" customHeight="1">
      <c r="A28" s="45" t="s">
        <v>34</v>
      </c>
      <c r="B28" s="45" t="s">
        <v>300</v>
      </c>
      <c r="C28" s="45" t="s">
        <v>161</v>
      </c>
      <c r="D28" s="46">
        <v>2025.0</v>
      </c>
      <c r="E28" s="45" t="s">
        <v>301</v>
      </c>
      <c r="F28" s="45" t="s">
        <v>302</v>
      </c>
      <c r="G28" s="45" t="s">
        <v>303</v>
      </c>
      <c r="H28" s="10" t="s">
        <v>166</v>
      </c>
      <c r="I28" s="10" t="s">
        <v>166</v>
      </c>
      <c r="J28" s="40" t="str">
        <f t="shared" si="1"/>
        <v>Igual</v>
      </c>
      <c r="K28" s="47" t="s">
        <v>197</v>
      </c>
      <c r="L28" s="10" t="s">
        <v>304</v>
      </c>
      <c r="M28" s="10" t="s">
        <v>199</v>
      </c>
      <c r="N28" s="40" t="str">
        <f t="shared" si="2"/>
        <v>Não</v>
      </c>
    </row>
    <row r="29" ht="30.0" hidden="1" customHeight="1">
      <c r="A29" s="45" t="s">
        <v>34</v>
      </c>
      <c r="B29" s="45" t="s">
        <v>305</v>
      </c>
      <c r="C29" s="45" t="s">
        <v>306</v>
      </c>
      <c r="D29" s="46">
        <v>2020.0</v>
      </c>
      <c r="E29" s="45" t="s">
        <v>307</v>
      </c>
      <c r="F29" s="45" t="s">
        <v>308</v>
      </c>
      <c r="G29" s="45" t="s">
        <v>309</v>
      </c>
      <c r="H29" s="10" t="s">
        <v>166</v>
      </c>
      <c r="I29" s="10" t="s">
        <v>166</v>
      </c>
      <c r="J29" s="40" t="str">
        <f t="shared" si="1"/>
        <v>Igual</v>
      </c>
      <c r="K29" s="47" t="s">
        <v>197</v>
      </c>
      <c r="L29" s="10" t="s">
        <v>310</v>
      </c>
      <c r="M29" s="10" t="s">
        <v>199</v>
      </c>
      <c r="N29" s="40" t="str">
        <f t="shared" si="2"/>
        <v>Não</v>
      </c>
    </row>
    <row r="30" ht="30.0" hidden="1" customHeight="1">
      <c r="A30" s="45" t="s">
        <v>34</v>
      </c>
      <c r="B30" s="45" t="s">
        <v>305</v>
      </c>
      <c r="C30" s="45" t="s">
        <v>311</v>
      </c>
      <c r="D30" s="46">
        <v>2020.0</v>
      </c>
      <c r="E30" s="45" t="s">
        <v>312</v>
      </c>
      <c r="F30" s="45" t="s">
        <v>313</v>
      </c>
      <c r="G30" s="45" t="s">
        <v>314</v>
      </c>
      <c r="H30" s="10" t="s">
        <v>166</v>
      </c>
      <c r="I30" s="10" t="s">
        <v>166</v>
      </c>
      <c r="J30" s="40" t="str">
        <f t="shared" si="1"/>
        <v>Igual</v>
      </c>
      <c r="K30" s="47" t="s">
        <v>197</v>
      </c>
      <c r="L30" s="10" t="s">
        <v>315</v>
      </c>
      <c r="M30" s="10" t="s">
        <v>199</v>
      </c>
      <c r="N30" s="40" t="str">
        <f t="shared" si="2"/>
        <v>Não</v>
      </c>
    </row>
    <row r="31" ht="30.0" hidden="1" customHeight="1">
      <c r="A31" s="45" t="s">
        <v>34</v>
      </c>
      <c r="B31" s="45" t="s">
        <v>316</v>
      </c>
      <c r="C31" s="45" t="s">
        <v>317</v>
      </c>
      <c r="D31" s="46">
        <v>2024.0</v>
      </c>
      <c r="E31" s="45" t="s">
        <v>318</v>
      </c>
      <c r="F31" s="45" t="s">
        <v>319</v>
      </c>
      <c r="G31" s="45" t="s">
        <v>320</v>
      </c>
      <c r="H31" s="10" t="s">
        <v>166</v>
      </c>
      <c r="I31" s="10" t="s">
        <v>166</v>
      </c>
      <c r="J31" s="40" t="str">
        <f t="shared" si="1"/>
        <v>Igual</v>
      </c>
      <c r="K31" s="47" t="s">
        <v>197</v>
      </c>
      <c r="L31" s="10" t="s">
        <v>321</v>
      </c>
      <c r="M31" s="10" t="s">
        <v>199</v>
      </c>
      <c r="N31" s="40" t="str">
        <f t="shared" si="2"/>
        <v>Não</v>
      </c>
    </row>
    <row r="32" ht="30.0" hidden="1" customHeight="1">
      <c r="A32" s="45" t="s">
        <v>34</v>
      </c>
      <c r="B32" s="45" t="s">
        <v>322</v>
      </c>
      <c r="C32" s="45" t="s">
        <v>323</v>
      </c>
      <c r="D32" s="46">
        <v>2021.0</v>
      </c>
      <c r="E32" s="45" t="s">
        <v>324</v>
      </c>
      <c r="F32" s="45" t="s">
        <v>325</v>
      </c>
      <c r="G32" s="45" t="s">
        <v>326</v>
      </c>
      <c r="H32" s="10" t="s">
        <v>166</v>
      </c>
      <c r="I32" s="10" t="s">
        <v>166</v>
      </c>
      <c r="J32" s="40" t="str">
        <f t="shared" si="1"/>
        <v>Igual</v>
      </c>
      <c r="K32" s="47" t="s">
        <v>197</v>
      </c>
      <c r="L32" s="10" t="s">
        <v>327</v>
      </c>
      <c r="M32" s="10" t="s">
        <v>199</v>
      </c>
      <c r="N32" s="40" t="str">
        <f t="shared" si="2"/>
        <v>Não</v>
      </c>
    </row>
    <row r="33" ht="30.0" hidden="1" customHeight="1">
      <c r="A33" s="45" t="s">
        <v>34</v>
      </c>
      <c r="B33" s="45" t="s">
        <v>328</v>
      </c>
      <c r="C33" s="45" t="s">
        <v>329</v>
      </c>
      <c r="D33" s="46">
        <v>2025.0</v>
      </c>
      <c r="E33" s="45" t="s">
        <v>330</v>
      </c>
      <c r="F33" s="45" t="s">
        <v>331</v>
      </c>
      <c r="G33" s="45" t="s">
        <v>332</v>
      </c>
      <c r="H33" s="10" t="s">
        <v>166</v>
      </c>
      <c r="I33" s="10" t="s">
        <v>166</v>
      </c>
      <c r="J33" s="40" t="str">
        <f t="shared" si="1"/>
        <v>Igual</v>
      </c>
      <c r="K33" s="47" t="s">
        <v>197</v>
      </c>
      <c r="L33" s="10" t="s">
        <v>333</v>
      </c>
      <c r="M33" s="10" t="s">
        <v>199</v>
      </c>
      <c r="N33" s="40" t="str">
        <f t="shared" si="2"/>
        <v>Não</v>
      </c>
    </row>
    <row r="34" ht="30.0" hidden="1" customHeight="1">
      <c r="A34" s="45" t="s">
        <v>34</v>
      </c>
      <c r="B34" s="45" t="s">
        <v>334</v>
      </c>
      <c r="C34" s="45" t="s">
        <v>335</v>
      </c>
      <c r="D34" s="46">
        <v>2024.0</v>
      </c>
      <c r="E34" s="45" t="s">
        <v>336</v>
      </c>
      <c r="F34" s="45" t="s">
        <v>337</v>
      </c>
      <c r="G34" s="45" t="s">
        <v>338</v>
      </c>
      <c r="H34" s="10" t="s">
        <v>166</v>
      </c>
      <c r="I34" s="10" t="s">
        <v>166</v>
      </c>
      <c r="J34" s="40" t="str">
        <f t="shared" si="1"/>
        <v>Igual</v>
      </c>
      <c r="K34" s="47" t="s">
        <v>197</v>
      </c>
      <c r="L34" s="10" t="s">
        <v>339</v>
      </c>
      <c r="M34" s="10" t="s">
        <v>199</v>
      </c>
      <c r="N34" s="40" t="str">
        <f t="shared" si="2"/>
        <v>Não</v>
      </c>
    </row>
    <row r="35" ht="30.0" hidden="1" customHeight="1">
      <c r="A35" s="45" t="s">
        <v>34</v>
      </c>
      <c r="B35" s="45" t="s">
        <v>340</v>
      </c>
      <c r="C35" s="45" t="s">
        <v>341</v>
      </c>
      <c r="D35" s="46">
        <v>2025.0</v>
      </c>
      <c r="E35" s="45" t="s">
        <v>342</v>
      </c>
      <c r="F35" s="45" t="s">
        <v>343</v>
      </c>
      <c r="G35" s="45" t="s">
        <v>344</v>
      </c>
      <c r="H35" s="10" t="s">
        <v>166</v>
      </c>
      <c r="I35" s="10" t="s">
        <v>166</v>
      </c>
      <c r="J35" s="40" t="str">
        <f t="shared" si="1"/>
        <v>Igual</v>
      </c>
      <c r="K35" s="47" t="s">
        <v>197</v>
      </c>
      <c r="L35" s="10" t="s">
        <v>345</v>
      </c>
      <c r="M35" s="10" t="s">
        <v>199</v>
      </c>
      <c r="N35" s="40" t="str">
        <f t="shared" si="2"/>
        <v>Não</v>
      </c>
    </row>
    <row r="36" ht="30.0" hidden="1" customHeight="1">
      <c r="A36" s="45" t="s">
        <v>34</v>
      </c>
      <c r="B36" s="45" t="s">
        <v>346</v>
      </c>
      <c r="C36" s="45" t="s">
        <v>347</v>
      </c>
      <c r="D36" s="46">
        <v>2021.0</v>
      </c>
      <c r="E36" s="45" t="s">
        <v>348</v>
      </c>
      <c r="F36" s="45" t="s">
        <v>349</v>
      </c>
      <c r="G36" s="45" t="s">
        <v>350</v>
      </c>
      <c r="H36" s="10" t="s">
        <v>166</v>
      </c>
      <c r="I36" s="10" t="s">
        <v>166</v>
      </c>
      <c r="J36" s="40" t="str">
        <f t="shared" si="1"/>
        <v>Igual</v>
      </c>
      <c r="K36" s="47" t="s">
        <v>197</v>
      </c>
      <c r="L36" s="10" t="s">
        <v>327</v>
      </c>
      <c r="M36" s="10" t="s">
        <v>199</v>
      </c>
      <c r="N36" s="40" t="str">
        <f t="shared" si="2"/>
        <v>Não</v>
      </c>
    </row>
    <row r="37" ht="30.0" hidden="1" customHeight="1">
      <c r="A37" s="45" t="s">
        <v>34</v>
      </c>
      <c r="B37" s="45" t="s">
        <v>351</v>
      </c>
      <c r="C37" s="45" t="s">
        <v>352</v>
      </c>
      <c r="D37" s="46">
        <v>2023.0</v>
      </c>
      <c r="E37" s="45" t="s">
        <v>353</v>
      </c>
      <c r="F37" s="45" t="s">
        <v>354</v>
      </c>
      <c r="G37" s="45" t="s">
        <v>355</v>
      </c>
      <c r="H37" s="10" t="s">
        <v>166</v>
      </c>
      <c r="I37" s="10" t="s">
        <v>166</v>
      </c>
      <c r="J37" s="40" t="str">
        <f t="shared" si="1"/>
        <v>Igual</v>
      </c>
      <c r="K37" s="47" t="s">
        <v>197</v>
      </c>
      <c r="L37" s="10" t="s">
        <v>356</v>
      </c>
      <c r="M37" s="10" t="s">
        <v>199</v>
      </c>
      <c r="N37" s="40" t="str">
        <f t="shared" si="2"/>
        <v>Não</v>
      </c>
    </row>
    <row r="38" ht="30.0" hidden="1" customHeight="1">
      <c r="A38" s="45" t="s">
        <v>34</v>
      </c>
      <c r="B38" s="45" t="s">
        <v>357</v>
      </c>
      <c r="C38" s="45" t="s">
        <v>358</v>
      </c>
      <c r="D38" s="46">
        <v>2023.0</v>
      </c>
      <c r="E38" s="45" t="s">
        <v>359</v>
      </c>
      <c r="F38" s="45" t="s">
        <v>360</v>
      </c>
      <c r="G38" s="45" t="s">
        <v>361</v>
      </c>
      <c r="H38" s="10" t="s">
        <v>166</v>
      </c>
      <c r="I38" s="10" t="s">
        <v>166</v>
      </c>
      <c r="J38" s="40" t="str">
        <f t="shared" si="1"/>
        <v>Igual</v>
      </c>
      <c r="K38" s="47" t="s">
        <v>197</v>
      </c>
      <c r="L38" s="10" t="s">
        <v>327</v>
      </c>
      <c r="M38" s="10" t="s">
        <v>199</v>
      </c>
      <c r="N38" s="40" t="str">
        <f t="shared" si="2"/>
        <v>Não</v>
      </c>
    </row>
    <row r="39" ht="30.0" hidden="1" customHeight="1">
      <c r="A39" s="45" t="s">
        <v>34</v>
      </c>
      <c r="B39" s="45" t="s">
        <v>362</v>
      </c>
      <c r="C39" s="45" t="s">
        <v>363</v>
      </c>
      <c r="D39" s="46">
        <v>2021.0</v>
      </c>
      <c r="E39" s="45" t="s">
        <v>364</v>
      </c>
      <c r="F39" s="45" t="s">
        <v>365</v>
      </c>
      <c r="G39" s="45" t="s">
        <v>366</v>
      </c>
      <c r="H39" s="10" t="s">
        <v>166</v>
      </c>
      <c r="I39" s="10" t="s">
        <v>166</v>
      </c>
      <c r="J39" s="40" t="str">
        <f t="shared" si="1"/>
        <v>Igual</v>
      </c>
      <c r="K39" s="47" t="s">
        <v>197</v>
      </c>
      <c r="L39" s="10" t="s">
        <v>367</v>
      </c>
      <c r="M39" s="10" t="s">
        <v>199</v>
      </c>
      <c r="N39" s="40" t="str">
        <f t="shared" si="2"/>
        <v>Não</v>
      </c>
    </row>
    <row r="40" ht="30.0" hidden="1" customHeight="1">
      <c r="A40" s="45" t="s">
        <v>34</v>
      </c>
      <c r="B40" s="45"/>
      <c r="C40" s="45" t="s">
        <v>368</v>
      </c>
      <c r="D40" s="46">
        <v>2024.0</v>
      </c>
      <c r="E40" s="45"/>
      <c r="F40" s="45" t="s">
        <v>369</v>
      </c>
      <c r="G40" s="45"/>
      <c r="H40" s="10" t="s">
        <v>166</v>
      </c>
      <c r="I40" s="10" t="s">
        <v>166</v>
      </c>
      <c r="J40" s="40" t="str">
        <f t="shared" si="1"/>
        <v>Igual</v>
      </c>
      <c r="K40" s="47" t="s">
        <v>197</v>
      </c>
      <c r="L40" s="10" t="s">
        <v>370</v>
      </c>
      <c r="M40" s="10" t="s">
        <v>199</v>
      </c>
      <c r="N40" s="40" t="str">
        <f t="shared" si="2"/>
        <v>Não</v>
      </c>
    </row>
    <row r="41" ht="30.0" hidden="1" customHeight="1">
      <c r="A41" s="45" t="s">
        <v>34</v>
      </c>
      <c r="B41" s="45"/>
      <c r="C41" s="45" t="s">
        <v>371</v>
      </c>
      <c r="D41" s="46">
        <v>2025.0</v>
      </c>
      <c r="E41" s="45"/>
      <c r="F41" s="45" t="s">
        <v>372</v>
      </c>
      <c r="G41" s="45"/>
      <c r="H41" s="10" t="s">
        <v>166</v>
      </c>
      <c r="I41" s="10" t="s">
        <v>166</v>
      </c>
      <c r="J41" s="40" t="str">
        <f t="shared" si="1"/>
        <v>Igual</v>
      </c>
      <c r="K41" s="47" t="s">
        <v>197</v>
      </c>
      <c r="L41" s="10" t="s">
        <v>373</v>
      </c>
      <c r="M41" s="10" t="s">
        <v>199</v>
      </c>
      <c r="N41" s="40" t="str">
        <f t="shared" si="2"/>
        <v>Não</v>
      </c>
    </row>
    <row r="42" ht="30.0" hidden="1" customHeight="1">
      <c r="A42" s="45" t="s">
        <v>34</v>
      </c>
      <c r="B42" s="45"/>
      <c r="C42" s="45" t="s">
        <v>374</v>
      </c>
      <c r="D42" s="46">
        <v>2025.0</v>
      </c>
      <c r="E42" s="45"/>
      <c r="F42" s="45" t="s">
        <v>375</v>
      </c>
      <c r="G42" s="45"/>
      <c r="H42" s="10" t="s">
        <v>166</v>
      </c>
      <c r="I42" s="10" t="s">
        <v>166</v>
      </c>
      <c r="J42" s="40" t="str">
        <f t="shared" si="1"/>
        <v>Igual</v>
      </c>
      <c r="K42" s="47" t="s">
        <v>197</v>
      </c>
      <c r="L42" s="10" t="s">
        <v>373</v>
      </c>
      <c r="M42" s="10" t="s">
        <v>199</v>
      </c>
      <c r="N42" s="40" t="str">
        <f t="shared" si="2"/>
        <v>Não</v>
      </c>
    </row>
    <row r="43" ht="30.0" hidden="1" customHeight="1">
      <c r="A43" s="45" t="s">
        <v>34</v>
      </c>
      <c r="B43" s="45"/>
      <c r="C43" s="45" t="s">
        <v>376</v>
      </c>
      <c r="D43" s="46">
        <v>2025.0</v>
      </c>
      <c r="E43" s="45"/>
      <c r="F43" s="45" t="s">
        <v>377</v>
      </c>
      <c r="G43" s="45"/>
      <c r="H43" s="10" t="s">
        <v>166</v>
      </c>
      <c r="I43" s="10" t="s">
        <v>166</v>
      </c>
      <c r="J43" s="40" t="str">
        <f t="shared" si="1"/>
        <v>Igual</v>
      </c>
      <c r="K43" s="47" t="s">
        <v>197</v>
      </c>
      <c r="L43" s="10" t="s">
        <v>373</v>
      </c>
      <c r="M43" s="10" t="s">
        <v>199</v>
      </c>
      <c r="N43" s="40" t="str">
        <f t="shared" si="2"/>
        <v>Não</v>
      </c>
    </row>
    <row r="44" ht="30.0" hidden="1" customHeight="1">
      <c r="A44" s="45" t="s">
        <v>34</v>
      </c>
      <c r="B44" s="45"/>
      <c r="C44" s="45" t="s">
        <v>378</v>
      </c>
      <c r="D44" s="46">
        <v>2024.0</v>
      </c>
      <c r="E44" s="45"/>
      <c r="F44" s="45" t="s">
        <v>369</v>
      </c>
      <c r="G44" s="45"/>
      <c r="H44" s="10" t="s">
        <v>166</v>
      </c>
      <c r="I44" s="10" t="s">
        <v>166</v>
      </c>
      <c r="J44" s="40" t="str">
        <f t="shared" si="1"/>
        <v>Igual</v>
      </c>
      <c r="K44" s="47" t="s">
        <v>197</v>
      </c>
      <c r="L44" s="10" t="s">
        <v>373</v>
      </c>
      <c r="M44" s="10" t="s">
        <v>199</v>
      </c>
      <c r="N44" s="40" t="str">
        <f t="shared" si="2"/>
        <v>Não</v>
      </c>
    </row>
    <row r="45" ht="30.0" hidden="1" customHeight="1">
      <c r="A45" s="45" t="s">
        <v>34</v>
      </c>
      <c r="B45" s="45"/>
      <c r="C45" s="45" t="s">
        <v>379</v>
      </c>
      <c r="D45" s="46">
        <v>2024.0</v>
      </c>
      <c r="E45" s="45"/>
      <c r="F45" s="45" t="s">
        <v>380</v>
      </c>
      <c r="G45" s="45"/>
      <c r="H45" s="10" t="s">
        <v>166</v>
      </c>
      <c r="I45" s="10" t="s">
        <v>166</v>
      </c>
      <c r="J45" s="40" t="str">
        <f t="shared" si="1"/>
        <v>Igual</v>
      </c>
      <c r="K45" s="47" t="s">
        <v>197</v>
      </c>
      <c r="L45" s="10" t="s">
        <v>373</v>
      </c>
      <c r="M45" s="10" t="s">
        <v>199</v>
      </c>
      <c r="N45" s="40" t="str">
        <f t="shared" si="2"/>
        <v>Não</v>
      </c>
    </row>
    <row r="46" ht="30.0" customHeight="1">
      <c r="A46" s="45" t="s">
        <v>34</v>
      </c>
      <c r="B46" s="45"/>
      <c r="C46" s="45" t="s">
        <v>381</v>
      </c>
      <c r="D46" s="46">
        <v>2025.0</v>
      </c>
      <c r="E46" s="45"/>
      <c r="F46" s="45" t="s">
        <v>382</v>
      </c>
      <c r="G46" s="45"/>
      <c r="H46" s="10" t="s">
        <v>165</v>
      </c>
      <c r="I46" s="10" t="s">
        <v>166</v>
      </c>
      <c r="J46" s="40" t="str">
        <f t="shared" si="1"/>
        <v>Diferente</v>
      </c>
      <c r="K46" s="47" t="s">
        <v>234</v>
      </c>
      <c r="L46" s="10" t="s">
        <v>373</v>
      </c>
      <c r="M46" s="10" t="s">
        <v>199</v>
      </c>
      <c r="N46" s="40" t="str">
        <f t="shared" si="2"/>
        <v>Sim</v>
      </c>
      <c r="O46" s="41"/>
      <c r="P46" s="49"/>
    </row>
    <row r="47" ht="30.0" hidden="1" customHeight="1">
      <c r="A47" s="45" t="s">
        <v>34</v>
      </c>
      <c r="B47" s="45"/>
      <c r="C47" s="45" t="s">
        <v>383</v>
      </c>
      <c r="D47" s="46">
        <v>2024.0</v>
      </c>
      <c r="E47" s="45"/>
      <c r="F47" s="45" t="s">
        <v>384</v>
      </c>
      <c r="G47" s="45"/>
      <c r="H47" s="10" t="s">
        <v>166</v>
      </c>
      <c r="I47" s="10" t="s">
        <v>166</v>
      </c>
      <c r="J47" s="40" t="str">
        <f t="shared" si="1"/>
        <v>Igual</v>
      </c>
      <c r="K47" s="47" t="s">
        <v>197</v>
      </c>
      <c r="L47" s="10" t="s">
        <v>373</v>
      </c>
      <c r="M47" s="10" t="s">
        <v>199</v>
      </c>
      <c r="N47" s="40" t="str">
        <f t="shared" si="2"/>
        <v>Não</v>
      </c>
    </row>
    <row r="48" ht="30.0" hidden="1" customHeight="1">
      <c r="A48" s="45" t="s">
        <v>34</v>
      </c>
      <c r="B48" s="45"/>
      <c r="C48" s="45" t="s">
        <v>385</v>
      </c>
      <c r="D48" s="46">
        <v>2025.0</v>
      </c>
      <c r="E48" s="45"/>
      <c r="F48" s="45" t="s">
        <v>386</v>
      </c>
      <c r="G48" s="45"/>
      <c r="H48" s="10" t="s">
        <v>166</v>
      </c>
      <c r="I48" s="10" t="s">
        <v>166</v>
      </c>
      <c r="J48" s="40" t="str">
        <f t="shared" si="1"/>
        <v>Igual</v>
      </c>
      <c r="K48" s="47" t="s">
        <v>197</v>
      </c>
      <c r="L48" s="10" t="s">
        <v>373</v>
      </c>
      <c r="M48" s="10" t="s">
        <v>199</v>
      </c>
      <c r="N48" s="40" t="str">
        <f t="shared" si="2"/>
        <v>Não</v>
      </c>
    </row>
    <row r="49" ht="30.0" hidden="1" customHeight="1">
      <c r="A49" s="45" t="s">
        <v>34</v>
      </c>
      <c r="B49" s="45"/>
      <c r="C49" s="45" t="s">
        <v>387</v>
      </c>
      <c r="D49" s="46">
        <v>2024.0</v>
      </c>
      <c r="E49" s="45"/>
      <c r="F49" s="45" t="s">
        <v>388</v>
      </c>
      <c r="G49" s="45"/>
      <c r="H49" s="10" t="s">
        <v>166</v>
      </c>
      <c r="I49" s="10" t="s">
        <v>166</v>
      </c>
      <c r="J49" s="40" t="str">
        <f t="shared" si="1"/>
        <v>Igual</v>
      </c>
      <c r="K49" s="47" t="s">
        <v>197</v>
      </c>
      <c r="L49" s="10" t="s">
        <v>373</v>
      </c>
      <c r="M49" s="10" t="s">
        <v>199</v>
      </c>
      <c r="N49" s="40" t="str">
        <f t="shared" si="2"/>
        <v>Não</v>
      </c>
    </row>
    <row r="50" ht="30.0" hidden="1" customHeight="1">
      <c r="A50" s="45" t="s">
        <v>34</v>
      </c>
      <c r="B50" s="45"/>
      <c r="C50" s="45" t="s">
        <v>389</v>
      </c>
      <c r="D50" s="46">
        <v>2024.0</v>
      </c>
      <c r="E50" s="45"/>
      <c r="F50" s="45" t="s">
        <v>390</v>
      </c>
      <c r="G50" s="45"/>
      <c r="H50" s="10" t="s">
        <v>166</v>
      </c>
      <c r="I50" s="10" t="s">
        <v>166</v>
      </c>
      <c r="J50" s="40" t="str">
        <f t="shared" si="1"/>
        <v>Igual</v>
      </c>
      <c r="K50" s="47" t="s">
        <v>197</v>
      </c>
      <c r="L50" s="10" t="s">
        <v>373</v>
      </c>
      <c r="M50" s="10" t="s">
        <v>199</v>
      </c>
      <c r="N50" s="40" t="str">
        <f t="shared" si="2"/>
        <v>Não</v>
      </c>
    </row>
    <row r="51" ht="30.0" hidden="1" customHeight="1">
      <c r="A51" s="45" t="s">
        <v>34</v>
      </c>
      <c r="B51" s="45"/>
      <c r="C51" s="45" t="s">
        <v>391</v>
      </c>
      <c r="D51" s="46">
        <v>2024.0</v>
      </c>
      <c r="E51" s="45"/>
      <c r="F51" s="45" t="s">
        <v>392</v>
      </c>
      <c r="G51" s="45"/>
      <c r="H51" s="10" t="s">
        <v>166</v>
      </c>
      <c r="I51" s="10" t="s">
        <v>166</v>
      </c>
      <c r="J51" s="40" t="str">
        <f t="shared" si="1"/>
        <v>Igual</v>
      </c>
      <c r="K51" s="47" t="s">
        <v>197</v>
      </c>
      <c r="L51" s="10" t="s">
        <v>393</v>
      </c>
      <c r="M51" s="10" t="s">
        <v>199</v>
      </c>
      <c r="N51" s="40" t="str">
        <f t="shared" si="2"/>
        <v>Não</v>
      </c>
    </row>
    <row r="52" ht="30.0" hidden="1" customHeight="1">
      <c r="A52" s="45" t="s">
        <v>34</v>
      </c>
      <c r="B52" s="45"/>
      <c r="C52" s="45" t="s">
        <v>394</v>
      </c>
      <c r="D52" s="46">
        <v>2024.0</v>
      </c>
      <c r="E52" s="45"/>
      <c r="F52" s="45" t="s">
        <v>395</v>
      </c>
      <c r="G52" s="45"/>
      <c r="H52" s="10" t="s">
        <v>166</v>
      </c>
      <c r="I52" s="10" t="s">
        <v>166</v>
      </c>
      <c r="J52" s="40" t="str">
        <f t="shared" si="1"/>
        <v>Igual</v>
      </c>
      <c r="K52" s="47" t="s">
        <v>197</v>
      </c>
      <c r="L52" s="10" t="s">
        <v>393</v>
      </c>
      <c r="M52" s="10" t="s">
        <v>199</v>
      </c>
      <c r="N52" s="40" t="str">
        <f t="shared" si="2"/>
        <v>Não</v>
      </c>
    </row>
    <row r="53" ht="30.0" hidden="1" customHeight="1">
      <c r="A53" s="10" t="s">
        <v>31</v>
      </c>
      <c r="B53" s="47" t="s">
        <v>396</v>
      </c>
      <c r="C53" s="47" t="s">
        <v>397</v>
      </c>
      <c r="D53" s="51">
        <v>2025.0</v>
      </c>
      <c r="E53" s="10"/>
      <c r="F53" s="47" t="s">
        <v>398</v>
      </c>
      <c r="G53" s="47" t="s">
        <v>399</v>
      </c>
      <c r="H53" s="10" t="s">
        <v>166</v>
      </c>
      <c r="I53" s="10" t="s">
        <v>166</v>
      </c>
      <c r="J53" s="40" t="str">
        <f t="shared" si="1"/>
        <v>Igual</v>
      </c>
      <c r="K53" s="47" t="s">
        <v>400</v>
      </c>
      <c r="L53" s="10" t="s">
        <v>401</v>
      </c>
      <c r="M53" s="10" t="s">
        <v>199</v>
      </c>
      <c r="N53" s="40" t="str">
        <f t="shared" si="2"/>
        <v>Não</v>
      </c>
    </row>
    <row r="54" ht="30.0" customHeight="1">
      <c r="A54" s="10" t="s">
        <v>31</v>
      </c>
      <c r="B54" s="47" t="s">
        <v>402</v>
      </c>
      <c r="C54" s="47" t="s">
        <v>403</v>
      </c>
      <c r="D54" s="51">
        <v>2025.0</v>
      </c>
      <c r="F54" s="47" t="s">
        <v>404</v>
      </c>
      <c r="G54" s="47" t="s">
        <v>405</v>
      </c>
      <c r="H54" s="10" t="s">
        <v>166</v>
      </c>
      <c r="I54" s="10" t="s">
        <v>165</v>
      </c>
      <c r="J54" s="40" t="str">
        <f t="shared" si="1"/>
        <v>Diferente</v>
      </c>
      <c r="K54" s="47" t="s">
        <v>406</v>
      </c>
      <c r="L54" s="10" t="s">
        <v>407</v>
      </c>
      <c r="M54" s="10" t="s">
        <v>169</v>
      </c>
      <c r="N54" s="40" t="str">
        <f t="shared" si="2"/>
        <v>Sim</v>
      </c>
      <c r="O54" s="41"/>
      <c r="P54" s="49"/>
    </row>
    <row r="55" ht="30.0" customHeight="1">
      <c r="A55" s="10" t="s">
        <v>31</v>
      </c>
      <c r="B55" s="47" t="s">
        <v>408</v>
      </c>
      <c r="C55" s="47" t="s">
        <v>409</v>
      </c>
      <c r="D55" s="51">
        <v>2025.0</v>
      </c>
      <c r="F55" s="47" t="s">
        <v>410</v>
      </c>
      <c r="G55" s="47"/>
      <c r="H55" s="10" t="s">
        <v>166</v>
      </c>
      <c r="I55" s="10" t="s">
        <v>165</v>
      </c>
      <c r="J55" s="40" t="str">
        <f t="shared" si="1"/>
        <v>Diferente</v>
      </c>
      <c r="K55" s="47" t="s">
        <v>411</v>
      </c>
      <c r="L55" s="10" t="s">
        <v>407</v>
      </c>
      <c r="M55" s="10" t="s">
        <v>169</v>
      </c>
      <c r="N55" s="40" t="str">
        <f t="shared" si="2"/>
        <v>Sim</v>
      </c>
      <c r="O55" s="41"/>
      <c r="P55" s="49"/>
    </row>
    <row r="56" ht="30.0" customHeight="1">
      <c r="A56" s="10" t="s">
        <v>31</v>
      </c>
      <c r="B56" s="47" t="s">
        <v>412</v>
      </c>
      <c r="C56" s="47" t="s">
        <v>413</v>
      </c>
      <c r="D56" s="51">
        <v>2025.0</v>
      </c>
      <c r="F56" s="47" t="s">
        <v>414</v>
      </c>
      <c r="G56" s="47"/>
      <c r="H56" s="10" t="s">
        <v>166</v>
      </c>
      <c r="I56" s="10" t="s">
        <v>165</v>
      </c>
      <c r="J56" s="40" t="str">
        <f t="shared" si="1"/>
        <v>Diferente</v>
      </c>
      <c r="K56" s="47" t="s">
        <v>411</v>
      </c>
      <c r="L56" s="10" t="s">
        <v>407</v>
      </c>
      <c r="M56" s="10" t="s">
        <v>169</v>
      </c>
      <c r="N56" s="40" t="str">
        <f t="shared" si="2"/>
        <v>Sim</v>
      </c>
      <c r="O56" s="41"/>
      <c r="P56" s="49"/>
    </row>
    <row r="57" ht="30.0" hidden="1" customHeight="1">
      <c r="A57" s="10" t="s">
        <v>31</v>
      </c>
      <c r="B57" s="47" t="s">
        <v>415</v>
      </c>
      <c r="C57" s="47" t="s">
        <v>416</v>
      </c>
      <c r="D57" s="51">
        <v>2025.0</v>
      </c>
      <c r="F57" s="47" t="s">
        <v>417</v>
      </c>
      <c r="G57" s="47" t="s">
        <v>418</v>
      </c>
      <c r="H57" s="10" t="s">
        <v>166</v>
      </c>
      <c r="I57" s="10" t="s">
        <v>166</v>
      </c>
      <c r="J57" s="40" t="str">
        <f t="shared" si="1"/>
        <v>Igual</v>
      </c>
      <c r="K57" s="47" t="s">
        <v>411</v>
      </c>
      <c r="L57" s="10" t="s">
        <v>419</v>
      </c>
      <c r="M57" s="10" t="s">
        <v>199</v>
      </c>
      <c r="N57" s="40" t="str">
        <f t="shared" si="2"/>
        <v>Não</v>
      </c>
    </row>
    <row r="58" ht="30.0" customHeight="1">
      <c r="A58" s="10" t="s">
        <v>31</v>
      </c>
      <c r="B58" s="47" t="s">
        <v>420</v>
      </c>
      <c r="C58" s="47" t="s">
        <v>421</v>
      </c>
      <c r="D58" s="51">
        <v>2025.0</v>
      </c>
      <c r="F58" s="47" t="s">
        <v>422</v>
      </c>
      <c r="G58" s="47"/>
      <c r="H58" s="10" t="s">
        <v>166</v>
      </c>
      <c r="I58" s="10" t="s">
        <v>165</v>
      </c>
      <c r="J58" s="40" t="str">
        <f t="shared" si="1"/>
        <v>Diferente</v>
      </c>
      <c r="K58" s="47" t="s">
        <v>423</v>
      </c>
      <c r="L58" s="10" t="s">
        <v>407</v>
      </c>
      <c r="M58" s="10" t="s">
        <v>169</v>
      </c>
      <c r="N58" s="40" t="str">
        <f t="shared" si="2"/>
        <v>Sim</v>
      </c>
      <c r="O58" s="52"/>
      <c r="P58" s="53" t="s">
        <v>424</v>
      </c>
    </row>
    <row r="59" ht="30.0" customHeight="1">
      <c r="A59" s="10" t="s">
        <v>31</v>
      </c>
      <c r="B59" s="47" t="s">
        <v>425</v>
      </c>
      <c r="C59" s="47" t="s">
        <v>426</v>
      </c>
      <c r="D59" s="51">
        <v>2025.0</v>
      </c>
      <c r="F59" s="47" t="s">
        <v>427</v>
      </c>
      <c r="G59" s="47" t="s">
        <v>428</v>
      </c>
      <c r="H59" s="10" t="s">
        <v>165</v>
      </c>
      <c r="I59" s="10" t="s">
        <v>166</v>
      </c>
      <c r="J59" s="40" t="str">
        <f t="shared" si="1"/>
        <v>Diferente</v>
      </c>
      <c r="K59" s="47" t="s">
        <v>411</v>
      </c>
      <c r="L59" s="10" t="s">
        <v>429</v>
      </c>
      <c r="M59" s="10" t="s">
        <v>199</v>
      </c>
      <c r="N59" s="40" t="str">
        <f t="shared" si="2"/>
        <v>Sim</v>
      </c>
      <c r="O59" s="52"/>
    </row>
    <row r="60" ht="30.0" hidden="1" customHeight="1">
      <c r="A60" s="10" t="s">
        <v>31</v>
      </c>
      <c r="B60" s="47" t="s">
        <v>430</v>
      </c>
      <c r="C60" s="47" t="s">
        <v>431</v>
      </c>
      <c r="D60" s="51">
        <v>2025.0</v>
      </c>
      <c r="F60" s="47" t="s">
        <v>432</v>
      </c>
      <c r="G60" s="47" t="s">
        <v>433</v>
      </c>
      <c r="H60" s="10" t="s">
        <v>166</v>
      </c>
      <c r="I60" s="10" t="s">
        <v>166</v>
      </c>
      <c r="J60" s="40" t="str">
        <f t="shared" si="1"/>
        <v>Igual</v>
      </c>
      <c r="K60" s="47" t="s">
        <v>406</v>
      </c>
      <c r="L60" s="10" t="s">
        <v>429</v>
      </c>
      <c r="M60" s="10" t="s">
        <v>199</v>
      </c>
      <c r="N60" s="40" t="str">
        <f t="shared" si="2"/>
        <v>Não</v>
      </c>
    </row>
    <row r="61" ht="30.0" hidden="1" customHeight="1">
      <c r="A61" s="10" t="s">
        <v>31</v>
      </c>
      <c r="B61" s="47" t="s">
        <v>434</v>
      </c>
      <c r="C61" s="47" t="s">
        <v>435</v>
      </c>
      <c r="D61" s="51">
        <v>2025.0</v>
      </c>
      <c r="F61" s="47" t="s">
        <v>436</v>
      </c>
      <c r="G61" s="47" t="s">
        <v>437</v>
      </c>
      <c r="H61" s="10" t="s">
        <v>166</v>
      </c>
      <c r="I61" s="10" t="s">
        <v>166</v>
      </c>
      <c r="J61" s="40" t="str">
        <f t="shared" si="1"/>
        <v>Igual</v>
      </c>
      <c r="K61" s="47" t="s">
        <v>423</v>
      </c>
      <c r="L61" s="10" t="s">
        <v>429</v>
      </c>
      <c r="M61" s="10" t="s">
        <v>199</v>
      </c>
      <c r="N61" s="40" t="str">
        <f t="shared" si="2"/>
        <v>Não</v>
      </c>
    </row>
    <row r="62" ht="30.0" customHeight="1">
      <c r="A62" s="10" t="s">
        <v>31</v>
      </c>
      <c r="B62" s="47" t="s">
        <v>438</v>
      </c>
      <c r="C62" s="47" t="s">
        <v>439</v>
      </c>
      <c r="D62" s="51">
        <v>2025.0</v>
      </c>
      <c r="F62" s="47" t="s">
        <v>440</v>
      </c>
      <c r="G62" s="47"/>
      <c r="H62" s="10" t="s">
        <v>165</v>
      </c>
      <c r="I62" s="10" t="s">
        <v>165</v>
      </c>
      <c r="J62" s="40" t="str">
        <f t="shared" si="1"/>
        <v>Igual</v>
      </c>
      <c r="K62" s="47" t="s">
        <v>423</v>
      </c>
      <c r="L62" s="10" t="s">
        <v>407</v>
      </c>
      <c r="M62" s="10" t="s">
        <v>169</v>
      </c>
      <c r="N62" s="40" t="str">
        <f t="shared" si="2"/>
        <v>Sim</v>
      </c>
      <c r="O62" s="52"/>
    </row>
    <row r="63" ht="30.0" customHeight="1">
      <c r="A63" s="10" t="s">
        <v>31</v>
      </c>
      <c r="B63" s="47" t="s">
        <v>441</v>
      </c>
      <c r="C63" s="47" t="s">
        <v>442</v>
      </c>
      <c r="D63" s="51">
        <v>2025.0</v>
      </c>
      <c r="F63" s="47" t="s">
        <v>443</v>
      </c>
      <c r="G63" s="47" t="s">
        <v>444</v>
      </c>
      <c r="H63" s="10" t="s">
        <v>165</v>
      </c>
      <c r="I63" s="10" t="s">
        <v>166</v>
      </c>
      <c r="J63" s="40" t="str">
        <f t="shared" si="1"/>
        <v>Diferente</v>
      </c>
      <c r="K63" s="47" t="s">
        <v>400</v>
      </c>
      <c r="L63" s="10" t="s">
        <v>445</v>
      </c>
      <c r="M63" s="10" t="s">
        <v>199</v>
      </c>
      <c r="N63" s="40" t="str">
        <f t="shared" si="2"/>
        <v>Sim</v>
      </c>
      <c r="O63" s="52"/>
    </row>
    <row r="64" ht="30.0" customHeight="1">
      <c r="A64" s="10" t="s">
        <v>31</v>
      </c>
      <c r="B64" s="47" t="s">
        <v>446</v>
      </c>
      <c r="C64" s="47" t="s">
        <v>447</v>
      </c>
      <c r="D64" s="51">
        <v>2025.0</v>
      </c>
      <c r="F64" s="47" t="s">
        <v>448</v>
      </c>
      <c r="G64" s="47" t="s">
        <v>449</v>
      </c>
      <c r="H64" s="10" t="s">
        <v>166</v>
      </c>
      <c r="I64" s="10" t="s">
        <v>165</v>
      </c>
      <c r="J64" s="40" t="str">
        <f t="shared" si="1"/>
        <v>Diferente</v>
      </c>
      <c r="K64" s="47" t="s">
        <v>411</v>
      </c>
      <c r="L64" s="10" t="s">
        <v>407</v>
      </c>
      <c r="M64" s="10" t="s">
        <v>169</v>
      </c>
      <c r="N64" s="40" t="str">
        <f t="shared" si="2"/>
        <v>Sim</v>
      </c>
      <c r="O64" s="52"/>
    </row>
    <row r="65" ht="30.0" hidden="1" customHeight="1">
      <c r="A65" s="10" t="s">
        <v>31</v>
      </c>
      <c r="B65" s="47" t="s">
        <v>450</v>
      </c>
      <c r="C65" s="47" t="s">
        <v>451</v>
      </c>
      <c r="D65" s="51">
        <v>2025.0</v>
      </c>
      <c r="F65" s="47" t="s">
        <v>452</v>
      </c>
      <c r="G65" s="47"/>
      <c r="H65" s="10" t="s">
        <v>166</v>
      </c>
      <c r="I65" s="10" t="s">
        <v>166</v>
      </c>
      <c r="J65" s="40" t="str">
        <f t="shared" si="1"/>
        <v>Igual</v>
      </c>
      <c r="K65" s="47" t="s">
        <v>400</v>
      </c>
      <c r="L65" s="10" t="s">
        <v>445</v>
      </c>
      <c r="M65" s="10" t="s">
        <v>199</v>
      </c>
      <c r="N65" s="40" t="str">
        <f t="shared" si="2"/>
        <v>Não</v>
      </c>
    </row>
    <row r="66" ht="30.0" hidden="1" customHeight="1">
      <c r="A66" s="10" t="s">
        <v>31</v>
      </c>
      <c r="B66" s="47" t="s">
        <v>453</v>
      </c>
      <c r="C66" s="47" t="s">
        <v>454</v>
      </c>
      <c r="D66" s="51">
        <v>2025.0</v>
      </c>
      <c r="F66" s="47" t="s">
        <v>455</v>
      </c>
      <c r="G66" s="47"/>
      <c r="H66" s="10" t="s">
        <v>166</v>
      </c>
      <c r="I66" s="10" t="s">
        <v>166</v>
      </c>
      <c r="J66" s="40" t="str">
        <f t="shared" si="1"/>
        <v>Igual</v>
      </c>
      <c r="K66" s="47" t="s">
        <v>411</v>
      </c>
      <c r="L66" s="10" t="s">
        <v>456</v>
      </c>
      <c r="M66" s="10" t="s">
        <v>199</v>
      </c>
      <c r="N66" s="40" t="str">
        <f t="shared" si="2"/>
        <v>Não</v>
      </c>
    </row>
    <row r="67" ht="30.0" hidden="1" customHeight="1">
      <c r="A67" s="10" t="s">
        <v>31</v>
      </c>
      <c r="B67" s="47" t="s">
        <v>457</v>
      </c>
      <c r="C67" s="47" t="s">
        <v>458</v>
      </c>
      <c r="D67" s="51">
        <v>2025.0</v>
      </c>
      <c r="F67" s="47" t="s">
        <v>459</v>
      </c>
      <c r="G67" s="47"/>
      <c r="H67" s="10" t="s">
        <v>166</v>
      </c>
      <c r="I67" s="10" t="s">
        <v>166</v>
      </c>
      <c r="J67" s="40" t="str">
        <f t="shared" si="1"/>
        <v>Igual</v>
      </c>
      <c r="K67" s="47" t="s">
        <v>400</v>
      </c>
      <c r="L67" s="10" t="s">
        <v>445</v>
      </c>
      <c r="M67" s="10" t="s">
        <v>199</v>
      </c>
      <c r="N67" s="40" t="str">
        <f t="shared" si="2"/>
        <v>Não</v>
      </c>
    </row>
    <row r="68" ht="30.0" hidden="1" customHeight="1">
      <c r="A68" s="10" t="s">
        <v>31</v>
      </c>
      <c r="B68" s="47" t="s">
        <v>460</v>
      </c>
      <c r="C68" s="47" t="s">
        <v>461</v>
      </c>
      <c r="D68" s="51">
        <v>2025.0</v>
      </c>
      <c r="F68" s="47" t="s">
        <v>462</v>
      </c>
      <c r="G68" s="47" t="s">
        <v>463</v>
      </c>
      <c r="H68" s="10" t="s">
        <v>166</v>
      </c>
      <c r="I68" s="10" t="s">
        <v>166</v>
      </c>
      <c r="J68" s="40" t="str">
        <f t="shared" si="1"/>
        <v>Igual</v>
      </c>
      <c r="K68" s="47" t="s">
        <v>400</v>
      </c>
      <c r="L68" s="10" t="s">
        <v>464</v>
      </c>
      <c r="M68" s="10" t="s">
        <v>199</v>
      </c>
      <c r="N68" s="40" t="str">
        <f t="shared" si="2"/>
        <v>Não</v>
      </c>
    </row>
    <row r="69" ht="30.0" customHeight="1">
      <c r="A69" s="10" t="s">
        <v>31</v>
      </c>
      <c r="B69" s="47" t="s">
        <v>465</v>
      </c>
      <c r="C69" s="47" t="s">
        <v>466</v>
      </c>
      <c r="D69" s="51">
        <v>2025.0</v>
      </c>
      <c r="F69" s="47" t="s">
        <v>467</v>
      </c>
      <c r="G69" s="47"/>
      <c r="H69" s="10" t="s">
        <v>166</v>
      </c>
      <c r="I69" s="10" t="s">
        <v>165</v>
      </c>
      <c r="J69" s="40" t="str">
        <f t="shared" si="1"/>
        <v>Diferente</v>
      </c>
      <c r="K69" s="47" t="s">
        <v>400</v>
      </c>
      <c r="L69" s="10" t="s">
        <v>407</v>
      </c>
      <c r="M69" s="10" t="s">
        <v>169</v>
      </c>
      <c r="N69" s="40" t="str">
        <f t="shared" si="2"/>
        <v>Sim</v>
      </c>
      <c r="O69" s="52"/>
    </row>
    <row r="70" ht="30.0" customHeight="1">
      <c r="A70" s="10" t="s">
        <v>31</v>
      </c>
      <c r="B70" s="47" t="s">
        <v>468</v>
      </c>
      <c r="C70" s="47" t="s">
        <v>469</v>
      </c>
      <c r="D70" s="51">
        <v>2025.0</v>
      </c>
      <c r="F70" s="47" t="s">
        <v>470</v>
      </c>
      <c r="G70" s="47" t="s">
        <v>471</v>
      </c>
      <c r="H70" s="10" t="s">
        <v>166</v>
      </c>
      <c r="I70" s="10" t="s">
        <v>165</v>
      </c>
      <c r="J70" s="40" t="str">
        <f t="shared" si="1"/>
        <v>Diferente</v>
      </c>
      <c r="K70" s="47" t="s">
        <v>411</v>
      </c>
      <c r="L70" s="10" t="s">
        <v>407</v>
      </c>
      <c r="M70" s="10" t="s">
        <v>169</v>
      </c>
      <c r="N70" s="40" t="str">
        <f t="shared" si="2"/>
        <v>Sim</v>
      </c>
      <c r="O70" s="52"/>
    </row>
    <row r="71" ht="30.0" hidden="1" customHeight="1">
      <c r="A71" s="10" t="s">
        <v>31</v>
      </c>
      <c r="B71" s="47" t="s">
        <v>472</v>
      </c>
      <c r="C71" s="47" t="s">
        <v>473</v>
      </c>
      <c r="D71" s="51">
        <v>2025.0</v>
      </c>
      <c r="F71" s="47" t="s">
        <v>474</v>
      </c>
      <c r="G71" s="47" t="s">
        <v>475</v>
      </c>
      <c r="H71" s="10" t="s">
        <v>166</v>
      </c>
      <c r="I71" s="10" t="s">
        <v>166</v>
      </c>
      <c r="J71" s="40" t="str">
        <f t="shared" si="1"/>
        <v>Igual</v>
      </c>
      <c r="K71" s="47" t="s">
        <v>411</v>
      </c>
      <c r="L71" s="10" t="s">
        <v>476</v>
      </c>
      <c r="M71" s="10" t="s">
        <v>199</v>
      </c>
      <c r="N71" s="40" t="str">
        <f t="shared" si="2"/>
        <v>Não</v>
      </c>
    </row>
    <row r="72" ht="30.0" hidden="1" customHeight="1">
      <c r="A72" s="10" t="s">
        <v>31</v>
      </c>
      <c r="B72" s="47" t="s">
        <v>477</v>
      </c>
      <c r="C72" s="47" t="s">
        <v>478</v>
      </c>
      <c r="D72" s="51">
        <v>2025.0</v>
      </c>
      <c r="F72" s="47" t="s">
        <v>479</v>
      </c>
      <c r="G72" s="47"/>
      <c r="H72" s="10" t="s">
        <v>166</v>
      </c>
      <c r="I72" s="10" t="s">
        <v>166</v>
      </c>
      <c r="J72" s="40" t="str">
        <f t="shared" si="1"/>
        <v>Igual</v>
      </c>
      <c r="K72" s="47" t="s">
        <v>411</v>
      </c>
      <c r="L72" s="10" t="s">
        <v>429</v>
      </c>
      <c r="M72" s="10" t="s">
        <v>199</v>
      </c>
      <c r="N72" s="40" t="str">
        <f t="shared" si="2"/>
        <v>Não</v>
      </c>
    </row>
    <row r="73" ht="30.0" customHeight="1">
      <c r="A73" s="10" t="s">
        <v>31</v>
      </c>
      <c r="B73" s="47" t="s">
        <v>480</v>
      </c>
      <c r="C73" s="47" t="s">
        <v>481</v>
      </c>
      <c r="D73" s="51">
        <v>2025.0</v>
      </c>
      <c r="F73" s="47" t="s">
        <v>482</v>
      </c>
      <c r="G73" s="47"/>
      <c r="H73" s="10" t="s">
        <v>165</v>
      </c>
      <c r="I73" s="10" t="s">
        <v>166</v>
      </c>
      <c r="J73" s="40" t="str">
        <f t="shared" si="1"/>
        <v>Diferente</v>
      </c>
      <c r="K73" s="47" t="s">
        <v>423</v>
      </c>
      <c r="L73" s="10" t="s">
        <v>429</v>
      </c>
      <c r="M73" s="10" t="s">
        <v>199</v>
      </c>
      <c r="N73" s="40" t="str">
        <f t="shared" si="2"/>
        <v>Sim</v>
      </c>
      <c r="O73" s="52"/>
    </row>
    <row r="74" ht="30.0" hidden="1" customHeight="1">
      <c r="A74" s="10" t="s">
        <v>31</v>
      </c>
      <c r="B74" s="47" t="s">
        <v>483</v>
      </c>
      <c r="C74" s="47" t="s">
        <v>484</v>
      </c>
      <c r="D74" s="51">
        <v>2025.0</v>
      </c>
      <c r="F74" s="47" t="s">
        <v>485</v>
      </c>
      <c r="G74" s="47" t="s">
        <v>486</v>
      </c>
      <c r="H74" s="10" t="s">
        <v>166</v>
      </c>
      <c r="I74" s="10" t="s">
        <v>166</v>
      </c>
      <c r="J74" s="40" t="str">
        <f t="shared" si="1"/>
        <v>Igual</v>
      </c>
      <c r="K74" s="47" t="s">
        <v>411</v>
      </c>
      <c r="L74" s="10" t="s">
        <v>464</v>
      </c>
      <c r="M74" s="10" t="s">
        <v>199</v>
      </c>
      <c r="N74" s="40" t="str">
        <f t="shared" si="2"/>
        <v>Não</v>
      </c>
    </row>
    <row r="75" ht="30.0" hidden="1" customHeight="1">
      <c r="A75" s="10" t="s">
        <v>31</v>
      </c>
      <c r="B75" s="47" t="s">
        <v>487</v>
      </c>
      <c r="C75" s="47" t="s">
        <v>488</v>
      </c>
      <c r="D75" s="51">
        <v>2025.0</v>
      </c>
      <c r="F75" s="47" t="s">
        <v>489</v>
      </c>
      <c r="G75" s="47"/>
      <c r="H75" s="10" t="s">
        <v>166</v>
      </c>
      <c r="I75" s="10" t="s">
        <v>166</v>
      </c>
      <c r="J75" s="40" t="str">
        <f t="shared" si="1"/>
        <v>Igual</v>
      </c>
      <c r="K75" s="47" t="s">
        <v>400</v>
      </c>
      <c r="L75" s="10" t="s">
        <v>464</v>
      </c>
      <c r="M75" s="10" t="s">
        <v>199</v>
      </c>
      <c r="N75" s="40" t="str">
        <f t="shared" si="2"/>
        <v>Não</v>
      </c>
    </row>
    <row r="76" ht="30.0" hidden="1" customHeight="1">
      <c r="A76" s="10" t="s">
        <v>31</v>
      </c>
      <c r="B76" s="47" t="s">
        <v>490</v>
      </c>
      <c r="C76" s="47" t="s">
        <v>491</v>
      </c>
      <c r="D76" s="51">
        <v>2025.0</v>
      </c>
      <c r="F76" s="47" t="s">
        <v>492</v>
      </c>
      <c r="G76" s="47" t="s">
        <v>493</v>
      </c>
      <c r="H76" s="10" t="s">
        <v>166</v>
      </c>
      <c r="I76" s="10" t="s">
        <v>166</v>
      </c>
      <c r="J76" s="40" t="str">
        <f t="shared" si="1"/>
        <v>Igual</v>
      </c>
      <c r="K76" s="47" t="s">
        <v>411</v>
      </c>
      <c r="L76" s="10" t="s">
        <v>464</v>
      </c>
      <c r="M76" s="10" t="s">
        <v>199</v>
      </c>
      <c r="N76" s="40" t="str">
        <f t="shared" si="2"/>
        <v>Não</v>
      </c>
    </row>
    <row r="77" ht="30.0" customHeight="1">
      <c r="A77" s="10" t="s">
        <v>31</v>
      </c>
      <c r="B77" s="47" t="s">
        <v>494</v>
      </c>
      <c r="C77" s="47" t="s">
        <v>495</v>
      </c>
      <c r="D77" s="51">
        <v>2025.0</v>
      </c>
      <c r="F77" s="47" t="s">
        <v>496</v>
      </c>
      <c r="G77" s="47" t="s">
        <v>497</v>
      </c>
      <c r="H77" s="10" t="s">
        <v>166</v>
      </c>
      <c r="I77" s="10" t="s">
        <v>165</v>
      </c>
      <c r="J77" s="40" t="str">
        <f t="shared" si="1"/>
        <v>Diferente</v>
      </c>
      <c r="K77" s="47" t="s">
        <v>406</v>
      </c>
      <c r="L77" s="10" t="s">
        <v>407</v>
      </c>
      <c r="M77" s="10" t="s">
        <v>169</v>
      </c>
      <c r="N77" s="40" t="str">
        <f t="shared" si="2"/>
        <v>Sim</v>
      </c>
      <c r="O77" s="52"/>
    </row>
    <row r="78" ht="30.0" hidden="1" customHeight="1">
      <c r="A78" s="10" t="s">
        <v>31</v>
      </c>
      <c r="B78" s="47" t="s">
        <v>498</v>
      </c>
      <c r="C78" s="47" t="s">
        <v>499</v>
      </c>
      <c r="D78" s="51">
        <v>2025.0</v>
      </c>
      <c r="F78" s="47" t="s">
        <v>500</v>
      </c>
      <c r="G78" s="47" t="s">
        <v>501</v>
      </c>
      <c r="H78" s="10" t="s">
        <v>166</v>
      </c>
      <c r="I78" s="10" t="s">
        <v>166</v>
      </c>
      <c r="J78" s="40" t="str">
        <f t="shared" si="1"/>
        <v>Igual</v>
      </c>
      <c r="K78" s="47" t="s">
        <v>411</v>
      </c>
      <c r="L78" s="10" t="s">
        <v>464</v>
      </c>
      <c r="M78" s="10" t="s">
        <v>199</v>
      </c>
      <c r="N78" s="40" t="str">
        <f t="shared" si="2"/>
        <v>Não</v>
      </c>
    </row>
    <row r="79" ht="30.0" hidden="1" customHeight="1">
      <c r="A79" s="10" t="s">
        <v>31</v>
      </c>
      <c r="B79" s="47" t="s">
        <v>502</v>
      </c>
      <c r="C79" s="47" t="s">
        <v>503</v>
      </c>
      <c r="D79" s="51">
        <v>2025.0</v>
      </c>
      <c r="F79" s="47" t="s">
        <v>504</v>
      </c>
      <c r="G79" s="47" t="s">
        <v>505</v>
      </c>
      <c r="H79" s="10" t="s">
        <v>166</v>
      </c>
      <c r="I79" s="10" t="s">
        <v>166</v>
      </c>
      <c r="J79" s="40" t="str">
        <f t="shared" si="1"/>
        <v>Igual</v>
      </c>
      <c r="K79" s="47" t="s">
        <v>400</v>
      </c>
      <c r="L79" s="10" t="s">
        <v>464</v>
      </c>
      <c r="M79" s="10" t="s">
        <v>199</v>
      </c>
      <c r="N79" s="40" t="str">
        <f t="shared" si="2"/>
        <v>Não</v>
      </c>
    </row>
    <row r="80" ht="30.0" customHeight="1">
      <c r="A80" s="10" t="s">
        <v>31</v>
      </c>
      <c r="B80" s="47" t="s">
        <v>506</v>
      </c>
      <c r="C80" s="47" t="s">
        <v>507</v>
      </c>
      <c r="D80" s="51">
        <v>2025.0</v>
      </c>
      <c r="F80" s="47" t="s">
        <v>508</v>
      </c>
      <c r="G80" s="47" t="s">
        <v>509</v>
      </c>
      <c r="H80" s="10" t="s">
        <v>166</v>
      </c>
      <c r="I80" s="10" t="s">
        <v>165</v>
      </c>
      <c r="J80" s="40" t="str">
        <f t="shared" si="1"/>
        <v>Diferente</v>
      </c>
      <c r="K80" s="47" t="s">
        <v>411</v>
      </c>
      <c r="L80" s="10" t="s">
        <v>407</v>
      </c>
      <c r="M80" s="10" t="s">
        <v>169</v>
      </c>
      <c r="N80" s="40" t="str">
        <f t="shared" si="2"/>
        <v>Sim</v>
      </c>
      <c r="O80" s="52"/>
    </row>
    <row r="81" ht="30.0" hidden="1" customHeight="1">
      <c r="A81" s="10" t="s">
        <v>31</v>
      </c>
      <c r="B81" s="47" t="s">
        <v>510</v>
      </c>
      <c r="C81" s="47" t="s">
        <v>511</v>
      </c>
      <c r="D81" s="51">
        <v>2025.0</v>
      </c>
      <c r="F81" s="47" t="s">
        <v>512</v>
      </c>
      <c r="G81" s="47" t="s">
        <v>513</v>
      </c>
      <c r="H81" s="10" t="s">
        <v>166</v>
      </c>
      <c r="I81" s="10" t="s">
        <v>166</v>
      </c>
      <c r="J81" s="40" t="str">
        <f t="shared" si="1"/>
        <v>Igual</v>
      </c>
      <c r="K81" s="47" t="s">
        <v>400</v>
      </c>
      <c r="L81" s="10" t="s">
        <v>514</v>
      </c>
      <c r="M81" s="10" t="s">
        <v>199</v>
      </c>
      <c r="N81" s="40" t="str">
        <f t="shared" si="2"/>
        <v>Não</v>
      </c>
    </row>
    <row r="82" ht="30.0" customHeight="1">
      <c r="A82" s="10" t="s">
        <v>31</v>
      </c>
      <c r="B82" s="47" t="s">
        <v>515</v>
      </c>
      <c r="C82" s="47" t="s">
        <v>516</v>
      </c>
      <c r="D82" s="51">
        <v>2025.0</v>
      </c>
      <c r="F82" s="47" t="s">
        <v>517</v>
      </c>
      <c r="G82" s="47" t="s">
        <v>518</v>
      </c>
      <c r="H82" s="10" t="s">
        <v>166</v>
      </c>
      <c r="I82" s="10" t="s">
        <v>165</v>
      </c>
      <c r="J82" s="40" t="str">
        <f t="shared" si="1"/>
        <v>Diferente</v>
      </c>
      <c r="K82" s="47" t="s">
        <v>411</v>
      </c>
      <c r="L82" s="10" t="s">
        <v>407</v>
      </c>
      <c r="M82" s="10" t="s">
        <v>169</v>
      </c>
      <c r="N82" s="40" t="str">
        <f t="shared" si="2"/>
        <v>Sim</v>
      </c>
      <c r="O82" s="52"/>
    </row>
    <row r="83" ht="30.0" hidden="1" customHeight="1">
      <c r="A83" s="10" t="s">
        <v>31</v>
      </c>
      <c r="B83" s="47" t="s">
        <v>519</v>
      </c>
      <c r="C83" s="47" t="s">
        <v>520</v>
      </c>
      <c r="D83" s="51">
        <v>2025.0</v>
      </c>
      <c r="F83" s="47" t="s">
        <v>521</v>
      </c>
      <c r="G83" s="47" t="s">
        <v>522</v>
      </c>
      <c r="H83" s="10" t="s">
        <v>166</v>
      </c>
      <c r="I83" s="10" t="s">
        <v>166</v>
      </c>
      <c r="J83" s="40" t="str">
        <f t="shared" si="1"/>
        <v>Igual</v>
      </c>
      <c r="K83" s="47" t="s">
        <v>411</v>
      </c>
      <c r="L83" s="10" t="s">
        <v>523</v>
      </c>
      <c r="M83" s="10" t="s">
        <v>199</v>
      </c>
      <c r="N83" s="40" t="str">
        <f t="shared" si="2"/>
        <v>Não</v>
      </c>
    </row>
    <row r="84" ht="30.0" hidden="1" customHeight="1">
      <c r="A84" s="10" t="s">
        <v>31</v>
      </c>
      <c r="B84" s="47" t="s">
        <v>524</v>
      </c>
      <c r="C84" s="47" t="s">
        <v>525</v>
      </c>
      <c r="D84" s="51">
        <v>2025.0</v>
      </c>
      <c r="F84" s="47" t="s">
        <v>526</v>
      </c>
      <c r="G84" s="47"/>
      <c r="H84" s="10" t="s">
        <v>166</v>
      </c>
      <c r="I84" s="10" t="s">
        <v>166</v>
      </c>
      <c r="J84" s="40" t="str">
        <f t="shared" si="1"/>
        <v>Igual</v>
      </c>
      <c r="K84" s="47" t="s">
        <v>411</v>
      </c>
      <c r="L84" s="10" t="s">
        <v>429</v>
      </c>
      <c r="M84" s="10" t="s">
        <v>199</v>
      </c>
      <c r="N84" s="40" t="str">
        <f t="shared" si="2"/>
        <v>Não</v>
      </c>
    </row>
    <row r="85" ht="30.0" customHeight="1">
      <c r="A85" s="10" t="s">
        <v>31</v>
      </c>
      <c r="B85" s="47" t="s">
        <v>527</v>
      </c>
      <c r="C85" s="47" t="s">
        <v>528</v>
      </c>
      <c r="D85" s="51">
        <v>2025.0</v>
      </c>
      <c r="F85" s="47" t="s">
        <v>529</v>
      </c>
      <c r="G85" s="47" t="s">
        <v>530</v>
      </c>
      <c r="H85" s="10" t="s">
        <v>166</v>
      </c>
      <c r="I85" s="10" t="s">
        <v>165</v>
      </c>
      <c r="J85" s="40" t="str">
        <f t="shared" si="1"/>
        <v>Diferente</v>
      </c>
      <c r="K85" s="47" t="s">
        <v>411</v>
      </c>
      <c r="L85" s="10" t="s">
        <v>407</v>
      </c>
      <c r="M85" s="10" t="s">
        <v>169</v>
      </c>
      <c r="N85" s="40" t="str">
        <f t="shared" si="2"/>
        <v>Sim</v>
      </c>
      <c r="O85" s="52"/>
    </row>
    <row r="86" ht="30.0" hidden="1" customHeight="1">
      <c r="A86" s="10" t="s">
        <v>31</v>
      </c>
      <c r="B86" s="47" t="s">
        <v>531</v>
      </c>
      <c r="C86" s="47" t="s">
        <v>532</v>
      </c>
      <c r="D86" s="51">
        <v>2025.0</v>
      </c>
      <c r="F86" s="47" t="s">
        <v>533</v>
      </c>
      <c r="G86" s="47" t="s">
        <v>534</v>
      </c>
      <c r="H86" s="10" t="s">
        <v>166</v>
      </c>
      <c r="I86" s="10" t="s">
        <v>166</v>
      </c>
      <c r="J86" s="40" t="str">
        <f t="shared" si="1"/>
        <v>Igual</v>
      </c>
      <c r="K86" s="47" t="s">
        <v>411</v>
      </c>
      <c r="L86" s="10" t="s">
        <v>535</v>
      </c>
      <c r="M86" s="10" t="s">
        <v>199</v>
      </c>
      <c r="N86" s="40" t="str">
        <f t="shared" si="2"/>
        <v>Não</v>
      </c>
    </row>
    <row r="87" ht="30.0" customHeight="1">
      <c r="A87" s="10" t="s">
        <v>31</v>
      </c>
      <c r="B87" s="47" t="s">
        <v>536</v>
      </c>
      <c r="C87" s="47" t="s">
        <v>537</v>
      </c>
      <c r="D87" s="51">
        <v>2025.0</v>
      </c>
      <c r="F87" s="47" t="s">
        <v>538</v>
      </c>
      <c r="G87" s="47" t="s">
        <v>539</v>
      </c>
      <c r="H87" s="10" t="s">
        <v>165</v>
      </c>
      <c r="I87" s="10" t="s">
        <v>166</v>
      </c>
      <c r="J87" s="40" t="str">
        <f t="shared" si="1"/>
        <v>Diferente</v>
      </c>
      <c r="K87" s="47" t="s">
        <v>423</v>
      </c>
      <c r="L87" s="10" t="s">
        <v>429</v>
      </c>
      <c r="M87" s="10" t="s">
        <v>199</v>
      </c>
      <c r="N87" s="40" t="str">
        <f t="shared" si="2"/>
        <v>Sim</v>
      </c>
      <c r="O87" s="52"/>
    </row>
    <row r="88" ht="30.0" customHeight="1">
      <c r="A88" s="10" t="s">
        <v>31</v>
      </c>
      <c r="B88" s="47" t="s">
        <v>540</v>
      </c>
      <c r="C88" s="47" t="s">
        <v>541</v>
      </c>
      <c r="D88" s="51">
        <v>2025.0</v>
      </c>
      <c r="F88" s="47" t="s">
        <v>542</v>
      </c>
      <c r="G88" s="47" t="s">
        <v>543</v>
      </c>
      <c r="H88" s="10" t="s">
        <v>166</v>
      </c>
      <c r="I88" s="10" t="s">
        <v>165</v>
      </c>
      <c r="J88" s="40" t="str">
        <f t="shared" si="1"/>
        <v>Diferente</v>
      </c>
      <c r="K88" s="47" t="s">
        <v>411</v>
      </c>
      <c r="L88" s="10" t="s">
        <v>407</v>
      </c>
      <c r="M88" s="10" t="s">
        <v>169</v>
      </c>
      <c r="N88" s="40" t="str">
        <f t="shared" si="2"/>
        <v>Sim</v>
      </c>
      <c r="O88" s="52"/>
    </row>
    <row r="89" ht="30.0" hidden="1" customHeight="1">
      <c r="A89" s="10" t="s">
        <v>31</v>
      </c>
      <c r="B89" s="47" t="s">
        <v>544</v>
      </c>
      <c r="C89" s="47" t="s">
        <v>545</v>
      </c>
      <c r="D89" s="51">
        <v>2025.0</v>
      </c>
      <c r="F89" s="47" t="s">
        <v>546</v>
      </c>
      <c r="G89" s="47" t="s">
        <v>547</v>
      </c>
      <c r="H89" s="10" t="s">
        <v>166</v>
      </c>
      <c r="I89" s="10" t="s">
        <v>166</v>
      </c>
      <c r="J89" s="40" t="str">
        <f t="shared" si="1"/>
        <v>Igual</v>
      </c>
      <c r="K89" s="47" t="s">
        <v>411</v>
      </c>
      <c r="L89" s="10" t="s">
        <v>445</v>
      </c>
      <c r="M89" s="10" t="s">
        <v>199</v>
      </c>
      <c r="N89" s="40" t="str">
        <f t="shared" si="2"/>
        <v>Não</v>
      </c>
    </row>
    <row r="90" ht="30.0" hidden="1" customHeight="1">
      <c r="A90" s="10" t="s">
        <v>31</v>
      </c>
      <c r="B90" s="47" t="s">
        <v>548</v>
      </c>
      <c r="C90" s="47" t="s">
        <v>549</v>
      </c>
      <c r="D90" s="51">
        <v>2025.0</v>
      </c>
      <c r="F90" s="47" t="s">
        <v>550</v>
      </c>
      <c r="G90" s="47"/>
      <c r="H90" s="10" t="s">
        <v>166</v>
      </c>
      <c r="I90" s="10" t="s">
        <v>166</v>
      </c>
      <c r="J90" s="40" t="str">
        <f t="shared" si="1"/>
        <v>Igual</v>
      </c>
      <c r="K90" s="47" t="s">
        <v>411</v>
      </c>
      <c r="L90" s="10" t="s">
        <v>445</v>
      </c>
      <c r="M90" s="10" t="s">
        <v>199</v>
      </c>
      <c r="N90" s="40" t="str">
        <f t="shared" si="2"/>
        <v>Não</v>
      </c>
    </row>
    <row r="91" ht="30.0" hidden="1" customHeight="1">
      <c r="A91" s="10" t="s">
        <v>31</v>
      </c>
      <c r="B91" s="47" t="s">
        <v>551</v>
      </c>
      <c r="C91" s="47" t="s">
        <v>552</v>
      </c>
      <c r="D91" s="51">
        <v>2025.0</v>
      </c>
      <c r="F91" s="47" t="s">
        <v>553</v>
      </c>
      <c r="G91" s="47"/>
      <c r="H91" s="10" t="s">
        <v>166</v>
      </c>
      <c r="I91" s="10" t="s">
        <v>166</v>
      </c>
      <c r="J91" s="40" t="str">
        <f t="shared" si="1"/>
        <v>Igual</v>
      </c>
      <c r="K91" s="47" t="s">
        <v>400</v>
      </c>
      <c r="M91" s="10" t="s">
        <v>199</v>
      </c>
      <c r="N91" s="40" t="str">
        <f t="shared" si="2"/>
        <v>Não</v>
      </c>
    </row>
    <row r="92" ht="30.0" hidden="1" customHeight="1">
      <c r="A92" s="10" t="s">
        <v>31</v>
      </c>
      <c r="B92" s="47" t="s">
        <v>554</v>
      </c>
      <c r="C92" s="47" t="s">
        <v>555</v>
      </c>
      <c r="D92" s="51">
        <v>2025.0</v>
      </c>
      <c r="F92" s="47" t="s">
        <v>556</v>
      </c>
      <c r="G92" s="47" t="s">
        <v>557</v>
      </c>
      <c r="H92" s="10" t="s">
        <v>166</v>
      </c>
      <c r="I92" s="10" t="s">
        <v>166</v>
      </c>
      <c r="J92" s="40" t="str">
        <f t="shared" si="1"/>
        <v>Igual</v>
      </c>
      <c r="K92" s="47" t="s">
        <v>411</v>
      </c>
      <c r="L92" s="10" t="s">
        <v>558</v>
      </c>
      <c r="M92" s="10" t="s">
        <v>199</v>
      </c>
      <c r="N92" s="40" t="str">
        <f t="shared" si="2"/>
        <v>Não</v>
      </c>
    </row>
    <row r="93" ht="30.0" customHeight="1">
      <c r="A93" s="10" t="s">
        <v>31</v>
      </c>
      <c r="B93" s="47" t="s">
        <v>559</v>
      </c>
      <c r="C93" s="47" t="s">
        <v>560</v>
      </c>
      <c r="D93" s="51">
        <v>2025.0</v>
      </c>
      <c r="F93" s="47" t="s">
        <v>561</v>
      </c>
      <c r="G93" s="47" t="s">
        <v>562</v>
      </c>
      <c r="H93" s="10" t="s">
        <v>165</v>
      </c>
      <c r="I93" s="10" t="s">
        <v>165</v>
      </c>
      <c r="J93" s="40" t="str">
        <f t="shared" si="1"/>
        <v>Igual</v>
      </c>
      <c r="K93" s="47" t="s">
        <v>423</v>
      </c>
      <c r="L93" s="10" t="s">
        <v>407</v>
      </c>
      <c r="M93" s="10" t="s">
        <v>169</v>
      </c>
      <c r="N93" s="40" t="str">
        <f t="shared" si="2"/>
        <v>Sim</v>
      </c>
      <c r="O93" s="52"/>
    </row>
    <row r="94" ht="30.0" hidden="1" customHeight="1">
      <c r="A94" s="10" t="s">
        <v>31</v>
      </c>
      <c r="B94" s="47" t="s">
        <v>563</v>
      </c>
      <c r="C94" s="47" t="s">
        <v>564</v>
      </c>
      <c r="D94" s="51">
        <v>2025.0</v>
      </c>
      <c r="F94" s="47" t="s">
        <v>565</v>
      </c>
      <c r="G94" s="47"/>
      <c r="H94" s="10" t="s">
        <v>166</v>
      </c>
      <c r="I94" s="10" t="s">
        <v>166</v>
      </c>
      <c r="J94" s="40" t="str">
        <f t="shared" si="1"/>
        <v>Igual</v>
      </c>
      <c r="K94" s="47" t="s">
        <v>411</v>
      </c>
      <c r="L94" s="10" t="s">
        <v>429</v>
      </c>
      <c r="M94" s="10" t="s">
        <v>199</v>
      </c>
      <c r="N94" s="40" t="str">
        <f t="shared" si="2"/>
        <v>Não</v>
      </c>
    </row>
    <row r="95" ht="30.0" customHeight="1">
      <c r="A95" s="10" t="s">
        <v>31</v>
      </c>
      <c r="B95" s="47" t="s">
        <v>566</v>
      </c>
      <c r="C95" s="47" t="s">
        <v>567</v>
      </c>
      <c r="D95" s="51">
        <v>2025.0</v>
      </c>
      <c r="F95" s="47" t="s">
        <v>568</v>
      </c>
      <c r="G95" s="47"/>
      <c r="H95" s="10" t="s">
        <v>166</v>
      </c>
      <c r="I95" s="10" t="s">
        <v>165</v>
      </c>
      <c r="J95" s="40" t="str">
        <f t="shared" si="1"/>
        <v>Diferente</v>
      </c>
      <c r="K95" s="47" t="s">
        <v>406</v>
      </c>
      <c r="L95" s="10" t="s">
        <v>407</v>
      </c>
      <c r="M95" s="10" t="s">
        <v>169</v>
      </c>
      <c r="N95" s="40" t="str">
        <f t="shared" si="2"/>
        <v>Sim</v>
      </c>
      <c r="O95" s="52"/>
    </row>
    <row r="96" ht="30.0" hidden="1" customHeight="1">
      <c r="A96" s="10" t="s">
        <v>31</v>
      </c>
      <c r="B96" s="47" t="s">
        <v>569</v>
      </c>
      <c r="C96" s="47" t="s">
        <v>570</v>
      </c>
      <c r="D96" s="51">
        <v>2025.0</v>
      </c>
      <c r="F96" s="47" t="s">
        <v>571</v>
      </c>
      <c r="G96" s="47"/>
      <c r="H96" s="10" t="s">
        <v>166</v>
      </c>
      <c r="I96" s="10" t="s">
        <v>166</v>
      </c>
      <c r="J96" s="40" t="str">
        <f t="shared" si="1"/>
        <v>Igual</v>
      </c>
      <c r="K96" s="47" t="s">
        <v>411</v>
      </c>
      <c r="L96" s="10" t="s">
        <v>476</v>
      </c>
      <c r="M96" s="10" t="s">
        <v>199</v>
      </c>
      <c r="N96" s="40" t="str">
        <f t="shared" si="2"/>
        <v>Não</v>
      </c>
    </row>
    <row r="97" ht="30.0" customHeight="1">
      <c r="A97" s="10" t="s">
        <v>31</v>
      </c>
      <c r="B97" s="47" t="s">
        <v>572</v>
      </c>
      <c r="C97" s="47" t="s">
        <v>573</v>
      </c>
      <c r="D97" s="51">
        <v>2025.0</v>
      </c>
      <c r="F97" s="47" t="s">
        <v>574</v>
      </c>
      <c r="G97" s="47"/>
      <c r="H97" s="10" t="s">
        <v>165</v>
      </c>
      <c r="I97" s="10" t="s">
        <v>166</v>
      </c>
      <c r="J97" s="40" t="str">
        <f t="shared" si="1"/>
        <v>Diferente</v>
      </c>
      <c r="K97" s="47" t="s">
        <v>423</v>
      </c>
      <c r="L97" s="10" t="s">
        <v>429</v>
      </c>
      <c r="M97" s="10" t="s">
        <v>199</v>
      </c>
      <c r="N97" s="40" t="str">
        <f t="shared" si="2"/>
        <v>Sim</v>
      </c>
      <c r="O97" s="52"/>
    </row>
    <row r="98" ht="30.0" customHeight="1">
      <c r="A98" s="10" t="s">
        <v>31</v>
      </c>
      <c r="B98" s="47" t="s">
        <v>575</v>
      </c>
      <c r="C98" s="47" t="s">
        <v>576</v>
      </c>
      <c r="D98" s="51">
        <v>2025.0</v>
      </c>
      <c r="F98" s="47" t="s">
        <v>577</v>
      </c>
      <c r="G98" s="47"/>
      <c r="H98" s="10" t="s">
        <v>166</v>
      </c>
      <c r="I98" s="10" t="s">
        <v>165</v>
      </c>
      <c r="J98" s="40" t="str">
        <f t="shared" si="1"/>
        <v>Diferente</v>
      </c>
      <c r="K98" s="47" t="s">
        <v>411</v>
      </c>
      <c r="L98" s="10" t="s">
        <v>407</v>
      </c>
      <c r="M98" s="10" t="s">
        <v>169</v>
      </c>
      <c r="N98" s="40" t="str">
        <f t="shared" si="2"/>
        <v>Sim</v>
      </c>
      <c r="O98" s="54"/>
      <c r="P98" s="55" t="s">
        <v>578</v>
      </c>
    </row>
    <row r="99" ht="30.0" customHeight="1">
      <c r="A99" s="10" t="s">
        <v>31</v>
      </c>
      <c r="B99" s="47" t="s">
        <v>579</v>
      </c>
      <c r="C99" s="47" t="s">
        <v>580</v>
      </c>
      <c r="D99" s="51">
        <v>2025.0</v>
      </c>
      <c r="F99" s="47" t="s">
        <v>581</v>
      </c>
      <c r="G99" s="47"/>
      <c r="H99" s="10" t="s">
        <v>166</v>
      </c>
      <c r="I99" s="10" t="s">
        <v>165</v>
      </c>
      <c r="J99" s="40" t="str">
        <f t="shared" si="1"/>
        <v>Diferente</v>
      </c>
      <c r="K99" s="47" t="s">
        <v>411</v>
      </c>
      <c r="L99" s="10" t="s">
        <v>407</v>
      </c>
      <c r="M99" s="10" t="s">
        <v>169</v>
      </c>
      <c r="N99" s="40" t="str">
        <f t="shared" si="2"/>
        <v>Sim</v>
      </c>
      <c r="O99" s="54"/>
    </row>
    <row r="100" ht="30.0" customHeight="1">
      <c r="A100" s="10" t="s">
        <v>31</v>
      </c>
      <c r="B100" s="47" t="s">
        <v>582</v>
      </c>
      <c r="C100" s="47" t="s">
        <v>583</v>
      </c>
      <c r="D100" s="51">
        <v>2025.0</v>
      </c>
      <c r="F100" s="47" t="s">
        <v>584</v>
      </c>
      <c r="G100" s="47"/>
      <c r="H100" s="10" t="s">
        <v>166</v>
      </c>
      <c r="I100" s="10" t="s">
        <v>165</v>
      </c>
      <c r="J100" s="40" t="str">
        <f t="shared" si="1"/>
        <v>Diferente</v>
      </c>
      <c r="K100" s="47" t="s">
        <v>406</v>
      </c>
      <c r="L100" s="10" t="s">
        <v>407</v>
      </c>
      <c r="M100" s="10" t="s">
        <v>169</v>
      </c>
      <c r="N100" s="40" t="str">
        <f t="shared" si="2"/>
        <v>Sim</v>
      </c>
      <c r="O100" s="54"/>
    </row>
    <row r="101" ht="30.0" hidden="1" customHeight="1">
      <c r="A101" s="10" t="s">
        <v>31</v>
      </c>
      <c r="B101" s="47" t="s">
        <v>585</v>
      </c>
      <c r="C101" s="47" t="s">
        <v>586</v>
      </c>
      <c r="D101" s="51">
        <v>2025.0</v>
      </c>
      <c r="F101" s="47" t="s">
        <v>587</v>
      </c>
      <c r="G101" s="56" t="s">
        <v>588</v>
      </c>
      <c r="H101" s="10" t="s">
        <v>166</v>
      </c>
      <c r="I101" s="10" t="s">
        <v>166</v>
      </c>
      <c r="J101" s="40" t="str">
        <f t="shared" si="1"/>
        <v>Igual</v>
      </c>
      <c r="K101" s="47" t="s">
        <v>400</v>
      </c>
      <c r="L101" s="10" t="s">
        <v>589</v>
      </c>
      <c r="M101" s="10" t="s">
        <v>199</v>
      </c>
      <c r="N101" s="40" t="str">
        <f t="shared" si="2"/>
        <v>Não</v>
      </c>
    </row>
    <row r="102" ht="30.0" customHeight="1">
      <c r="A102" s="10" t="s">
        <v>31</v>
      </c>
      <c r="B102" s="47" t="s">
        <v>590</v>
      </c>
      <c r="C102" s="57" t="s">
        <v>591</v>
      </c>
      <c r="D102" s="51">
        <v>2025.0</v>
      </c>
      <c r="F102" s="47" t="s">
        <v>592</v>
      </c>
      <c r="G102" s="47" t="s">
        <v>593</v>
      </c>
      <c r="H102" s="10" t="s">
        <v>166</v>
      </c>
      <c r="I102" s="10" t="s">
        <v>165</v>
      </c>
      <c r="J102" s="40" t="str">
        <f t="shared" si="1"/>
        <v>Diferente</v>
      </c>
      <c r="K102" s="47" t="s">
        <v>411</v>
      </c>
      <c r="L102" s="10" t="s">
        <v>407</v>
      </c>
      <c r="M102" s="10" t="s">
        <v>169</v>
      </c>
      <c r="N102" s="40" t="str">
        <f t="shared" si="2"/>
        <v>Sim</v>
      </c>
      <c r="O102" s="54"/>
    </row>
    <row r="103" ht="30.0" hidden="1" customHeight="1">
      <c r="A103" s="10" t="s">
        <v>31</v>
      </c>
      <c r="B103" s="47" t="s">
        <v>594</v>
      </c>
      <c r="C103" s="47" t="s">
        <v>595</v>
      </c>
      <c r="D103" s="51">
        <v>2025.0</v>
      </c>
      <c r="F103" s="47" t="s">
        <v>596</v>
      </c>
      <c r="G103" s="47" t="s">
        <v>597</v>
      </c>
      <c r="H103" s="10" t="s">
        <v>166</v>
      </c>
      <c r="I103" s="10" t="s">
        <v>166</v>
      </c>
      <c r="J103" s="40" t="str">
        <f t="shared" si="1"/>
        <v>Igual</v>
      </c>
      <c r="K103" s="47" t="s">
        <v>411</v>
      </c>
      <c r="L103" s="10" t="s">
        <v>429</v>
      </c>
      <c r="M103" s="10" t="s">
        <v>199</v>
      </c>
      <c r="N103" s="40" t="str">
        <f t="shared" si="2"/>
        <v>Não</v>
      </c>
    </row>
    <row r="104" ht="30.0" hidden="1" customHeight="1">
      <c r="A104" s="10" t="s">
        <v>31</v>
      </c>
      <c r="B104" s="47" t="s">
        <v>598</v>
      </c>
      <c r="C104" s="47" t="s">
        <v>599</v>
      </c>
      <c r="D104" s="51">
        <v>2025.0</v>
      </c>
      <c r="F104" s="47" t="s">
        <v>600</v>
      </c>
      <c r="G104" s="47" t="s">
        <v>601</v>
      </c>
      <c r="H104" s="10" t="s">
        <v>166</v>
      </c>
      <c r="I104" s="10" t="s">
        <v>166</v>
      </c>
      <c r="J104" s="40" t="str">
        <f t="shared" si="1"/>
        <v>Igual</v>
      </c>
      <c r="K104" s="47" t="s">
        <v>411</v>
      </c>
      <c r="L104" s="10" t="s">
        <v>464</v>
      </c>
      <c r="M104" s="10" t="s">
        <v>199</v>
      </c>
      <c r="N104" s="40" t="str">
        <f t="shared" si="2"/>
        <v>Não</v>
      </c>
    </row>
    <row r="105" ht="30.0" customHeight="1">
      <c r="A105" s="10" t="s">
        <v>31</v>
      </c>
      <c r="B105" s="47" t="s">
        <v>602</v>
      </c>
      <c r="C105" s="47" t="s">
        <v>603</v>
      </c>
      <c r="D105" s="51">
        <v>2025.0</v>
      </c>
      <c r="F105" s="47" t="s">
        <v>604</v>
      </c>
      <c r="G105" s="47" t="s">
        <v>605</v>
      </c>
      <c r="H105" s="10" t="s">
        <v>166</v>
      </c>
      <c r="I105" s="10" t="s">
        <v>165</v>
      </c>
      <c r="J105" s="40" t="str">
        <f t="shared" si="1"/>
        <v>Diferente</v>
      </c>
      <c r="K105" s="47" t="s">
        <v>411</v>
      </c>
      <c r="L105" s="10" t="s">
        <v>407</v>
      </c>
      <c r="M105" s="10" t="s">
        <v>169</v>
      </c>
      <c r="N105" s="40" t="str">
        <f t="shared" si="2"/>
        <v>Sim</v>
      </c>
      <c r="O105" s="54"/>
    </row>
    <row r="106" ht="30.0" customHeight="1">
      <c r="A106" s="10" t="s">
        <v>31</v>
      </c>
      <c r="B106" s="47" t="s">
        <v>606</v>
      </c>
      <c r="C106" s="47" t="s">
        <v>607</v>
      </c>
      <c r="D106" s="51">
        <v>2025.0</v>
      </c>
      <c r="F106" s="47" t="s">
        <v>608</v>
      </c>
      <c r="G106" s="47"/>
      <c r="H106" s="10" t="s">
        <v>166</v>
      </c>
      <c r="I106" s="10" t="s">
        <v>165</v>
      </c>
      <c r="J106" s="40" t="str">
        <f t="shared" si="1"/>
        <v>Diferente</v>
      </c>
      <c r="K106" s="47" t="s">
        <v>411</v>
      </c>
      <c r="L106" s="10" t="s">
        <v>407</v>
      </c>
      <c r="M106" s="10" t="s">
        <v>169</v>
      </c>
      <c r="N106" s="40" t="str">
        <f t="shared" si="2"/>
        <v>Sim</v>
      </c>
      <c r="O106" s="54"/>
    </row>
    <row r="107" ht="30.0" hidden="1" customHeight="1">
      <c r="A107" s="10" t="s">
        <v>31</v>
      </c>
      <c r="B107" s="47" t="s">
        <v>609</v>
      </c>
      <c r="C107" s="47" t="s">
        <v>610</v>
      </c>
      <c r="D107" s="51">
        <v>2025.0</v>
      </c>
      <c r="F107" s="47" t="s">
        <v>611</v>
      </c>
      <c r="G107" s="47"/>
      <c r="H107" s="10" t="s">
        <v>166</v>
      </c>
      <c r="I107" s="10" t="s">
        <v>166</v>
      </c>
      <c r="J107" s="40" t="str">
        <f t="shared" si="1"/>
        <v>Igual</v>
      </c>
      <c r="K107" s="47" t="s">
        <v>400</v>
      </c>
      <c r="L107" s="10" t="s">
        <v>612</v>
      </c>
      <c r="M107" s="10" t="s">
        <v>199</v>
      </c>
      <c r="N107" s="40" t="str">
        <f t="shared" si="2"/>
        <v>Não</v>
      </c>
    </row>
    <row r="108" ht="30.0" customHeight="1">
      <c r="A108" s="10" t="s">
        <v>31</v>
      </c>
      <c r="B108" s="47" t="s">
        <v>613</v>
      </c>
      <c r="C108" s="47" t="s">
        <v>614</v>
      </c>
      <c r="D108" s="51">
        <v>2025.0</v>
      </c>
      <c r="F108" s="47" t="s">
        <v>615</v>
      </c>
      <c r="G108" s="47"/>
      <c r="H108" s="10" t="s">
        <v>166</v>
      </c>
      <c r="I108" s="10" t="s">
        <v>165</v>
      </c>
      <c r="J108" s="40" t="str">
        <f t="shared" si="1"/>
        <v>Diferente</v>
      </c>
      <c r="K108" s="47" t="s">
        <v>411</v>
      </c>
      <c r="L108" s="10" t="s">
        <v>407</v>
      </c>
      <c r="M108" s="10" t="s">
        <v>169</v>
      </c>
      <c r="N108" s="40" t="str">
        <f t="shared" si="2"/>
        <v>Sim</v>
      </c>
      <c r="O108" s="54"/>
    </row>
    <row r="109" ht="30.0" hidden="1" customHeight="1">
      <c r="A109" s="10" t="s">
        <v>31</v>
      </c>
      <c r="B109" s="47" t="s">
        <v>616</v>
      </c>
      <c r="C109" s="47" t="s">
        <v>617</v>
      </c>
      <c r="D109" s="51">
        <v>2025.0</v>
      </c>
      <c r="F109" s="47" t="s">
        <v>618</v>
      </c>
      <c r="G109" s="47" t="s">
        <v>619</v>
      </c>
      <c r="H109" s="10" t="s">
        <v>166</v>
      </c>
      <c r="I109" s="10" t="s">
        <v>166</v>
      </c>
      <c r="J109" s="40" t="str">
        <f t="shared" si="1"/>
        <v>Igual</v>
      </c>
      <c r="K109" s="47" t="s">
        <v>411</v>
      </c>
      <c r="L109" s="10" t="s">
        <v>429</v>
      </c>
      <c r="M109" s="10" t="s">
        <v>199</v>
      </c>
      <c r="N109" s="40" t="str">
        <f t="shared" si="2"/>
        <v>Não</v>
      </c>
    </row>
    <row r="110" ht="30.0" hidden="1" customHeight="1">
      <c r="A110" s="10" t="s">
        <v>31</v>
      </c>
      <c r="B110" s="47" t="s">
        <v>620</v>
      </c>
      <c r="C110" s="47" t="s">
        <v>621</v>
      </c>
      <c r="D110" s="51">
        <v>2025.0</v>
      </c>
      <c r="F110" s="47" t="s">
        <v>622</v>
      </c>
      <c r="G110" s="47" t="s">
        <v>623</v>
      </c>
      <c r="H110" s="10" t="s">
        <v>166</v>
      </c>
      <c r="I110" s="10" t="s">
        <v>166</v>
      </c>
      <c r="J110" s="40" t="str">
        <f t="shared" si="1"/>
        <v>Igual</v>
      </c>
      <c r="K110" s="47" t="s">
        <v>400</v>
      </c>
      <c r="L110" s="10" t="s">
        <v>445</v>
      </c>
      <c r="M110" s="10" t="s">
        <v>199</v>
      </c>
      <c r="N110" s="40" t="str">
        <f t="shared" si="2"/>
        <v>Não</v>
      </c>
    </row>
    <row r="111" ht="30.0" customHeight="1">
      <c r="A111" s="10" t="s">
        <v>31</v>
      </c>
      <c r="B111" s="47" t="s">
        <v>624</v>
      </c>
      <c r="C111" s="47" t="s">
        <v>625</v>
      </c>
      <c r="D111" s="51">
        <v>2025.0</v>
      </c>
      <c r="F111" s="47" t="s">
        <v>626</v>
      </c>
      <c r="G111" s="47"/>
      <c r="H111" s="10" t="s">
        <v>166</v>
      </c>
      <c r="I111" s="10" t="s">
        <v>165</v>
      </c>
      <c r="J111" s="40" t="str">
        <f t="shared" si="1"/>
        <v>Diferente</v>
      </c>
      <c r="K111" s="47" t="s">
        <v>411</v>
      </c>
      <c r="L111" s="10" t="s">
        <v>407</v>
      </c>
      <c r="M111" s="10" t="s">
        <v>169</v>
      </c>
      <c r="N111" s="40" t="str">
        <f t="shared" si="2"/>
        <v>Sim</v>
      </c>
      <c r="O111" s="54"/>
    </row>
    <row r="112" ht="30.0" hidden="1" customHeight="1">
      <c r="A112" s="10" t="s">
        <v>31</v>
      </c>
      <c r="B112" s="47" t="s">
        <v>627</v>
      </c>
      <c r="C112" s="47" t="s">
        <v>628</v>
      </c>
      <c r="D112" s="51">
        <v>2025.0</v>
      </c>
      <c r="F112" s="47" t="s">
        <v>629</v>
      </c>
      <c r="G112" s="47" t="s">
        <v>630</v>
      </c>
      <c r="H112" s="10" t="s">
        <v>166</v>
      </c>
      <c r="I112" s="10" t="s">
        <v>166</v>
      </c>
      <c r="J112" s="40" t="str">
        <f t="shared" si="1"/>
        <v>Igual</v>
      </c>
      <c r="K112" s="47" t="s">
        <v>411</v>
      </c>
      <c r="L112" s="10" t="s">
        <v>535</v>
      </c>
      <c r="M112" s="10" t="s">
        <v>199</v>
      </c>
      <c r="N112" s="40" t="str">
        <f t="shared" si="2"/>
        <v>Não</v>
      </c>
    </row>
    <row r="113" ht="30.0" hidden="1" customHeight="1">
      <c r="A113" s="10" t="s">
        <v>31</v>
      </c>
      <c r="B113" s="47" t="s">
        <v>631</v>
      </c>
      <c r="C113" s="47" t="s">
        <v>632</v>
      </c>
      <c r="D113" s="51">
        <v>2025.0</v>
      </c>
      <c r="F113" s="47" t="s">
        <v>633</v>
      </c>
      <c r="G113" s="47" t="s">
        <v>634</v>
      </c>
      <c r="H113" s="10" t="s">
        <v>166</v>
      </c>
      <c r="I113" s="10" t="s">
        <v>166</v>
      </c>
      <c r="J113" s="40" t="str">
        <f t="shared" si="1"/>
        <v>Igual</v>
      </c>
      <c r="K113" s="47" t="s">
        <v>400</v>
      </c>
      <c r="L113" s="10" t="s">
        <v>464</v>
      </c>
      <c r="M113" s="10" t="s">
        <v>199</v>
      </c>
      <c r="N113" s="40" t="str">
        <f t="shared" si="2"/>
        <v>Não</v>
      </c>
    </row>
    <row r="114" ht="30.0" hidden="1" customHeight="1">
      <c r="A114" s="10" t="s">
        <v>31</v>
      </c>
      <c r="B114" s="47" t="s">
        <v>635</v>
      </c>
      <c r="C114" s="47" t="s">
        <v>636</v>
      </c>
      <c r="D114" s="51">
        <v>2025.0</v>
      </c>
      <c r="F114" s="47" t="s">
        <v>637</v>
      </c>
      <c r="G114" s="47" t="s">
        <v>638</v>
      </c>
      <c r="H114" s="10" t="s">
        <v>166</v>
      </c>
      <c r="I114" s="10" t="s">
        <v>166</v>
      </c>
      <c r="J114" s="40" t="str">
        <f t="shared" si="1"/>
        <v>Igual</v>
      </c>
      <c r="K114" s="47" t="s">
        <v>411</v>
      </c>
      <c r="L114" s="10" t="s">
        <v>429</v>
      </c>
      <c r="M114" s="10" t="s">
        <v>199</v>
      </c>
      <c r="N114" s="40" t="str">
        <f t="shared" si="2"/>
        <v>Não</v>
      </c>
    </row>
    <row r="115" ht="30.0" hidden="1" customHeight="1">
      <c r="A115" s="10" t="s">
        <v>31</v>
      </c>
      <c r="B115" s="47" t="s">
        <v>639</v>
      </c>
      <c r="C115" s="47" t="s">
        <v>640</v>
      </c>
      <c r="D115" s="51">
        <v>2025.0</v>
      </c>
      <c r="F115" s="47" t="s">
        <v>641</v>
      </c>
      <c r="G115" s="47"/>
      <c r="H115" s="10" t="s">
        <v>166</v>
      </c>
      <c r="I115" s="10" t="s">
        <v>166</v>
      </c>
      <c r="J115" s="40" t="str">
        <f t="shared" si="1"/>
        <v>Igual</v>
      </c>
      <c r="K115" s="47" t="s">
        <v>411</v>
      </c>
      <c r="L115" s="10" t="s">
        <v>642</v>
      </c>
      <c r="M115" s="10" t="s">
        <v>199</v>
      </c>
      <c r="N115" s="40" t="str">
        <f t="shared" si="2"/>
        <v>Não</v>
      </c>
    </row>
    <row r="116" ht="30.0" hidden="1" customHeight="1">
      <c r="A116" s="10" t="s">
        <v>31</v>
      </c>
      <c r="B116" s="47" t="s">
        <v>643</v>
      </c>
      <c r="C116" s="47" t="s">
        <v>644</v>
      </c>
      <c r="D116" s="51">
        <v>2025.0</v>
      </c>
      <c r="F116" s="47" t="s">
        <v>645</v>
      </c>
      <c r="G116" s="47" t="s">
        <v>646</v>
      </c>
      <c r="H116" s="10" t="s">
        <v>166</v>
      </c>
      <c r="I116" s="10" t="s">
        <v>166</v>
      </c>
      <c r="J116" s="40" t="str">
        <f t="shared" si="1"/>
        <v>Igual</v>
      </c>
      <c r="K116" s="47" t="s">
        <v>411</v>
      </c>
      <c r="L116" s="10" t="s">
        <v>647</v>
      </c>
      <c r="M116" s="10" t="s">
        <v>199</v>
      </c>
      <c r="N116" s="40" t="str">
        <f t="shared" si="2"/>
        <v>Não</v>
      </c>
    </row>
    <row r="117" ht="30.0" customHeight="1">
      <c r="A117" s="10" t="s">
        <v>31</v>
      </c>
      <c r="B117" s="47" t="s">
        <v>648</v>
      </c>
      <c r="C117" s="47" t="s">
        <v>649</v>
      </c>
      <c r="D117" s="51">
        <v>2025.0</v>
      </c>
      <c r="E117" s="43" t="s">
        <v>650</v>
      </c>
      <c r="F117" s="47" t="s">
        <v>651</v>
      </c>
      <c r="G117" s="47"/>
      <c r="H117" s="10" t="s">
        <v>166</v>
      </c>
      <c r="I117" s="10" t="s">
        <v>165</v>
      </c>
      <c r="J117" s="40" t="str">
        <f t="shared" si="1"/>
        <v>Diferente</v>
      </c>
      <c r="K117" s="47" t="s">
        <v>411</v>
      </c>
      <c r="L117" s="10" t="s">
        <v>652</v>
      </c>
      <c r="M117" s="10" t="s">
        <v>169</v>
      </c>
      <c r="N117" s="40" t="str">
        <f t="shared" si="2"/>
        <v>Sim</v>
      </c>
      <c r="O117" s="54"/>
    </row>
    <row r="118" ht="30.0" hidden="1" customHeight="1">
      <c r="A118" s="10" t="s">
        <v>31</v>
      </c>
      <c r="B118" s="47" t="s">
        <v>653</v>
      </c>
      <c r="C118" s="47" t="s">
        <v>654</v>
      </c>
      <c r="D118" s="51">
        <v>2025.0</v>
      </c>
      <c r="F118" s="47" t="s">
        <v>655</v>
      </c>
      <c r="G118" s="47" t="s">
        <v>656</v>
      </c>
      <c r="H118" s="10" t="s">
        <v>166</v>
      </c>
      <c r="I118" s="10" t="s">
        <v>166</v>
      </c>
      <c r="J118" s="40" t="str">
        <f t="shared" si="1"/>
        <v>Igual</v>
      </c>
      <c r="K118" s="47" t="s">
        <v>411</v>
      </c>
      <c r="L118" s="10" t="s">
        <v>429</v>
      </c>
      <c r="M118" s="10" t="s">
        <v>199</v>
      </c>
      <c r="N118" s="40" t="str">
        <f t="shared" si="2"/>
        <v>Não</v>
      </c>
    </row>
    <row r="119" ht="30.0" hidden="1" customHeight="1">
      <c r="A119" s="10" t="s">
        <v>31</v>
      </c>
      <c r="B119" s="47" t="s">
        <v>657</v>
      </c>
      <c r="C119" s="47" t="s">
        <v>658</v>
      </c>
      <c r="D119" s="51">
        <v>2025.0</v>
      </c>
      <c r="F119" s="47" t="s">
        <v>659</v>
      </c>
      <c r="G119" s="47"/>
      <c r="H119" s="10" t="s">
        <v>166</v>
      </c>
      <c r="I119" s="10" t="s">
        <v>166</v>
      </c>
      <c r="J119" s="40" t="str">
        <f t="shared" si="1"/>
        <v>Igual</v>
      </c>
      <c r="K119" s="47" t="s">
        <v>411</v>
      </c>
      <c r="L119" s="10" t="s">
        <v>660</v>
      </c>
      <c r="M119" s="10" t="s">
        <v>199</v>
      </c>
      <c r="N119" s="40" t="str">
        <f t="shared" si="2"/>
        <v>Não</v>
      </c>
    </row>
    <row r="120" ht="30.0" hidden="1" customHeight="1">
      <c r="A120" s="10" t="s">
        <v>31</v>
      </c>
      <c r="B120" s="47" t="s">
        <v>661</v>
      </c>
      <c r="C120" s="47" t="s">
        <v>662</v>
      </c>
      <c r="D120" s="51">
        <v>2025.0</v>
      </c>
      <c r="F120" s="47" t="s">
        <v>663</v>
      </c>
      <c r="G120" s="47" t="s">
        <v>664</v>
      </c>
      <c r="H120" s="10" t="s">
        <v>166</v>
      </c>
      <c r="I120" s="10" t="s">
        <v>166</v>
      </c>
      <c r="J120" s="40" t="str">
        <f t="shared" si="1"/>
        <v>Igual</v>
      </c>
      <c r="K120" s="47" t="s">
        <v>411</v>
      </c>
      <c r="L120" s="10" t="s">
        <v>429</v>
      </c>
      <c r="M120" s="10" t="s">
        <v>199</v>
      </c>
      <c r="N120" s="40" t="str">
        <f t="shared" si="2"/>
        <v>Não</v>
      </c>
    </row>
    <row r="121" ht="30.0" hidden="1" customHeight="1">
      <c r="A121" s="10" t="s">
        <v>31</v>
      </c>
      <c r="B121" s="47" t="s">
        <v>665</v>
      </c>
      <c r="C121" s="47" t="s">
        <v>666</v>
      </c>
      <c r="D121" s="51">
        <v>2025.0</v>
      </c>
      <c r="F121" s="47" t="s">
        <v>667</v>
      </c>
      <c r="G121" s="47" t="s">
        <v>668</v>
      </c>
      <c r="H121" s="10" t="s">
        <v>166</v>
      </c>
      <c r="I121" s="10" t="s">
        <v>166</v>
      </c>
      <c r="J121" s="40" t="str">
        <f t="shared" si="1"/>
        <v>Igual</v>
      </c>
      <c r="K121" s="47" t="s">
        <v>411</v>
      </c>
      <c r="L121" s="10" t="s">
        <v>445</v>
      </c>
      <c r="M121" s="10" t="s">
        <v>199</v>
      </c>
      <c r="N121" s="40" t="str">
        <f t="shared" si="2"/>
        <v>Não</v>
      </c>
    </row>
    <row r="122" ht="30.0" hidden="1" customHeight="1">
      <c r="A122" s="10" t="s">
        <v>31</v>
      </c>
      <c r="B122" s="47" t="s">
        <v>669</v>
      </c>
      <c r="C122" s="47" t="s">
        <v>670</v>
      </c>
      <c r="D122" s="51">
        <v>2025.0</v>
      </c>
      <c r="F122" s="47" t="s">
        <v>671</v>
      </c>
      <c r="G122" s="47"/>
      <c r="H122" s="10" t="s">
        <v>166</v>
      </c>
      <c r="I122" s="10" t="s">
        <v>166</v>
      </c>
      <c r="J122" s="40" t="str">
        <f t="shared" si="1"/>
        <v>Igual</v>
      </c>
      <c r="K122" s="47" t="s">
        <v>406</v>
      </c>
      <c r="L122" s="10" t="s">
        <v>429</v>
      </c>
      <c r="M122" s="10" t="s">
        <v>199</v>
      </c>
      <c r="N122" s="40" t="str">
        <f t="shared" si="2"/>
        <v>Não</v>
      </c>
    </row>
    <row r="123" ht="30.0" customHeight="1">
      <c r="A123" s="10" t="s">
        <v>31</v>
      </c>
      <c r="B123" s="47" t="s">
        <v>672</v>
      </c>
      <c r="C123" s="47" t="s">
        <v>673</v>
      </c>
      <c r="D123" s="51">
        <v>2025.0</v>
      </c>
      <c r="F123" s="47" t="s">
        <v>674</v>
      </c>
      <c r="G123" s="47" t="s">
        <v>675</v>
      </c>
      <c r="H123" s="10" t="s">
        <v>166</v>
      </c>
      <c r="I123" s="10" t="s">
        <v>165</v>
      </c>
      <c r="J123" s="40" t="str">
        <f t="shared" si="1"/>
        <v>Diferente</v>
      </c>
      <c r="K123" s="47" t="s">
        <v>411</v>
      </c>
      <c r="L123" s="10" t="s">
        <v>407</v>
      </c>
      <c r="M123" s="10" t="s">
        <v>169</v>
      </c>
      <c r="N123" s="40" t="str">
        <f t="shared" si="2"/>
        <v>Sim</v>
      </c>
      <c r="O123" s="54"/>
    </row>
    <row r="124" ht="30.0" customHeight="1">
      <c r="A124" s="10" t="s">
        <v>31</v>
      </c>
      <c r="B124" s="47" t="s">
        <v>676</v>
      </c>
      <c r="C124" s="47" t="s">
        <v>677</v>
      </c>
      <c r="D124" s="51">
        <v>2025.0</v>
      </c>
      <c r="F124" s="47" t="s">
        <v>678</v>
      </c>
      <c r="G124" s="47"/>
      <c r="H124" s="10" t="s">
        <v>166</v>
      </c>
      <c r="I124" s="10" t="s">
        <v>165</v>
      </c>
      <c r="J124" s="40" t="str">
        <f t="shared" si="1"/>
        <v>Diferente</v>
      </c>
      <c r="K124" s="47" t="s">
        <v>411</v>
      </c>
      <c r="L124" s="10" t="s">
        <v>407</v>
      </c>
      <c r="M124" s="10" t="s">
        <v>169</v>
      </c>
      <c r="N124" s="40" t="str">
        <f t="shared" si="2"/>
        <v>Sim</v>
      </c>
      <c r="O124" s="54"/>
    </row>
    <row r="125" ht="30.0" hidden="1" customHeight="1">
      <c r="A125" s="10" t="s">
        <v>31</v>
      </c>
      <c r="B125" s="47" t="s">
        <v>679</v>
      </c>
      <c r="C125" s="47" t="s">
        <v>680</v>
      </c>
      <c r="D125" s="51">
        <v>2025.0</v>
      </c>
      <c r="F125" s="47" t="s">
        <v>681</v>
      </c>
      <c r="G125" s="47"/>
      <c r="H125" s="10" t="s">
        <v>166</v>
      </c>
      <c r="I125" s="10" t="s">
        <v>166</v>
      </c>
      <c r="J125" s="40" t="str">
        <f t="shared" si="1"/>
        <v>Igual</v>
      </c>
      <c r="K125" s="47" t="s">
        <v>411</v>
      </c>
      <c r="L125" s="10" t="s">
        <v>429</v>
      </c>
      <c r="M125" s="10" t="s">
        <v>199</v>
      </c>
      <c r="N125" s="40" t="str">
        <f t="shared" si="2"/>
        <v>Não</v>
      </c>
    </row>
    <row r="126" ht="30.0" customHeight="1">
      <c r="A126" s="10" t="s">
        <v>31</v>
      </c>
      <c r="B126" s="47" t="s">
        <v>682</v>
      </c>
      <c r="C126" s="47" t="s">
        <v>683</v>
      </c>
      <c r="D126" s="51">
        <v>2025.0</v>
      </c>
      <c r="F126" s="47" t="s">
        <v>684</v>
      </c>
      <c r="G126" s="47" t="s">
        <v>685</v>
      </c>
      <c r="H126" s="10" t="s">
        <v>166</v>
      </c>
      <c r="I126" s="10" t="s">
        <v>165</v>
      </c>
      <c r="J126" s="40" t="str">
        <f t="shared" si="1"/>
        <v>Diferente</v>
      </c>
      <c r="K126" s="47" t="s">
        <v>400</v>
      </c>
      <c r="L126" s="10" t="s">
        <v>407</v>
      </c>
      <c r="M126" s="10" t="s">
        <v>169</v>
      </c>
      <c r="N126" s="40" t="str">
        <f t="shared" si="2"/>
        <v>Sim</v>
      </c>
      <c r="O126" s="54"/>
    </row>
    <row r="127" ht="30.0" hidden="1" customHeight="1">
      <c r="A127" s="10" t="s">
        <v>31</v>
      </c>
      <c r="B127" s="47" t="s">
        <v>686</v>
      </c>
      <c r="C127" s="47" t="s">
        <v>687</v>
      </c>
      <c r="D127" s="51">
        <v>2024.0</v>
      </c>
      <c r="F127" s="47" t="s">
        <v>688</v>
      </c>
      <c r="G127" s="47"/>
      <c r="H127" s="10" t="s">
        <v>166</v>
      </c>
      <c r="I127" s="10" t="s">
        <v>166</v>
      </c>
      <c r="J127" s="40" t="str">
        <f t="shared" si="1"/>
        <v>Igual</v>
      </c>
      <c r="K127" s="47" t="s">
        <v>411</v>
      </c>
      <c r="L127" s="10" t="s">
        <v>689</v>
      </c>
      <c r="M127" s="10" t="s">
        <v>199</v>
      </c>
      <c r="N127" s="40" t="str">
        <f t="shared" si="2"/>
        <v>Não</v>
      </c>
    </row>
    <row r="128" ht="30.0" hidden="1" customHeight="1">
      <c r="A128" s="10" t="s">
        <v>31</v>
      </c>
      <c r="B128" s="47" t="s">
        <v>690</v>
      </c>
      <c r="C128" s="47" t="s">
        <v>691</v>
      </c>
      <c r="D128" s="51">
        <v>2024.0</v>
      </c>
      <c r="F128" s="47" t="s">
        <v>692</v>
      </c>
      <c r="G128" s="47" t="s">
        <v>693</v>
      </c>
      <c r="H128" s="10" t="s">
        <v>166</v>
      </c>
      <c r="I128" s="10" t="s">
        <v>166</v>
      </c>
      <c r="J128" s="40" t="str">
        <f t="shared" si="1"/>
        <v>Igual</v>
      </c>
      <c r="K128" s="47" t="s">
        <v>411</v>
      </c>
      <c r="L128" s="10" t="s">
        <v>429</v>
      </c>
      <c r="M128" s="10" t="s">
        <v>199</v>
      </c>
      <c r="N128" s="40" t="str">
        <f t="shared" si="2"/>
        <v>Não</v>
      </c>
    </row>
    <row r="129" ht="30.0" hidden="1" customHeight="1">
      <c r="A129" s="10" t="s">
        <v>31</v>
      </c>
      <c r="B129" s="47" t="s">
        <v>690</v>
      </c>
      <c r="C129" s="47" t="s">
        <v>694</v>
      </c>
      <c r="D129" s="51">
        <v>2024.0</v>
      </c>
      <c r="F129" s="47" t="s">
        <v>695</v>
      </c>
      <c r="G129" s="47" t="s">
        <v>696</v>
      </c>
      <c r="H129" s="10" t="s">
        <v>166</v>
      </c>
      <c r="I129" s="10" t="s">
        <v>166</v>
      </c>
      <c r="J129" s="40" t="str">
        <f t="shared" si="1"/>
        <v>Igual</v>
      </c>
      <c r="K129" s="47" t="s">
        <v>411</v>
      </c>
      <c r="L129" s="10" t="s">
        <v>429</v>
      </c>
      <c r="M129" s="10" t="s">
        <v>199</v>
      </c>
      <c r="N129" s="40" t="str">
        <f t="shared" si="2"/>
        <v>Não</v>
      </c>
    </row>
    <row r="130" ht="30.0" hidden="1" customHeight="1">
      <c r="A130" s="10" t="s">
        <v>31</v>
      </c>
      <c r="B130" s="47" t="s">
        <v>697</v>
      </c>
      <c r="C130" s="47" t="s">
        <v>698</v>
      </c>
      <c r="D130" s="51">
        <v>2024.0</v>
      </c>
      <c r="F130" s="47" t="s">
        <v>699</v>
      </c>
      <c r="G130" s="47"/>
      <c r="H130" s="10" t="s">
        <v>166</v>
      </c>
      <c r="I130" s="10" t="s">
        <v>166</v>
      </c>
      <c r="J130" s="40" t="str">
        <f t="shared" si="1"/>
        <v>Igual</v>
      </c>
      <c r="K130" s="47" t="s">
        <v>406</v>
      </c>
      <c r="L130" s="10" t="s">
        <v>429</v>
      </c>
      <c r="M130" s="10" t="s">
        <v>199</v>
      </c>
      <c r="N130" s="40" t="str">
        <f t="shared" si="2"/>
        <v>Não</v>
      </c>
    </row>
    <row r="131" ht="30.0" customHeight="1">
      <c r="A131" s="10" t="s">
        <v>31</v>
      </c>
      <c r="B131" s="47" t="s">
        <v>700</v>
      </c>
      <c r="C131" s="47" t="s">
        <v>701</v>
      </c>
      <c r="D131" s="51">
        <v>2024.0</v>
      </c>
      <c r="F131" s="47" t="s">
        <v>702</v>
      </c>
      <c r="G131" s="47" t="s">
        <v>703</v>
      </c>
      <c r="H131" s="10" t="s">
        <v>166</v>
      </c>
      <c r="I131" s="10" t="s">
        <v>165</v>
      </c>
      <c r="J131" s="40" t="str">
        <f t="shared" si="1"/>
        <v>Diferente</v>
      </c>
      <c r="K131" s="47" t="s">
        <v>411</v>
      </c>
      <c r="L131" s="10" t="s">
        <v>407</v>
      </c>
      <c r="M131" s="10" t="s">
        <v>169</v>
      </c>
      <c r="N131" s="40" t="str">
        <f t="shared" si="2"/>
        <v>Sim</v>
      </c>
      <c r="O131" s="54"/>
    </row>
    <row r="132" ht="30.0" hidden="1" customHeight="1">
      <c r="A132" s="10" t="s">
        <v>31</v>
      </c>
      <c r="B132" s="47" t="s">
        <v>704</v>
      </c>
      <c r="C132" s="47" t="s">
        <v>705</v>
      </c>
      <c r="D132" s="51">
        <v>2024.0</v>
      </c>
      <c r="F132" s="47" t="s">
        <v>706</v>
      </c>
      <c r="G132" s="47" t="s">
        <v>707</v>
      </c>
      <c r="H132" s="10" t="s">
        <v>166</v>
      </c>
      <c r="I132" s="10" t="s">
        <v>166</v>
      </c>
      <c r="J132" s="40" t="str">
        <f t="shared" si="1"/>
        <v>Igual</v>
      </c>
      <c r="K132" s="47" t="s">
        <v>411</v>
      </c>
      <c r="L132" s="10" t="s">
        <v>464</v>
      </c>
      <c r="M132" s="10" t="s">
        <v>199</v>
      </c>
      <c r="N132" s="40" t="str">
        <f t="shared" si="2"/>
        <v>Não</v>
      </c>
    </row>
    <row r="133" ht="30.0" customHeight="1">
      <c r="A133" s="10" t="s">
        <v>31</v>
      </c>
      <c r="B133" s="47" t="s">
        <v>708</v>
      </c>
      <c r="C133" s="47" t="s">
        <v>709</v>
      </c>
      <c r="D133" s="51">
        <v>2024.0</v>
      </c>
      <c r="F133" s="47" t="s">
        <v>710</v>
      </c>
      <c r="G133" s="47" t="s">
        <v>711</v>
      </c>
      <c r="H133" s="10" t="s">
        <v>166</v>
      </c>
      <c r="I133" s="10" t="s">
        <v>165</v>
      </c>
      <c r="J133" s="40" t="str">
        <f t="shared" si="1"/>
        <v>Diferente</v>
      </c>
      <c r="K133" s="47" t="s">
        <v>411</v>
      </c>
      <c r="L133" s="10" t="s">
        <v>407</v>
      </c>
      <c r="M133" s="10" t="s">
        <v>169</v>
      </c>
      <c r="N133" s="40" t="str">
        <f t="shared" si="2"/>
        <v>Sim</v>
      </c>
      <c r="O133" s="54"/>
    </row>
    <row r="134" ht="30.0" hidden="1" customHeight="1">
      <c r="A134" s="10" t="s">
        <v>31</v>
      </c>
      <c r="B134" s="47" t="s">
        <v>712</v>
      </c>
      <c r="C134" s="47" t="s">
        <v>713</v>
      </c>
      <c r="D134" s="51">
        <v>2024.0</v>
      </c>
      <c r="F134" s="47" t="s">
        <v>714</v>
      </c>
      <c r="G134" s="47" t="s">
        <v>715</v>
      </c>
      <c r="H134" s="10" t="s">
        <v>166</v>
      </c>
      <c r="I134" s="10" t="s">
        <v>166</v>
      </c>
      <c r="J134" s="40" t="str">
        <f t="shared" si="1"/>
        <v>Igual</v>
      </c>
      <c r="K134" s="47" t="s">
        <v>411</v>
      </c>
      <c r="L134" s="10" t="s">
        <v>716</v>
      </c>
      <c r="M134" s="10" t="s">
        <v>199</v>
      </c>
      <c r="N134" s="40" t="str">
        <f t="shared" si="2"/>
        <v>Não</v>
      </c>
    </row>
    <row r="135" ht="30.0" hidden="1" customHeight="1">
      <c r="A135" s="10" t="s">
        <v>31</v>
      </c>
      <c r="B135" s="47" t="s">
        <v>717</v>
      </c>
      <c r="C135" s="47" t="s">
        <v>718</v>
      </c>
      <c r="D135" s="51">
        <v>2024.0</v>
      </c>
      <c r="F135" s="47" t="s">
        <v>719</v>
      </c>
      <c r="G135" s="47"/>
      <c r="H135" s="10" t="s">
        <v>166</v>
      </c>
      <c r="I135" s="10" t="s">
        <v>166</v>
      </c>
      <c r="J135" s="40" t="str">
        <f t="shared" si="1"/>
        <v>Igual</v>
      </c>
      <c r="K135" s="47" t="s">
        <v>406</v>
      </c>
      <c r="L135" s="10" t="s">
        <v>652</v>
      </c>
      <c r="M135" s="10" t="s">
        <v>199</v>
      </c>
      <c r="N135" s="40" t="str">
        <f t="shared" si="2"/>
        <v>Não</v>
      </c>
    </row>
    <row r="136" ht="30.0" customHeight="1">
      <c r="A136" s="10" t="s">
        <v>31</v>
      </c>
      <c r="B136" s="47" t="s">
        <v>720</v>
      </c>
      <c r="C136" s="47" t="s">
        <v>721</v>
      </c>
      <c r="D136" s="51">
        <v>2024.0</v>
      </c>
      <c r="F136" s="58" t="s">
        <v>722</v>
      </c>
      <c r="G136" s="47"/>
      <c r="H136" s="10" t="s">
        <v>166</v>
      </c>
      <c r="I136" s="10" t="s">
        <v>165</v>
      </c>
      <c r="J136" s="40" t="str">
        <f t="shared" si="1"/>
        <v>Diferente</v>
      </c>
      <c r="K136" s="47" t="s">
        <v>411</v>
      </c>
      <c r="L136" s="10" t="s">
        <v>407</v>
      </c>
      <c r="M136" s="10" t="s">
        <v>169</v>
      </c>
      <c r="N136" s="40" t="str">
        <f t="shared" si="2"/>
        <v>Sim</v>
      </c>
      <c r="O136" s="54"/>
    </row>
    <row r="137" ht="30.0" hidden="1" customHeight="1">
      <c r="A137" s="10" t="s">
        <v>31</v>
      </c>
      <c r="B137" s="47" t="s">
        <v>723</v>
      </c>
      <c r="C137" s="47" t="s">
        <v>724</v>
      </c>
      <c r="D137" s="51">
        <v>2024.0</v>
      </c>
      <c r="F137" s="47" t="s">
        <v>725</v>
      </c>
      <c r="G137" s="47"/>
      <c r="H137" s="10" t="s">
        <v>166</v>
      </c>
      <c r="I137" s="10" t="s">
        <v>166</v>
      </c>
      <c r="J137" s="40" t="str">
        <f t="shared" si="1"/>
        <v>Igual</v>
      </c>
      <c r="K137" s="47" t="s">
        <v>411</v>
      </c>
      <c r="L137" s="10" t="s">
        <v>429</v>
      </c>
      <c r="M137" s="10" t="s">
        <v>199</v>
      </c>
      <c r="N137" s="40" t="str">
        <f t="shared" si="2"/>
        <v>Não</v>
      </c>
    </row>
    <row r="138" ht="30.0" hidden="1" customHeight="1">
      <c r="A138" s="10" t="s">
        <v>31</v>
      </c>
      <c r="B138" s="47" t="s">
        <v>726</v>
      </c>
      <c r="C138" s="47" t="s">
        <v>727</v>
      </c>
      <c r="D138" s="51">
        <v>2024.0</v>
      </c>
      <c r="F138" s="47" t="s">
        <v>728</v>
      </c>
      <c r="G138" s="47"/>
      <c r="H138" s="10" t="s">
        <v>166</v>
      </c>
      <c r="I138" s="10" t="s">
        <v>166</v>
      </c>
      <c r="J138" s="40" t="str">
        <f t="shared" si="1"/>
        <v>Igual</v>
      </c>
      <c r="K138" s="47" t="s">
        <v>411</v>
      </c>
      <c r="L138" s="10" t="s">
        <v>429</v>
      </c>
      <c r="M138" s="10" t="s">
        <v>199</v>
      </c>
      <c r="N138" s="40" t="str">
        <f t="shared" si="2"/>
        <v>Não</v>
      </c>
    </row>
    <row r="139" ht="30.0" customHeight="1">
      <c r="A139" s="10" t="s">
        <v>31</v>
      </c>
      <c r="B139" s="47" t="s">
        <v>729</v>
      </c>
      <c r="C139" s="47" t="s">
        <v>730</v>
      </c>
      <c r="D139" s="51">
        <v>2024.0</v>
      </c>
      <c r="F139" s="47" t="s">
        <v>731</v>
      </c>
      <c r="G139" s="47"/>
      <c r="H139" s="10" t="s">
        <v>165</v>
      </c>
      <c r="I139" s="10" t="s">
        <v>166</v>
      </c>
      <c r="J139" s="40" t="str">
        <f t="shared" si="1"/>
        <v>Diferente</v>
      </c>
      <c r="K139" s="47" t="s">
        <v>423</v>
      </c>
      <c r="L139" s="10" t="s">
        <v>652</v>
      </c>
      <c r="M139" s="10" t="s">
        <v>199</v>
      </c>
      <c r="N139" s="40" t="str">
        <f t="shared" si="2"/>
        <v>Sim</v>
      </c>
      <c r="O139" s="59"/>
      <c r="P139" s="55" t="s">
        <v>732</v>
      </c>
    </row>
    <row r="140" ht="30.0" customHeight="1">
      <c r="A140" s="10" t="s">
        <v>31</v>
      </c>
      <c r="B140" s="47" t="s">
        <v>733</v>
      </c>
      <c r="C140" s="47" t="s">
        <v>734</v>
      </c>
      <c r="D140" s="51">
        <v>2024.0</v>
      </c>
      <c r="F140" s="47" t="s">
        <v>735</v>
      </c>
      <c r="G140" s="47"/>
      <c r="H140" s="10" t="s">
        <v>165</v>
      </c>
      <c r="I140" s="10" t="s">
        <v>166</v>
      </c>
      <c r="J140" s="40" t="str">
        <f t="shared" si="1"/>
        <v>Diferente</v>
      </c>
      <c r="K140" s="47" t="s">
        <v>423</v>
      </c>
      <c r="L140" s="10" t="s">
        <v>736</v>
      </c>
      <c r="M140" s="10" t="s">
        <v>199</v>
      </c>
      <c r="N140" s="40" t="str">
        <f t="shared" si="2"/>
        <v>Sim</v>
      </c>
      <c r="O140" s="59"/>
    </row>
    <row r="141" ht="30.0" customHeight="1">
      <c r="A141" s="10" t="s">
        <v>31</v>
      </c>
      <c r="B141" s="47" t="s">
        <v>737</v>
      </c>
      <c r="C141" s="47" t="s">
        <v>738</v>
      </c>
      <c r="D141" s="51">
        <v>2024.0</v>
      </c>
      <c r="F141" s="47" t="s">
        <v>739</v>
      </c>
      <c r="G141" s="47"/>
      <c r="H141" s="10" t="s">
        <v>166</v>
      </c>
      <c r="I141" s="10" t="s">
        <v>165</v>
      </c>
      <c r="J141" s="40" t="str">
        <f t="shared" si="1"/>
        <v>Diferente</v>
      </c>
      <c r="K141" s="47" t="s">
        <v>411</v>
      </c>
      <c r="L141" s="10" t="s">
        <v>407</v>
      </c>
      <c r="M141" s="10" t="s">
        <v>169</v>
      </c>
      <c r="N141" s="40" t="str">
        <f t="shared" si="2"/>
        <v>Sim</v>
      </c>
      <c r="O141" s="59"/>
    </row>
    <row r="142" ht="30.0" customHeight="1">
      <c r="A142" s="10" t="s">
        <v>31</v>
      </c>
      <c r="B142" s="47" t="s">
        <v>740</v>
      </c>
      <c r="C142" s="47" t="s">
        <v>741</v>
      </c>
      <c r="D142" s="51">
        <v>2024.0</v>
      </c>
      <c r="F142" s="47" t="s">
        <v>742</v>
      </c>
      <c r="G142" s="47"/>
      <c r="H142" s="10" t="s">
        <v>166</v>
      </c>
      <c r="I142" s="10" t="s">
        <v>165</v>
      </c>
      <c r="J142" s="40" t="str">
        <f t="shared" si="1"/>
        <v>Diferente</v>
      </c>
      <c r="K142" s="47" t="s">
        <v>411</v>
      </c>
      <c r="L142" s="10" t="s">
        <v>407</v>
      </c>
      <c r="M142" s="10" t="s">
        <v>169</v>
      </c>
      <c r="N142" s="40" t="str">
        <f t="shared" si="2"/>
        <v>Sim</v>
      </c>
      <c r="O142" s="59"/>
    </row>
    <row r="143" ht="30.0" hidden="1" customHeight="1">
      <c r="A143" s="10" t="s">
        <v>31</v>
      </c>
      <c r="B143" s="47" t="s">
        <v>743</v>
      </c>
      <c r="C143" s="47" t="s">
        <v>744</v>
      </c>
      <c r="D143" s="51">
        <v>2024.0</v>
      </c>
      <c r="F143" s="47" t="s">
        <v>745</v>
      </c>
      <c r="G143" s="47"/>
      <c r="H143" s="10" t="s">
        <v>166</v>
      </c>
      <c r="I143" s="10" t="s">
        <v>166</v>
      </c>
      <c r="J143" s="40" t="str">
        <f t="shared" si="1"/>
        <v>Igual</v>
      </c>
      <c r="K143" s="47" t="s">
        <v>411</v>
      </c>
      <c r="L143" s="10" t="s">
        <v>652</v>
      </c>
      <c r="M143" s="10" t="s">
        <v>199</v>
      </c>
      <c r="N143" s="40" t="str">
        <f t="shared" si="2"/>
        <v>Não</v>
      </c>
    </row>
    <row r="144" ht="30.0" customHeight="1">
      <c r="A144" s="10" t="s">
        <v>31</v>
      </c>
      <c r="B144" s="47" t="s">
        <v>746</v>
      </c>
      <c r="C144" s="47" t="s">
        <v>747</v>
      </c>
      <c r="D144" s="51">
        <v>2024.0</v>
      </c>
      <c r="F144" s="47" t="s">
        <v>748</v>
      </c>
      <c r="G144" s="47" t="s">
        <v>749</v>
      </c>
      <c r="H144" s="10" t="s">
        <v>165</v>
      </c>
      <c r="I144" s="10" t="s">
        <v>166</v>
      </c>
      <c r="J144" s="40" t="str">
        <f t="shared" si="1"/>
        <v>Diferente</v>
      </c>
      <c r="K144" s="47" t="s">
        <v>423</v>
      </c>
      <c r="L144" s="10" t="s">
        <v>652</v>
      </c>
      <c r="M144" s="10" t="s">
        <v>199</v>
      </c>
      <c r="N144" s="40" t="str">
        <f t="shared" si="2"/>
        <v>Sim</v>
      </c>
      <c r="O144" s="59"/>
    </row>
    <row r="145" ht="30.0" hidden="1" customHeight="1">
      <c r="A145" s="10" t="s">
        <v>31</v>
      </c>
      <c r="B145" s="47" t="s">
        <v>750</v>
      </c>
      <c r="C145" s="47" t="s">
        <v>751</v>
      </c>
      <c r="D145" s="51">
        <v>2024.0</v>
      </c>
      <c r="F145" s="47" t="s">
        <v>752</v>
      </c>
      <c r="G145" s="47"/>
      <c r="H145" s="10" t="s">
        <v>166</v>
      </c>
      <c r="I145" s="10" t="s">
        <v>166</v>
      </c>
      <c r="J145" s="40" t="str">
        <f t="shared" si="1"/>
        <v>Igual</v>
      </c>
      <c r="K145" s="47" t="s">
        <v>411</v>
      </c>
      <c r="M145" s="10" t="s">
        <v>199</v>
      </c>
      <c r="N145" s="40" t="str">
        <f t="shared" si="2"/>
        <v>Não</v>
      </c>
    </row>
    <row r="146" ht="30.0" customHeight="1">
      <c r="A146" s="10" t="s">
        <v>31</v>
      </c>
      <c r="B146" s="47" t="s">
        <v>753</v>
      </c>
      <c r="C146" s="47" t="s">
        <v>754</v>
      </c>
      <c r="D146" s="51">
        <v>2024.0</v>
      </c>
      <c r="F146" s="47" t="s">
        <v>755</v>
      </c>
      <c r="G146" s="47"/>
      <c r="H146" s="10" t="s">
        <v>166</v>
      </c>
      <c r="I146" s="10" t="s">
        <v>165</v>
      </c>
      <c r="J146" s="40" t="str">
        <f t="shared" si="1"/>
        <v>Diferente</v>
      </c>
      <c r="K146" s="47" t="s">
        <v>411</v>
      </c>
      <c r="L146" s="10" t="s">
        <v>407</v>
      </c>
      <c r="M146" s="10" t="s">
        <v>169</v>
      </c>
      <c r="N146" s="40" t="str">
        <f t="shared" si="2"/>
        <v>Sim</v>
      </c>
      <c r="O146" s="59"/>
    </row>
    <row r="147" ht="30.0" customHeight="1">
      <c r="A147" s="10" t="s">
        <v>31</v>
      </c>
      <c r="B147" s="47" t="s">
        <v>756</v>
      </c>
      <c r="C147" s="47" t="s">
        <v>757</v>
      </c>
      <c r="D147" s="51">
        <v>2024.0</v>
      </c>
      <c r="F147" s="47" t="s">
        <v>758</v>
      </c>
      <c r="G147" s="47"/>
      <c r="H147" s="10" t="s">
        <v>166</v>
      </c>
      <c r="I147" s="10" t="s">
        <v>165</v>
      </c>
      <c r="J147" s="40" t="str">
        <f t="shared" si="1"/>
        <v>Diferente</v>
      </c>
      <c r="K147" s="47" t="s">
        <v>411</v>
      </c>
      <c r="L147" s="10" t="s">
        <v>407</v>
      </c>
      <c r="M147" s="10" t="s">
        <v>169</v>
      </c>
      <c r="N147" s="40" t="str">
        <f t="shared" si="2"/>
        <v>Sim</v>
      </c>
      <c r="O147" s="59"/>
    </row>
    <row r="148" ht="30.0" customHeight="1">
      <c r="A148" s="10" t="s">
        <v>31</v>
      </c>
      <c r="B148" s="47" t="s">
        <v>759</v>
      </c>
      <c r="C148" s="47" t="s">
        <v>760</v>
      </c>
      <c r="D148" s="51">
        <v>2024.0</v>
      </c>
      <c r="F148" s="47" t="s">
        <v>761</v>
      </c>
      <c r="G148" s="47"/>
      <c r="H148" s="10" t="s">
        <v>166</v>
      </c>
      <c r="I148" s="10" t="s">
        <v>165</v>
      </c>
      <c r="J148" s="40" t="str">
        <f t="shared" si="1"/>
        <v>Diferente</v>
      </c>
      <c r="K148" s="47" t="s">
        <v>411</v>
      </c>
      <c r="L148" s="10" t="s">
        <v>407</v>
      </c>
      <c r="M148" s="10" t="s">
        <v>169</v>
      </c>
      <c r="N148" s="40" t="str">
        <f t="shared" si="2"/>
        <v>Sim</v>
      </c>
      <c r="O148" s="59"/>
    </row>
    <row r="149" ht="30.0" customHeight="1">
      <c r="A149" s="10" t="s">
        <v>31</v>
      </c>
      <c r="B149" s="47" t="s">
        <v>762</v>
      </c>
      <c r="C149" s="47" t="s">
        <v>763</v>
      </c>
      <c r="D149" s="51">
        <v>2024.0</v>
      </c>
      <c r="F149" s="47" t="s">
        <v>764</v>
      </c>
      <c r="G149" s="47"/>
      <c r="H149" s="10" t="s">
        <v>166</v>
      </c>
      <c r="I149" s="10" t="s">
        <v>165</v>
      </c>
      <c r="J149" s="40" t="str">
        <f t="shared" si="1"/>
        <v>Diferente</v>
      </c>
      <c r="K149" s="47" t="s">
        <v>411</v>
      </c>
      <c r="L149" s="10" t="s">
        <v>407</v>
      </c>
      <c r="M149" s="10" t="s">
        <v>169</v>
      </c>
      <c r="N149" s="40" t="str">
        <f t="shared" si="2"/>
        <v>Sim</v>
      </c>
      <c r="O149" s="59"/>
    </row>
    <row r="150" ht="30.0" hidden="1" customHeight="1">
      <c r="A150" s="10" t="s">
        <v>31</v>
      </c>
      <c r="B150" s="47" t="s">
        <v>765</v>
      </c>
      <c r="C150" s="47" t="s">
        <v>766</v>
      </c>
      <c r="D150" s="51">
        <v>2024.0</v>
      </c>
      <c r="F150" s="47" t="s">
        <v>767</v>
      </c>
      <c r="G150" s="47"/>
      <c r="H150" s="10" t="s">
        <v>166</v>
      </c>
      <c r="I150" s="10" t="s">
        <v>166</v>
      </c>
      <c r="J150" s="40" t="str">
        <f t="shared" si="1"/>
        <v>Igual</v>
      </c>
      <c r="K150" s="47" t="s">
        <v>406</v>
      </c>
      <c r="M150" s="10" t="s">
        <v>199</v>
      </c>
      <c r="N150" s="40" t="str">
        <f t="shared" si="2"/>
        <v>Não</v>
      </c>
    </row>
    <row r="151" ht="30.0" customHeight="1">
      <c r="A151" s="10" t="s">
        <v>31</v>
      </c>
      <c r="B151" s="47" t="s">
        <v>768</v>
      </c>
      <c r="C151" s="47" t="s">
        <v>769</v>
      </c>
      <c r="D151" s="51">
        <v>2024.0</v>
      </c>
      <c r="F151" s="47" t="s">
        <v>770</v>
      </c>
      <c r="G151" s="47"/>
      <c r="H151" s="10" t="s">
        <v>166</v>
      </c>
      <c r="I151" s="10" t="s">
        <v>165</v>
      </c>
      <c r="J151" s="40" t="str">
        <f t="shared" si="1"/>
        <v>Diferente</v>
      </c>
      <c r="K151" s="47" t="s">
        <v>406</v>
      </c>
      <c r="L151" s="10" t="s">
        <v>407</v>
      </c>
      <c r="M151" s="10" t="s">
        <v>169</v>
      </c>
      <c r="N151" s="40" t="str">
        <f t="shared" si="2"/>
        <v>Sim</v>
      </c>
      <c r="O151" s="59"/>
    </row>
    <row r="152" ht="30.0" hidden="1" customHeight="1">
      <c r="A152" s="10" t="s">
        <v>31</v>
      </c>
      <c r="B152" s="47" t="s">
        <v>771</v>
      </c>
      <c r="C152" s="47" t="s">
        <v>772</v>
      </c>
      <c r="D152" s="51">
        <v>2024.0</v>
      </c>
      <c r="F152" s="47" t="s">
        <v>773</v>
      </c>
      <c r="G152" s="47"/>
      <c r="H152" s="10" t="s">
        <v>166</v>
      </c>
      <c r="I152" s="10" t="s">
        <v>166</v>
      </c>
      <c r="J152" s="40" t="str">
        <f t="shared" si="1"/>
        <v>Igual</v>
      </c>
      <c r="K152" s="47" t="s">
        <v>411</v>
      </c>
      <c r="L152" s="10" t="s">
        <v>445</v>
      </c>
      <c r="M152" s="10" t="s">
        <v>199</v>
      </c>
      <c r="N152" s="40" t="str">
        <f t="shared" si="2"/>
        <v>Não</v>
      </c>
    </row>
    <row r="153" ht="30.0" hidden="1" customHeight="1">
      <c r="A153" s="10" t="s">
        <v>31</v>
      </c>
      <c r="B153" s="47" t="s">
        <v>774</v>
      </c>
      <c r="C153" s="47" t="s">
        <v>775</v>
      </c>
      <c r="D153" s="51">
        <v>2024.0</v>
      </c>
      <c r="F153" s="47" t="s">
        <v>776</v>
      </c>
      <c r="G153" s="47" t="s">
        <v>777</v>
      </c>
      <c r="H153" s="10" t="s">
        <v>166</v>
      </c>
      <c r="I153" s="10" t="s">
        <v>166</v>
      </c>
      <c r="J153" s="40" t="str">
        <f t="shared" si="1"/>
        <v>Igual</v>
      </c>
      <c r="K153" s="47" t="s">
        <v>411</v>
      </c>
      <c r="L153" s="10" t="s">
        <v>429</v>
      </c>
      <c r="M153" s="10" t="s">
        <v>199</v>
      </c>
      <c r="N153" s="40" t="str">
        <f t="shared" si="2"/>
        <v>Não</v>
      </c>
    </row>
    <row r="154" ht="30.0" hidden="1" customHeight="1">
      <c r="A154" s="10" t="s">
        <v>31</v>
      </c>
      <c r="B154" s="47" t="s">
        <v>778</v>
      </c>
      <c r="C154" s="47" t="s">
        <v>779</v>
      </c>
      <c r="D154" s="51">
        <v>2024.0</v>
      </c>
      <c r="F154" s="47" t="s">
        <v>780</v>
      </c>
      <c r="G154" s="47" t="s">
        <v>781</v>
      </c>
      <c r="H154" s="10" t="s">
        <v>166</v>
      </c>
      <c r="I154" s="10" t="s">
        <v>166</v>
      </c>
      <c r="J154" s="40" t="str">
        <f t="shared" si="1"/>
        <v>Igual</v>
      </c>
      <c r="K154" s="47" t="s">
        <v>411</v>
      </c>
      <c r="L154" s="10" t="s">
        <v>429</v>
      </c>
      <c r="M154" s="10" t="s">
        <v>199</v>
      </c>
      <c r="N154" s="40" t="str">
        <f t="shared" si="2"/>
        <v>Não</v>
      </c>
    </row>
    <row r="155" ht="30.0" customHeight="1">
      <c r="A155" s="10" t="s">
        <v>31</v>
      </c>
      <c r="B155" s="47" t="s">
        <v>782</v>
      </c>
      <c r="C155" s="47" t="s">
        <v>783</v>
      </c>
      <c r="D155" s="51">
        <v>2024.0</v>
      </c>
      <c r="F155" s="47" t="s">
        <v>784</v>
      </c>
      <c r="G155" s="47"/>
      <c r="H155" s="10" t="s">
        <v>166</v>
      </c>
      <c r="I155" s="10" t="s">
        <v>165</v>
      </c>
      <c r="J155" s="40" t="str">
        <f t="shared" si="1"/>
        <v>Diferente</v>
      </c>
      <c r="K155" s="47" t="s">
        <v>411</v>
      </c>
      <c r="L155" s="10" t="s">
        <v>407</v>
      </c>
      <c r="M155" s="10" t="s">
        <v>169</v>
      </c>
      <c r="N155" s="40" t="str">
        <f t="shared" si="2"/>
        <v>Sim</v>
      </c>
      <c r="O155" s="59"/>
    </row>
    <row r="156" ht="30.0" hidden="1" customHeight="1">
      <c r="A156" s="10" t="s">
        <v>31</v>
      </c>
      <c r="B156" s="47" t="s">
        <v>785</v>
      </c>
      <c r="C156" s="47" t="s">
        <v>786</v>
      </c>
      <c r="D156" s="51">
        <v>2024.0</v>
      </c>
      <c r="F156" s="47" t="s">
        <v>787</v>
      </c>
      <c r="G156" s="47"/>
      <c r="H156" s="10" t="s">
        <v>166</v>
      </c>
      <c r="I156" s="10" t="s">
        <v>166</v>
      </c>
      <c r="J156" s="40" t="str">
        <f t="shared" si="1"/>
        <v>Igual</v>
      </c>
      <c r="K156" s="47" t="s">
        <v>411</v>
      </c>
      <c r="L156" s="10" t="s">
        <v>429</v>
      </c>
      <c r="M156" s="10" t="s">
        <v>199</v>
      </c>
      <c r="N156" s="40" t="str">
        <f t="shared" si="2"/>
        <v>Não</v>
      </c>
    </row>
    <row r="157" ht="30.0" hidden="1" customHeight="1">
      <c r="A157" s="10" t="s">
        <v>31</v>
      </c>
      <c r="B157" s="47" t="s">
        <v>788</v>
      </c>
      <c r="C157" s="47" t="s">
        <v>789</v>
      </c>
      <c r="D157" s="51">
        <v>2024.0</v>
      </c>
      <c r="F157" s="47" t="s">
        <v>790</v>
      </c>
      <c r="G157" s="47"/>
      <c r="H157" s="10" t="s">
        <v>166</v>
      </c>
      <c r="I157" s="10" t="s">
        <v>166</v>
      </c>
      <c r="J157" s="40" t="str">
        <f t="shared" si="1"/>
        <v>Igual</v>
      </c>
      <c r="K157" s="47" t="s">
        <v>411</v>
      </c>
      <c r="L157" s="10" t="s">
        <v>429</v>
      </c>
      <c r="M157" s="10" t="s">
        <v>199</v>
      </c>
      <c r="N157" s="40" t="str">
        <f t="shared" si="2"/>
        <v>Não</v>
      </c>
    </row>
    <row r="158" ht="30.0" hidden="1" customHeight="1">
      <c r="A158" s="10" t="s">
        <v>31</v>
      </c>
      <c r="B158" s="47" t="s">
        <v>791</v>
      </c>
      <c r="C158" s="47" t="s">
        <v>792</v>
      </c>
      <c r="D158" s="51">
        <v>2024.0</v>
      </c>
      <c r="F158" s="47" t="s">
        <v>793</v>
      </c>
      <c r="G158" s="47"/>
      <c r="H158" s="10" t="s">
        <v>166</v>
      </c>
      <c r="I158" s="10" t="s">
        <v>166</v>
      </c>
      <c r="J158" s="40" t="str">
        <f t="shared" si="1"/>
        <v>Igual</v>
      </c>
      <c r="K158" s="47" t="s">
        <v>406</v>
      </c>
      <c r="L158" s="10" t="s">
        <v>535</v>
      </c>
      <c r="M158" s="10" t="s">
        <v>199</v>
      </c>
      <c r="N158" s="40" t="str">
        <f t="shared" si="2"/>
        <v>Não</v>
      </c>
    </row>
    <row r="159" ht="30.0" hidden="1" customHeight="1">
      <c r="A159" s="10" t="s">
        <v>31</v>
      </c>
      <c r="B159" s="47" t="s">
        <v>794</v>
      </c>
      <c r="C159" s="47" t="s">
        <v>795</v>
      </c>
      <c r="D159" s="51">
        <v>2024.0</v>
      </c>
      <c r="F159" s="47" t="s">
        <v>796</v>
      </c>
      <c r="G159" s="47" t="s">
        <v>797</v>
      </c>
      <c r="H159" s="10" t="s">
        <v>166</v>
      </c>
      <c r="I159" s="10" t="s">
        <v>166</v>
      </c>
      <c r="J159" s="40" t="str">
        <f t="shared" si="1"/>
        <v>Igual</v>
      </c>
      <c r="K159" s="47" t="s">
        <v>406</v>
      </c>
      <c r="L159" s="10" t="s">
        <v>429</v>
      </c>
      <c r="M159" s="10" t="s">
        <v>199</v>
      </c>
      <c r="N159" s="40" t="str">
        <f t="shared" si="2"/>
        <v>Não</v>
      </c>
    </row>
    <row r="160" ht="30.0" hidden="1" customHeight="1">
      <c r="A160" s="10" t="s">
        <v>31</v>
      </c>
      <c r="B160" s="47" t="s">
        <v>798</v>
      </c>
      <c r="C160" s="47" t="s">
        <v>799</v>
      </c>
      <c r="D160" s="51">
        <v>2024.0</v>
      </c>
      <c r="F160" s="47" t="s">
        <v>800</v>
      </c>
      <c r="G160" s="47"/>
      <c r="H160" s="10" t="s">
        <v>166</v>
      </c>
      <c r="I160" s="10" t="s">
        <v>166</v>
      </c>
      <c r="J160" s="40" t="str">
        <f t="shared" si="1"/>
        <v>Igual</v>
      </c>
      <c r="K160" s="47" t="s">
        <v>400</v>
      </c>
      <c r="L160" s="10" t="s">
        <v>429</v>
      </c>
      <c r="M160" s="10" t="s">
        <v>199</v>
      </c>
      <c r="N160" s="40" t="str">
        <f t="shared" si="2"/>
        <v>Não</v>
      </c>
    </row>
    <row r="161" ht="30.0" hidden="1" customHeight="1">
      <c r="A161" s="10" t="s">
        <v>31</v>
      </c>
      <c r="B161" s="47" t="s">
        <v>801</v>
      </c>
      <c r="C161" s="47" t="s">
        <v>802</v>
      </c>
      <c r="D161" s="51">
        <v>2024.0</v>
      </c>
      <c r="F161" s="47" t="s">
        <v>803</v>
      </c>
      <c r="G161" s="47"/>
      <c r="H161" s="10" t="s">
        <v>166</v>
      </c>
      <c r="I161" s="10" t="s">
        <v>166</v>
      </c>
      <c r="J161" s="40" t="str">
        <f t="shared" si="1"/>
        <v>Igual</v>
      </c>
      <c r="K161" s="47" t="s">
        <v>411</v>
      </c>
      <c r="L161" s="10" t="s">
        <v>445</v>
      </c>
      <c r="M161" s="10" t="s">
        <v>199</v>
      </c>
      <c r="N161" s="40" t="str">
        <f t="shared" si="2"/>
        <v>Não</v>
      </c>
    </row>
    <row r="162" ht="30.0" hidden="1" customHeight="1">
      <c r="A162" s="10" t="s">
        <v>31</v>
      </c>
      <c r="B162" s="47" t="s">
        <v>804</v>
      </c>
      <c r="C162" s="47" t="s">
        <v>805</v>
      </c>
      <c r="D162" s="51">
        <v>2024.0</v>
      </c>
      <c r="F162" s="47" t="s">
        <v>806</v>
      </c>
      <c r="G162" s="47"/>
      <c r="H162" s="10" t="s">
        <v>166</v>
      </c>
      <c r="I162" s="10" t="s">
        <v>166</v>
      </c>
      <c r="J162" s="40" t="str">
        <f t="shared" si="1"/>
        <v>Igual</v>
      </c>
      <c r="K162" s="47" t="s">
        <v>411</v>
      </c>
      <c r="L162" s="10" t="s">
        <v>429</v>
      </c>
      <c r="M162" s="10" t="s">
        <v>199</v>
      </c>
      <c r="N162" s="40" t="str">
        <f t="shared" si="2"/>
        <v>Não</v>
      </c>
    </row>
    <row r="163" ht="30.0" hidden="1" customHeight="1">
      <c r="A163" s="10" t="s">
        <v>31</v>
      </c>
      <c r="B163" s="47" t="s">
        <v>807</v>
      </c>
      <c r="C163" s="47" t="s">
        <v>808</v>
      </c>
      <c r="D163" s="51">
        <v>2024.0</v>
      </c>
      <c r="F163" s="47" t="s">
        <v>809</v>
      </c>
      <c r="G163" s="47"/>
      <c r="H163" s="10" t="s">
        <v>166</v>
      </c>
      <c r="I163" s="10" t="s">
        <v>166</v>
      </c>
      <c r="J163" s="40" t="str">
        <f t="shared" si="1"/>
        <v>Igual</v>
      </c>
      <c r="K163" s="47" t="s">
        <v>411</v>
      </c>
      <c r="L163" s="10" t="s">
        <v>523</v>
      </c>
      <c r="M163" s="10" t="s">
        <v>199</v>
      </c>
      <c r="N163" s="40" t="str">
        <f t="shared" si="2"/>
        <v>Não</v>
      </c>
    </row>
    <row r="164" ht="30.0" hidden="1" customHeight="1">
      <c r="A164" s="10" t="s">
        <v>31</v>
      </c>
      <c r="B164" s="47" t="s">
        <v>810</v>
      </c>
      <c r="C164" s="47" t="s">
        <v>811</v>
      </c>
      <c r="D164" s="51">
        <v>2024.0</v>
      </c>
      <c r="F164" s="47" t="s">
        <v>812</v>
      </c>
      <c r="G164" s="47"/>
      <c r="H164" s="10" t="s">
        <v>166</v>
      </c>
      <c r="I164" s="10" t="s">
        <v>166</v>
      </c>
      <c r="J164" s="40" t="str">
        <f t="shared" si="1"/>
        <v>Igual</v>
      </c>
      <c r="K164" s="47" t="s">
        <v>411</v>
      </c>
      <c r="L164" s="10" t="s">
        <v>429</v>
      </c>
      <c r="M164" s="10" t="s">
        <v>199</v>
      </c>
      <c r="N164" s="40" t="str">
        <f t="shared" si="2"/>
        <v>Não</v>
      </c>
    </row>
    <row r="165" ht="30.0" hidden="1" customHeight="1">
      <c r="A165" s="10" t="s">
        <v>31</v>
      </c>
      <c r="B165" s="47" t="s">
        <v>813</v>
      </c>
      <c r="C165" s="47" t="s">
        <v>814</v>
      </c>
      <c r="D165" s="51">
        <v>2024.0</v>
      </c>
      <c r="F165" s="47" t="s">
        <v>815</v>
      </c>
      <c r="G165" s="47"/>
      <c r="H165" s="10" t="s">
        <v>166</v>
      </c>
      <c r="I165" s="10" t="s">
        <v>166</v>
      </c>
      <c r="J165" s="40" t="str">
        <f t="shared" si="1"/>
        <v>Igual</v>
      </c>
      <c r="K165" s="47" t="s">
        <v>411</v>
      </c>
      <c r="L165" s="10" t="s">
        <v>429</v>
      </c>
      <c r="M165" s="10" t="s">
        <v>199</v>
      </c>
      <c r="N165" s="40" t="str">
        <f t="shared" si="2"/>
        <v>Não</v>
      </c>
    </row>
    <row r="166" ht="30.0" hidden="1" customHeight="1">
      <c r="A166" s="10" t="s">
        <v>31</v>
      </c>
      <c r="B166" s="47" t="s">
        <v>816</v>
      </c>
      <c r="C166" s="47" t="s">
        <v>817</v>
      </c>
      <c r="D166" s="51">
        <v>2024.0</v>
      </c>
      <c r="F166" s="47" t="s">
        <v>818</v>
      </c>
      <c r="G166" s="47"/>
      <c r="H166" s="10" t="s">
        <v>166</v>
      </c>
      <c r="I166" s="10" t="s">
        <v>166</v>
      </c>
      <c r="J166" s="40" t="str">
        <f t="shared" si="1"/>
        <v>Igual</v>
      </c>
      <c r="K166" s="47" t="s">
        <v>400</v>
      </c>
      <c r="L166" s="10" t="s">
        <v>419</v>
      </c>
      <c r="M166" s="10" t="s">
        <v>199</v>
      </c>
      <c r="N166" s="40" t="str">
        <f t="shared" si="2"/>
        <v>Não</v>
      </c>
    </row>
    <row r="167" ht="30.0" customHeight="1">
      <c r="A167" s="10" t="s">
        <v>31</v>
      </c>
      <c r="B167" s="47" t="s">
        <v>819</v>
      </c>
      <c r="C167" s="47" t="s">
        <v>820</v>
      </c>
      <c r="D167" s="51">
        <v>2024.0</v>
      </c>
      <c r="F167" s="47" t="s">
        <v>821</v>
      </c>
      <c r="G167" s="47" t="s">
        <v>822</v>
      </c>
      <c r="H167" s="10" t="s">
        <v>166</v>
      </c>
      <c r="I167" s="10" t="s">
        <v>165</v>
      </c>
      <c r="J167" s="40" t="str">
        <f t="shared" si="1"/>
        <v>Diferente</v>
      </c>
      <c r="K167" s="47" t="s">
        <v>411</v>
      </c>
      <c r="L167" s="10" t="s">
        <v>407</v>
      </c>
      <c r="M167" s="10" t="s">
        <v>169</v>
      </c>
      <c r="N167" s="40" t="str">
        <f t="shared" si="2"/>
        <v>Sim</v>
      </c>
      <c r="O167" s="59"/>
    </row>
    <row r="168" ht="30.0" hidden="1" customHeight="1">
      <c r="A168" s="10" t="s">
        <v>31</v>
      </c>
      <c r="B168" s="47" t="s">
        <v>823</v>
      </c>
      <c r="C168" s="47" t="s">
        <v>824</v>
      </c>
      <c r="D168" s="51">
        <v>2024.0</v>
      </c>
      <c r="F168" s="47" t="s">
        <v>825</v>
      </c>
      <c r="G168" s="47" t="s">
        <v>826</v>
      </c>
      <c r="H168" s="10" t="s">
        <v>166</v>
      </c>
      <c r="I168" s="10" t="s">
        <v>166</v>
      </c>
      <c r="J168" s="40" t="str">
        <f t="shared" si="1"/>
        <v>Igual</v>
      </c>
      <c r="K168" s="47" t="s">
        <v>400</v>
      </c>
      <c r="L168" s="10" t="s">
        <v>445</v>
      </c>
      <c r="M168" s="10" t="s">
        <v>199</v>
      </c>
      <c r="N168" s="40" t="str">
        <f t="shared" si="2"/>
        <v>Não</v>
      </c>
    </row>
    <row r="169" ht="30.0" hidden="1" customHeight="1">
      <c r="A169" s="10" t="s">
        <v>31</v>
      </c>
      <c r="B169" s="47" t="s">
        <v>827</v>
      </c>
      <c r="C169" s="47" t="s">
        <v>828</v>
      </c>
      <c r="D169" s="51">
        <v>2024.0</v>
      </c>
      <c r="F169" s="47" t="s">
        <v>829</v>
      </c>
      <c r="G169" s="47" t="s">
        <v>830</v>
      </c>
      <c r="H169" s="10" t="s">
        <v>166</v>
      </c>
      <c r="I169" s="10" t="s">
        <v>166</v>
      </c>
      <c r="J169" s="40" t="str">
        <f t="shared" si="1"/>
        <v>Igual</v>
      </c>
      <c r="K169" s="47" t="s">
        <v>411</v>
      </c>
      <c r="L169" s="10" t="s">
        <v>429</v>
      </c>
      <c r="M169" s="10" t="s">
        <v>199</v>
      </c>
      <c r="N169" s="40" t="str">
        <f t="shared" si="2"/>
        <v>Não</v>
      </c>
    </row>
    <row r="170" ht="30.0" hidden="1" customHeight="1">
      <c r="A170" s="10" t="s">
        <v>31</v>
      </c>
      <c r="B170" s="47" t="s">
        <v>831</v>
      </c>
      <c r="C170" s="47" t="s">
        <v>832</v>
      </c>
      <c r="D170" s="51">
        <v>2024.0</v>
      </c>
      <c r="F170" s="47" t="s">
        <v>833</v>
      </c>
      <c r="G170" s="47" t="s">
        <v>834</v>
      </c>
      <c r="H170" s="10" t="s">
        <v>166</v>
      </c>
      <c r="I170" s="10" t="s">
        <v>166</v>
      </c>
      <c r="J170" s="40" t="str">
        <f t="shared" si="1"/>
        <v>Igual</v>
      </c>
      <c r="K170" s="47" t="s">
        <v>400</v>
      </c>
      <c r="L170" s="10" t="s">
        <v>589</v>
      </c>
      <c r="M170" s="10" t="s">
        <v>199</v>
      </c>
      <c r="N170" s="40" t="str">
        <f t="shared" si="2"/>
        <v>Não</v>
      </c>
    </row>
    <row r="171" ht="30.0" hidden="1" customHeight="1">
      <c r="A171" s="10" t="s">
        <v>31</v>
      </c>
      <c r="B171" s="47" t="s">
        <v>835</v>
      </c>
      <c r="C171" s="47" t="s">
        <v>836</v>
      </c>
      <c r="D171" s="51">
        <v>2024.0</v>
      </c>
      <c r="F171" s="47" t="s">
        <v>837</v>
      </c>
      <c r="G171" s="47"/>
      <c r="H171" s="10" t="s">
        <v>166</v>
      </c>
      <c r="I171" s="10" t="s">
        <v>166</v>
      </c>
      <c r="J171" s="40" t="str">
        <f t="shared" si="1"/>
        <v>Igual</v>
      </c>
      <c r="K171" s="47" t="s">
        <v>406</v>
      </c>
      <c r="L171" s="10" t="s">
        <v>429</v>
      </c>
      <c r="M171" s="10" t="s">
        <v>199</v>
      </c>
      <c r="N171" s="40" t="str">
        <f t="shared" si="2"/>
        <v>Não</v>
      </c>
    </row>
    <row r="172" ht="30.0" hidden="1" customHeight="1">
      <c r="A172" s="10" t="s">
        <v>31</v>
      </c>
      <c r="B172" s="47" t="s">
        <v>838</v>
      </c>
      <c r="C172" s="47" t="s">
        <v>839</v>
      </c>
      <c r="D172" s="51">
        <v>2024.0</v>
      </c>
      <c r="F172" s="47" t="s">
        <v>840</v>
      </c>
      <c r="G172" s="47" t="s">
        <v>841</v>
      </c>
      <c r="H172" s="10" t="s">
        <v>166</v>
      </c>
      <c r="I172" s="10" t="s">
        <v>166</v>
      </c>
      <c r="J172" s="40" t="str">
        <f t="shared" si="1"/>
        <v>Igual</v>
      </c>
      <c r="K172" s="47" t="s">
        <v>411</v>
      </c>
      <c r="L172" s="10" t="s">
        <v>429</v>
      </c>
      <c r="M172" s="10" t="s">
        <v>199</v>
      </c>
      <c r="N172" s="40" t="str">
        <f t="shared" si="2"/>
        <v>Não</v>
      </c>
    </row>
    <row r="173" ht="30.0" hidden="1" customHeight="1">
      <c r="A173" s="10" t="s">
        <v>31</v>
      </c>
      <c r="B173" s="47" t="s">
        <v>842</v>
      </c>
      <c r="C173" s="47" t="s">
        <v>843</v>
      </c>
      <c r="D173" s="51">
        <v>2024.0</v>
      </c>
      <c r="F173" s="47" t="s">
        <v>844</v>
      </c>
      <c r="G173" s="47" t="s">
        <v>845</v>
      </c>
      <c r="H173" s="10" t="s">
        <v>166</v>
      </c>
      <c r="I173" s="10" t="s">
        <v>166</v>
      </c>
      <c r="J173" s="40" t="str">
        <f t="shared" si="1"/>
        <v>Igual</v>
      </c>
      <c r="K173" s="47" t="s">
        <v>411</v>
      </c>
      <c r="L173" s="10" t="s">
        <v>429</v>
      </c>
      <c r="M173" s="10" t="s">
        <v>199</v>
      </c>
      <c r="N173" s="40" t="str">
        <f t="shared" si="2"/>
        <v>Não</v>
      </c>
    </row>
    <row r="174" ht="30.0" customHeight="1">
      <c r="A174" s="10" t="s">
        <v>31</v>
      </c>
      <c r="B174" s="47" t="s">
        <v>846</v>
      </c>
      <c r="C174" s="47" t="s">
        <v>847</v>
      </c>
      <c r="D174" s="51">
        <v>2024.0</v>
      </c>
      <c r="F174" s="47" t="s">
        <v>848</v>
      </c>
      <c r="G174" s="47"/>
      <c r="H174" s="10" t="s">
        <v>166</v>
      </c>
      <c r="I174" s="10" t="s">
        <v>165</v>
      </c>
      <c r="J174" s="40" t="str">
        <f t="shared" si="1"/>
        <v>Diferente</v>
      </c>
      <c r="K174" s="47" t="s">
        <v>411</v>
      </c>
      <c r="L174" s="10" t="s">
        <v>407</v>
      </c>
      <c r="M174" s="10" t="s">
        <v>169</v>
      </c>
      <c r="N174" s="40" t="str">
        <f t="shared" si="2"/>
        <v>Sim</v>
      </c>
      <c r="O174" s="59"/>
    </row>
    <row r="175" ht="30.0" customHeight="1">
      <c r="A175" s="10" t="s">
        <v>31</v>
      </c>
      <c r="B175" s="47" t="s">
        <v>849</v>
      </c>
      <c r="C175" s="47" t="s">
        <v>850</v>
      </c>
      <c r="D175" s="51">
        <v>2024.0</v>
      </c>
      <c r="F175" s="47" t="s">
        <v>851</v>
      </c>
      <c r="G175" s="47"/>
      <c r="H175" s="10" t="s">
        <v>166</v>
      </c>
      <c r="I175" s="10" t="s">
        <v>165</v>
      </c>
      <c r="J175" s="40" t="str">
        <f t="shared" si="1"/>
        <v>Diferente</v>
      </c>
      <c r="K175" s="47" t="s">
        <v>411</v>
      </c>
      <c r="L175" s="10" t="s">
        <v>407</v>
      </c>
      <c r="M175" s="10" t="s">
        <v>199</v>
      </c>
      <c r="N175" s="40" t="str">
        <f t="shared" si="2"/>
        <v>Sim</v>
      </c>
      <c r="O175" s="59"/>
    </row>
    <row r="176" ht="30.0" hidden="1" customHeight="1">
      <c r="A176" s="10" t="s">
        <v>31</v>
      </c>
      <c r="B176" s="47" t="s">
        <v>852</v>
      </c>
      <c r="C176" s="47" t="s">
        <v>853</v>
      </c>
      <c r="D176" s="51">
        <v>2024.0</v>
      </c>
      <c r="F176" s="47" t="s">
        <v>854</v>
      </c>
      <c r="G176" s="47"/>
      <c r="H176" s="10" t="s">
        <v>166</v>
      </c>
      <c r="I176" s="10" t="s">
        <v>166</v>
      </c>
      <c r="J176" s="40" t="str">
        <f t="shared" si="1"/>
        <v>Igual</v>
      </c>
      <c r="K176" s="47" t="s">
        <v>411</v>
      </c>
      <c r="L176" s="10" t="s">
        <v>429</v>
      </c>
      <c r="M176" s="10" t="s">
        <v>199</v>
      </c>
      <c r="N176" s="40" t="str">
        <f t="shared" si="2"/>
        <v>Não</v>
      </c>
    </row>
    <row r="177" ht="30.0" customHeight="1">
      <c r="A177" s="10" t="s">
        <v>31</v>
      </c>
      <c r="B177" s="47" t="s">
        <v>855</v>
      </c>
      <c r="C177" s="47" t="s">
        <v>856</v>
      </c>
      <c r="D177" s="51">
        <v>2024.0</v>
      </c>
      <c r="F177" s="47" t="s">
        <v>857</v>
      </c>
      <c r="G177" s="47"/>
      <c r="H177" s="10" t="s">
        <v>166</v>
      </c>
      <c r="I177" s="10" t="s">
        <v>165</v>
      </c>
      <c r="J177" s="40" t="str">
        <f t="shared" si="1"/>
        <v>Diferente</v>
      </c>
      <c r="K177" s="47" t="s">
        <v>411</v>
      </c>
      <c r="L177" s="10" t="s">
        <v>407</v>
      </c>
      <c r="M177" s="10" t="s">
        <v>169</v>
      </c>
      <c r="N177" s="40" t="str">
        <f t="shared" si="2"/>
        <v>Sim</v>
      </c>
      <c r="O177" s="59"/>
    </row>
    <row r="178" ht="30.0" customHeight="1">
      <c r="A178" s="10" t="s">
        <v>31</v>
      </c>
      <c r="B178" s="47" t="s">
        <v>858</v>
      </c>
      <c r="C178" s="47" t="s">
        <v>859</v>
      </c>
      <c r="D178" s="51">
        <v>2024.0</v>
      </c>
      <c r="F178" s="47" t="s">
        <v>860</v>
      </c>
      <c r="G178" s="47" t="s">
        <v>861</v>
      </c>
      <c r="H178" s="10" t="s">
        <v>166</v>
      </c>
      <c r="I178" s="10" t="s">
        <v>165</v>
      </c>
      <c r="J178" s="40" t="str">
        <f t="shared" si="1"/>
        <v>Diferente</v>
      </c>
      <c r="K178" s="47" t="s">
        <v>411</v>
      </c>
      <c r="L178" s="10" t="s">
        <v>407</v>
      </c>
      <c r="M178" s="10" t="s">
        <v>169</v>
      </c>
      <c r="N178" s="40" t="str">
        <f t="shared" si="2"/>
        <v>Sim</v>
      </c>
      <c r="O178" s="59"/>
    </row>
    <row r="179" ht="30.0" customHeight="1">
      <c r="A179" s="10" t="s">
        <v>31</v>
      </c>
      <c r="B179" s="47" t="s">
        <v>862</v>
      </c>
      <c r="C179" s="47" t="s">
        <v>863</v>
      </c>
      <c r="D179" s="51">
        <v>2024.0</v>
      </c>
      <c r="F179" s="47" t="s">
        <v>864</v>
      </c>
      <c r="G179" s="47" t="s">
        <v>865</v>
      </c>
      <c r="H179" s="10" t="s">
        <v>165</v>
      </c>
      <c r="I179" s="10" t="s">
        <v>165</v>
      </c>
      <c r="J179" s="40" t="str">
        <f t="shared" si="1"/>
        <v>Igual</v>
      </c>
      <c r="K179" s="47" t="s">
        <v>423</v>
      </c>
      <c r="L179" s="10" t="s">
        <v>407</v>
      </c>
      <c r="M179" s="10" t="s">
        <v>169</v>
      </c>
      <c r="N179" s="40" t="str">
        <f t="shared" si="2"/>
        <v>Sim</v>
      </c>
      <c r="O179" s="59"/>
    </row>
    <row r="180" ht="30.0" hidden="1" customHeight="1">
      <c r="A180" s="10" t="s">
        <v>31</v>
      </c>
      <c r="B180" s="47" t="s">
        <v>866</v>
      </c>
      <c r="C180" s="47" t="s">
        <v>867</v>
      </c>
      <c r="D180" s="51">
        <v>2024.0</v>
      </c>
      <c r="F180" s="47" t="s">
        <v>868</v>
      </c>
      <c r="G180" s="47" t="s">
        <v>869</v>
      </c>
      <c r="H180" s="10" t="s">
        <v>166</v>
      </c>
      <c r="I180" s="10" t="s">
        <v>166</v>
      </c>
      <c r="J180" s="40" t="str">
        <f t="shared" si="1"/>
        <v>Igual</v>
      </c>
      <c r="K180" s="47" t="s">
        <v>406</v>
      </c>
      <c r="L180" s="10" t="s">
        <v>429</v>
      </c>
      <c r="M180" s="10" t="s">
        <v>199</v>
      </c>
      <c r="N180" s="40" t="str">
        <f t="shared" si="2"/>
        <v>Não</v>
      </c>
    </row>
    <row r="181" ht="30.0" hidden="1" customHeight="1">
      <c r="A181" s="10" t="s">
        <v>31</v>
      </c>
      <c r="B181" s="47" t="s">
        <v>870</v>
      </c>
      <c r="C181" s="47" t="s">
        <v>871</v>
      </c>
      <c r="D181" s="51">
        <v>2024.0</v>
      </c>
      <c r="F181" s="47" t="s">
        <v>872</v>
      </c>
      <c r="G181" s="47" t="s">
        <v>873</v>
      </c>
      <c r="H181" s="10" t="s">
        <v>166</v>
      </c>
      <c r="I181" s="10" t="s">
        <v>166</v>
      </c>
      <c r="J181" s="40" t="str">
        <f t="shared" si="1"/>
        <v>Igual</v>
      </c>
      <c r="K181" s="47" t="s">
        <v>411</v>
      </c>
      <c r="L181" s="10" t="s">
        <v>429</v>
      </c>
      <c r="M181" s="10" t="s">
        <v>199</v>
      </c>
      <c r="N181" s="40" t="str">
        <f t="shared" si="2"/>
        <v>Não</v>
      </c>
    </row>
    <row r="182" ht="30.0" customHeight="1">
      <c r="A182" s="10" t="s">
        <v>31</v>
      </c>
      <c r="B182" s="47" t="s">
        <v>874</v>
      </c>
      <c r="C182" s="47" t="s">
        <v>875</v>
      </c>
      <c r="D182" s="51">
        <v>2024.0</v>
      </c>
      <c r="F182" s="47" t="s">
        <v>876</v>
      </c>
      <c r="G182" s="47" t="s">
        <v>877</v>
      </c>
      <c r="H182" s="10" t="s">
        <v>166</v>
      </c>
      <c r="I182" s="10" t="s">
        <v>165</v>
      </c>
      <c r="J182" s="40" t="str">
        <f t="shared" si="1"/>
        <v>Diferente</v>
      </c>
      <c r="K182" s="47" t="s">
        <v>411</v>
      </c>
      <c r="L182" s="10" t="s">
        <v>407</v>
      </c>
      <c r="M182" s="10" t="s">
        <v>169</v>
      </c>
      <c r="N182" s="40" t="str">
        <f t="shared" si="2"/>
        <v>Sim</v>
      </c>
      <c r="O182" s="60"/>
      <c r="P182" s="61" t="s">
        <v>878</v>
      </c>
    </row>
    <row r="183" ht="30.0" customHeight="1">
      <c r="A183" s="10" t="s">
        <v>31</v>
      </c>
      <c r="B183" s="47" t="s">
        <v>879</v>
      </c>
      <c r="C183" s="47" t="s">
        <v>880</v>
      </c>
      <c r="D183" s="51">
        <v>2024.0</v>
      </c>
      <c r="F183" s="47" t="s">
        <v>881</v>
      </c>
      <c r="G183" s="47" t="s">
        <v>882</v>
      </c>
      <c r="H183" s="10" t="s">
        <v>166</v>
      </c>
      <c r="I183" s="10" t="s">
        <v>165</v>
      </c>
      <c r="J183" s="40" t="str">
        <f t="shared" si="1"/>
        <v>Diferente</v>
      </c>
      <c r="K183" s="47" t="s">
        <v>411</v>
      </c>
      <c r="L183" s="10" t="s">
        <v>407</v>
      </c>
      <c r="M183" s="10" t="s">
        <v>169</v>
      </c>
      <c r="N183" s="40" t="str">
        <f t="shared" si="2"/>
        <v>Sim</v>
      </c>
      <c r="O183" s="60"/>
      <c r="P183" s="61" t="s">
        <v>878</v>
      </c>
    </row>
    <row r="184" ht="30.0" hidden="1" customHeight="1">
      <c r="A184" s="10" t="s">
        <v>31</v>
      </c>
      <c r="B184" s="47" t="s">
        <v>883</v>
      </c>
      <c r="C184" s="47" t="s">
        <v>884</v>
      </c>
      <c r="D184" s="51">
        <v>2024.0</v>
      </c>
      <c r="F184" s="47" t="s">
        <v>885</v>
      </c>
      <c r="G184" s="47" t="s">
        <v>886</v>
      </c>
      <c r="H184" s="10" t="s">
        <v>166</v>
      </c>
      <c r="I184" s="10" t="s">
        <v>166</v>
      </c>
      <c r="J184" s="40" t="str">
        <f t="shared" si="1"/>
        <v>Igual</v>
      </c>
      <c r="K184" s="47" t="s">
        <v>411</v>
      </c>
      <c r="L184" s="10" t="s">
        <v>429</v>
      </c>
      <c r="M184" s="10" t="s">
        <v>199</v>
      </c>
      <c r="N184" s="40" t="str">
        <f t="shared" si="2"/>
        <v>Não</v>
      </c>
    </row>
    <row r="185" ht="30.0" hidden="1" customHeight="1">
      <c r="A185" s="10" t="s">
        <v>31</v>
      </c>
      <c r="B185" s="47" t="s">
        <v>887</v>
      </c>
      <c r="C185" s="47" t="s">
        <v>888</v>
      </c>
      <c r="D185" s="51">
        <v>2024.0</v>
      </c>
      <c r="F185" s="47" t="s">
        <v>889</v>
      </c>
      <c r="G185" s="47" t="s">
        <v>890</v>
      </c>
      <c r="H185" s="10" t="s">
        <v>166</v>
      </c>
      <c r="I185" s="10" t="s">
        <v>166</v>
      </c>
      <c r="J185" s="40" t="str">
        <f t="shared" si="1"/>
        <v>Igual</v>
      </c>
      <c r="K185" s="47" t="s">
        <v>406</v>
      </c>
      <c r="L185" s="10" t="s">
        <v>429</v>
      </c>
      <c r="M185" s="10" t="s">
        <v>199</v>
      </c>
      <c r="N185" s="40" t="str">
        <f t="shared" si="2"/>
        <v>Não</v>
      </c>
    </row>
    <row r="186" ht="30.0" hidden="1" customHeight="1">
      <c r="A186" s="10" t="s">
        <v>31</v>
      </c>
      <c r="B186" s="47" t="s">
        <v>891</v>
      </c>
      <c r="C186" s="47" t="s">
        <v>892</v>
      </c>
      <c r="D186" s="51">
        <v>2024.0</v>
      </c>
      <c r="F186" s="47" t="s">
        <v>893</v>
      </c>
      <c r="G186" s="47" t="s">
        <v>894</v>
      </c>
      <c r="H186" s="10" t="s">
        <v>166</v>
      </c>
      <c r="I186" s="10" t="s">
        <v>166</v>
      </c>
      <c r="J186" s="40" t="str">
        <f t="shared" si="1"/>
        <v>Igual</v>
      </c>
      <c r="K186" s="47" t="s">
        <v>411</v>
      </c>
      <c r="L186" s="10" t="s">
        <v>429</v>
      </c>
      <c r="M186" s="10" t="s">
        <v>199</v>
      </c>
      <c r="N186" s="40" t="str">
        <f t="shared" si="2"/>
        <v>Não</v>
      </c>
    </row>
    <row r="187" ht="30.0" customHeight="1">
      <c r="A187" s="10" t="s">
        <v>31</v>
      </c>
      <c r="B187" s="47" t="s">
        <v>895</v>
      </c>
      <c r="C187" s="47" t="s">
        <v>896</v>
      </c>
      <c r="D187" s="51">
        <v>2024.0</v>
      </c>
      <c r="F187" s="47" t="s">
        <v>897</v>
      </c>
      <c r="G187" s="47" t="s">
        <v>898</v>
      </c>
      <c r="H187" s="10" t="s">
        <v>166</v>
      </c>
      <c r="I187" s="10" t="s">
        <v>165</v>
      </c>
      <c r="J187" s="40" t="str">
        <f t="shared" si="1"/>
        <v>Diferente</v>
      </c>
      <c r="K187" s="47" t="s">
        <v>411</v>
      </c>
      <c r="L187" s="10" t="s">
        <v>407</v>
      </c>
      <c r="M187" s="10" t="s">
        <v>169</v>
      </c>
      <c r="N187" s="40" t="str">
        <f t="shared" si="2"/>
        <v>Sim</v>
      </c>
      <c r="O187" s="60"/>
      <c r="P187" s="61" t="s">
        <v>170</v>
      </c>
    </row>
    <row r="188" ht="30.0" hidden="1" customHeight="1">
      <c r="A188" s="10" t="s">
        <v>31</v>
      </c>
      <c r="B188" s="47" t="s">
        <v>899</v>
      </c>
      <c r="C188" s="47" t="s">
        <v>900</v>
      </c>
      <c r="D188" s="51">
        <v>2024.0</v>
      </c>
      <c r="F188" s="47" t="s">
        <v>901</v>
      </c>
      <c r="G188" s="47" t="s">
        <v>902</v>
      </c>
      <c r="H188" s="10" t="s">
        <v>166</v>
      </c>
      <c r="I188" s="10" t="s">
        <v>166</v>
      </c>
      <c r="J188" s="40" t="str">
        <f t="shared" si="1"/>
        <v>Igual</v>
      </c>
      <c r="K188" s="47" t="s">
        <v>411</v>
      </c>
      <c r="L188" s="10" t="s">
        <v>429</v>
      </c>
      <c r="M188" s="10" t="s">
        <v>199</v>
      </c>
      <c r="N188" s="40" t="str">
        <f t="shared" si="2"/>
        <v>Não</v>
      </c>
    </row>
    <row r="189" ht="30.0" customHeight="1">
      <c r="A189" s="10" t="s">
        <v>31</v>
      </c>
      <c r="B189" s="47" t="s">
        <v>903</v>
      </c>
      <c r="C189" s="47" t="s">
        <v>904</v>
      </c>
      <c r="D189" s="51">
        <v>2024.0</v>
      </c>
      <c r="F189" s="47" t="s">
        <v>905</v>
      </c>
      <c r="G189" s="47" t="s">
        <v>906</v>
      </c>
      <c r="H189" s="10" t="s">
        <v>166</v>
      </c>
      <c r="I189" s="10" t="s">
        <v>165</v>
      </c>
      <c r="J189" s="40" t="str">
        <f t="shared" si="1"/>
        <v>Diferente</v>
      </c>
      <c r="K189" s="47" t="s">
        <v>411</v>
      </c>
      <c r="L189" s="10" t="s">
        <v>407</v>
      </c>
      <c r="M189" s="10" t="s">
        <v>169</v>
      </c>
      <c r="N189" s="40" t="str">
        <f t="shared" si="2"/>
        <v>Sim</v>
      </c>
      <c r="O189" s="60"/>
      <c r="P189" s="61" t="s">
        <v>170</v>
      </c>
    </row>
    <row r="190" ht="30.0" hidden="1" customHeight="1">
      <c r="A190" s="10" t="s">
        <v>31</v>
      </c>
      <c r="B190" s="47" t="s">
        <v>907</v>
      </c>
      <c r="C190" s="47" t="s">
        <v>908</v>
      </c>
      <c r="D190" s="51">
        <v>2024.0</v>
      </c>
      <c r="F190" s="47" t="s">
        <v>909</v>
      </c>
      <c r="G190" s="47" t="s">
        <v>910</v>
      </c>
      <c r="H190" s="10" t="s">
        <v>166</v>
      </c>
      <c r="I190" s="10" t="s">
        <v>166</v>
      </c>
      <c r="J190" s="40" t="str">
        <f t="shared" si="1"/>
        <v>Igual</v>
      </c>
      <c r="K190" s="47" t="s">
        <v>411</v>
      </c>
      <c r="L190" s="10" t="s">
        <v>429</v>
      </c>
      <c r="M190" s="10" t="s">
        <v>199</v>
      </c>
      <c r="N190" s="40" t="str">
        <f t="shared" si="2"/>
        <v>Não</v>
      </c>
    </row>
    <row r="191" ht="30.0" hidden="1" customHeight="1">
      <c r="A191" s="10" t="s">
        <v>31</v>
      </c>
      <c r="B191" s="47" t="s">
        <v>911</v>
      </c>
      <c r="C191" s="47" t="s">
        <v>912</v>
      </c>
      <c r="D191" s="51">
        <v>2024.0</v>
      </c>
      <c r="F191" s="47" t="s">
        <v>913</v>
      </c>
      <c r="G191" s="47"/>
      <c r="H191" s="10" t="s">
        <v>166</v>
      </c>
      <c r="I191" s="10" t="s">
        <v>166</v>
      </c>
      <c r="J191" s="40" t="str">
        <f t="shared" si="1"/>
        <v>Igual</v>
      </c>
      <c r="K191" s="47" t="s">
        <v>411</v>
      </c>
      <c r="L191" s="10" t="s">
        <v>429</v>
      </c>
      <c r="M191" s="10" t="s">
        <v>199</v>
      </c>
      <c r="N191" s="40" t="str">
        <f t="shared" si="2"/>
        <v>Não</v>
      </c>
    </row>
    <row r="192" ht="30.0" hidden="1" customHeight="1">
      <c r="A192" s="10" t="s">
        <v>31</v>
      </c>
      <c r="B192" s="47" t="s">
        <v>914</v>
      </c>
      <c r="C192" s="47" t="s">
        <v>915</v>
      </c>
      <c r="D192" s="51">
        <v>2023.0</v>
      </c>
      <c r="F192" s="47" t="s">
        <v>916</v>
      </c>
      <c r="G192" s="47"/>
      <c r="H192" s="10" t="s">
        <v>166</v>
      </c>
      <c r="I192" s="10" t="s">
        <v>166</v>
      </c>
      <c r="J192" s="40" t="str">
        <f t="shared" si="1"/>
        <v>Igual</v>
      </c>
      <c r="K192" s="47" t="s">
        <v>400</v>
      </c>
      <c r="L192" s="10" t="s">
        <v>429</v>
      </c>
      <c r="M192" s="10" t="s">
        <v>199</v>
      </c>
      <c r="N192" s="40" t="str">
        <f t="shared" si="2"/>
        <v>Não</v>
      </c>
    </row>
    <row r="193" ht="30.0" hidden="1" customHeight="1">
      <c r="A193" s="10" t="s">
        <v>31</v>
      </c>
      <c r="B193" s="47" t="s">
        <v>917</v>
      </c>
      <c r="C193" s="47" t="s">
        <v>918</v>
      </c>
      <c r="D193" s="51">
        <v>2023.0</v>
      </c>
      <c r="F193" s="47" t="s">
        <v>919</v>
      </c>
      <c r="G193" s="47"/>
      <c r="H193" s="10" t="s">
        <v>166</v>
      </c>
      <c r="I193" s="10" t="s">
        <v>166</v>
      </c>
      <c r="J193" s="40" t="str">
        <f t="shared" si="1"/>
        <v>Igual</v>
      </c>
      <c r="K193" s="47" t="s">
        <v>411</v>
      </c>
      <c r="L193" s="10" t="s">
        <v>429</v>
      </c>
      <c r="M193" s="10" t="s">
        <v>199</v>
      </c>
      <c r="N193" s="40" t="str">
        <f t="shared" si="2"/>
        <v>Não</v>
      </c>
    </row>
    <row r="194" ht="30.0" hidden="1" customHeight="1">
      <c r="A194" s="10" t="s">
        <v>31</v>
      </c>
      <c r="B194" s="47" t="s">
        <v>920</v>
      </c>
      <c r="C194" s="47" t="s">
        <v>921</v>
      </c>
      <c r="D194" s="51">
        <v>2023.0</v>
      </c>
      <c r="F194" s="47" t="s">
        <v>922</v>
      </c>
      <c r="G194" s="47" t="s">
        <v>923</v>
      </c>
      <c r="H194" s="10" t="s">
        <v>166</v>
      </c>
      <c r="I194" s="10" t="s">
        <v>166</v>
      </c>
      <c r="J194" s="40" t="str">
        <f t="shared" si="1"/>
        <v>Igual</v>
      </c>
      <c r="K194" s="47" t="s">
        <v>411</v>
      </c>
      <c r="L194" s="10" t="s">
        <v>429</v>
      </c>
      <c r="M194" s="10" t="s">
        <v>199</v>
      </c>
      <c r="N194" s="40" t="str">
        <f t="shared" si="2"/>
        <v>Não</v>
      </c>
    </row>
    <row r="195" ht="30.0" customHeight="1">
      <c r="A195" s="10" t="s">
        <v>31</v>
      </c>
      <c r="B195" s="47" t="s">
        <v>924</v>
      </c>
      <c r="C195" s="47" t="s">
        <v>925</v>
      </c>
      <c r="D195" s="51">
        <v>2023.0</v>
      </c>
      <c r="F195" s="47" t="s">
        <v>926</v>
      </c>
      <c r="G195" s="47" t="s">
        <v>927</v>
      </c>
      <c r="H195" s="10" t="s">
        <v>165</v>
      </c>
      <c r="I195" s="10" t="s">
        <v>166</v>
      </c>
      <c r="J195" s="40" t="str">
        <f t="shared" si="1"/>
        <v>Diferente</v>
      </c>
      <c r="K195" s="47" t="s">
        <v>423</v>
      </c>
      <c r="L195" s="10" t="s">
        <v>429</v>
      </c>
      <c r="M195" s="10" t="s">
        <v>199</v>
      </c>
      <c r="N195" s="40" t="str">
        <f t="shared" si="2"/>
        <v>Sim</v>
      </c>
      <c r="O195" s="62"/>
      <c r="P195" s="42" t="s">
        <v>928</v>
      </c>
    </row>
    <row r="196" ht="30.0" hidden="1" customHeight="1">
      <c r="A196" s="10" t="s">
        <v>31</v>
      </c>
      <c r="B196" s="47" t="s">
        <v>929</v>
      </c>
      <c r="C196" s="47" t="s">
        <v>930</v>
      </c>
      <c r="D196" s="51">
        <v>2023.0</v>
      </c>
      <c r="F196" s="47" t="s">
        <v>931</v>
      </c>
      <c r="G196" s="47"/>
      <c r="H196" s="10" t="s">
        <v>166</v>
      </c>
      <c r="I196" s="10" t="s">
        <v>166</v>
      </c>
      <c r="J196" s="40" t="str">
        <f t="shared" si="1"/>
        <v>Igual</v>
      </c>
      <c r="K196" s="47" t="s">
        <v>411</v>
      </c>
      <c r="L196" s="10" t="s">
        <v>429</v>
      </c>
      <c r="M196" s="10" t="s">
        <v>199</v>
      </c>
      <c r="N196" s="40" t="str">
        <f t="shared" si="2"/>
        <v>Não</v>
      </c>
    </row>
    <row r="197" ht="30.0" hidden="1" customHeight="1">
      <c r="A197" s="10" t="s">
        <v>31</v>
      </c>
      <c r="B197" s="47" t="s">
        <v>932</v>
      </c>
      <c r="C197" s="47" t="s">
        <v>237</v>
      </c>
      <c r="D197" s="51">
        <v>2023.0</v>
      </c>
      <c r="F197" s="47" t="s">
        <v>933</v>
      </c>
      <c r="G197" s="47" t="s">
        <v>934</v>
      </c>
      <c r="H197" s="10" t="s">
        <v>166</v>
      </c>
      <c r="I197" s="10" t="s">
        <v>166</v>
      </c>
      <c r="J197" s="40" t="str">
        <f t="shared" si="1"/>
        <v>Igual</v>
      </c>
      <c r="K197" s="47" t="s">
        <v>411</v>
      </c>
      <c r="L197" s="10" t="s">
        <v>535</v>
      </c>
      <c r="M197" s="10" t="s">
        <v>199</v>
      </c>
      <c r="N197" s="40" t="str">
        <f t="shared" si="2"/>
        <v>Não</v>
      </c>
    </row>
    <row r="198" ht="30.0" customHeight="1">
      <c r="A198" s="10" t="s">
        <v>31</v>
      </c>
      <c r="B198" s="47" t="s">
        <v>935</v>
      </c>
      <c r="C198" s="47" t="s">
        <v>936</v>
      </c>
      <c r="D198" s="51">
        <v>2023.0</v>
      </c>
      <c r="F198" s="47" t="s">
        <v>937</v>
      </c>
      <c r="G198" s="47" t="s">
        <v>938</v>
      </c>
      <c r="H198" s="10" t="s">
        <v>165</v>
      </c>
      <c r="I198" s="10" t="s">
        <v>166</v>
      </c>
      <c r="J198" s="40" t="str">
        <f t="shared" si="1"/>
        <v>Diferente</v>
      </c>
      <c r="K198" s="47" t="s">
        <v>423</v>
      </c>
      <c r="L198" s="10" t="s">
        <v>429</v>
      </c>
      <c r="M198" s="10" t="s">
        <v>199</v>
      </c>
      <c r="N198" s="40" t="str">
        <f t="shared" si="2"/>
        <v>Sim</v>
      </c>
      <c r="O198" s="63"/>
      <c r="P198" s="44"/>
    </row>
    <row r="199" ht="30.0" hidden="1" customHeight="1">
      <c r="A199" s="10" t="s">
        <v>31</v>
      </c>
      <c r="B199" s="47" t="s">
        <v>939</v>
      </c>
      <c r="C199" s="47" t="s">
        <v>940</v>
      </c>
      <c r="D199" s="51">
        <v>2023.0</v>
      </c>
      <c r="F199" s="47" t="s">
        <v>941</v>
      </c>
      <c r="G199" s="47" t="s">
        <v>942</v>
      </c>
      <c r="H199" s="10" t="s">
        <v>166</v>
      </c>
      <c r="I199" s="10" t="s">
        <v>166</v>
      </c>
      <c r="J199" s="40" t="str">
        <f t="shared" si="1"/>
        <v>Igual</v>
      </c>
      <c r="K199" s="47" t="s">
        <v>400</v>
      </c>
      <c r="L199" s="10" t="s">
        <v>464</v>
      </c>
      <c r="M199" s="10" t="s">
        <v>199</v>
      </c>
      <c r="N199" s="40" t="str">
        <f t="shared" si="2"/>
        <v>Não</v>
      </c>
    </row>
    <row r="200" ht="30.0" hidden="1" customHeight="1">
      <c r="A200" s="10" t="s">
        <v>31</v>
      </c>
      <c r="B200" s="47" t="s">
        <v>943</v>
      </c>
      <c r="C200" s="47" t="s">
        <v>944</v>
      </c>
      <c r="D200" s="51">
        <v>2023.0</v>
      </c>
      <c r="F200" s="47" t="s">
        <v>945</v>
      </c>
      <c r="G200" s="47"/>
      <c r="H200" s="10" t="s">
        <v>166</v>
      </c>
      <c r="I200" s="10" t="s">
        <v>166</v>
      </c>
      <c r="J200" s="40" t="str">
        <f t="shared" si="1"/>
        <v>Igual</v>
      </c>
      <c r="K200" s="47" t="s">
        <v>400</v>
      </c>
      <c r="L200" s="10" t="s">
        <v>589</v>
      </c>
      <c r="M200" s="10" t="s">
        <v>199</v>
      </c>
      <c r="N200" s="40" t="str">
        <f t="shared" si="2"/>
        <v>Não</v>
      </c>
    </row>
    <row r="201" ht="30.0" customHeight="1">
      <c r="A201" s="10" t="s">
        <v>31</v>
      </c>
      <c r="B201" s="47" t="s">
        <v>946</v>
      </c>
      <c r="C201" s="47" t="s">
        <v>947</v>
      </c>
      <c r="D201" s="51">
        <v>2023.0</v>
      </c>
      <c r="F201" s="47" t="s">
        <v>948</v>
      </c>
      <c r="G201" s="47"/>
      <c r="H201" s="10" t="s">
        <v>166</v>
      </c>
      <c r="I201" s="10" t="s">
        <v>165</v>
      </c>
      <c r="J201" s="40" t="str">
        <f t="shared" si="1"/>
        <v>Diferente</v>
      </c>
      <c r="K201" s="47" t="s">
        <v>411</v>
      </c>
      <c r="L201" s="10" t="s">
        <v>407</v>
      </c>
      <c r="M201" s="10" t="s">
        <v>169</v>
      </c>
      <c r="N201" s="40" t="str">
        <f t="shared" si="2"/>
        <v>Sim</v>
      </c>
      <c r="O201" s="63"/>
      <c r="P201" s="44"/>
    </row>
    <row r="202" ht="30.0" customHeight="1">
      <c r="A202" s="10" t="s">
        <v>31</v>
      </c>
      <c r="B202" s="47" t="s">
        <v>949</v>
      </c>
      <c r="C202" s="47" t="s">
        <v>950</v>
      </c>
      <c r="D202" s="51">
        <v>2023.0</v>
      </c>
      <c r="F202" s="47" t="s">
        <v>951</v>
      </c>
      <c r="G202" s="47"/>
      <c r="H202" s="10" t="s">
        <v>166</v>
      </c>
      <c r="I202" s="10" t="s">
        <v>165</v>
      </c>
      <c r="J202" s="40" t="str">
        <f t="shared" si="1"/>
        <v>Diferente</v>
      </c>
      <c r="K202" s="47" t="s">
        <v>400</v>
      </c>
      <c r="L202" s="10" t="s">
        <v>407</v>
      </c>
      <c r="M202" s="10" t="s">
        <v>169</v>
      </c>
      <c r="N202" s="40" t="str">
        <f t="shared" si="2"/>
        <v>Sim</v>
      </c>
      <c r="O202" s="63"/>
      <c r="P202" s="44"/>
    </row>
    <row r="203" ht="30.0" hidden="1" customHeight="1">
      <c r="A203" s="10" t="s">
        <v>31</v>
      </c>
      <c r="B203" s="47" t="s">
        <v>952</v>
      </c>
      <c r="C203" s="47" t="s">
        <v>953</v>
      </c>
      <c r="D203" s="51">
        <v>2023.0</v>
      </c>
      <c r="F203" s="47" t="s">
        <v>954</v>
      </c>
      <c r="G203" s="47" t="s">
        <v>955</v>
      </c>
      <c r="H203" s="10" t="s">
        <v>166</v>
      </c>
      <c r="I203" s="10" t="s">
        <v>166</v>
      </c>
      <c r="J203" s="40" t="str">
        <f t="shared" si="1"/>
        <v>Igual</v>
      </c>
      <c r="K203" s="47" t="s">
        <v>411</v>
      </c>
      <c r="L203" s="10" t="s">
        <v>956</v>
      </c>
      <c r="M203" s="10" t="s">
        <v>199</v>
      </c>
      <c r="N203" s="40" t="str">
        <f t="shared" si="2"/>
        <v>Não</v>
      </c>
    </row>
    <row r="204" ht="30.0" hidden="1" customHeight="1">
      <c r="A204" s="10" t="s">
        <v>31</v>
      </c>
      <c r="B204" s="47" t="s">
        <v>957</v>
      </c>
      <c r="C204" s="47" t="s">
        <v>958</v>
      </c>
      <c r="D204" s="51">
        <v>2023.0</v>
      </c>
      <c r="F204" s="47" t="s">
        <v>959</v>
      </c>
      <c r="G204" s="47" t="s">
        <v>960</v>
      </c>
      <c r="H204" s="10" t="s">
        <v>166</v>
      </c>
      <c r="I204" s="10" t="s">
        <v>166</v>
      </c>
      <c r="J204" s="40" t="str">
        <f t="shared" si="1"/>
        <v>Igual</v>
      </c>
      <c r="K204" s="47" t="s">
        <v>400</v>
      </c>
      <c r="L204" s="10" t="s">
        <v>956</v>
      </c>
      <c r="M204" s="10" t="s">
        <v>199</v>
      </c>
      <c r="N204" s="40" t="str">
        <f t="shared" si="2"/>
        <v>Não</v>
      </c>
    </row>
    <row r="205" ht="30.0" hidden="1" customHeight="1">
      <c r="A205" s="10" t="s">
        <v>31</v>
      </c>
      <c r="B205" s="47" t="s">
        <v>961</v>
      </c>
      <c r="C205" s="47" t="s">
        <v>962</v>
      </c>
      <c r="D205" s="51">
        <v>2023.0</v>
      </c>
      <c r="F205" s="47" t="s">
        <v>963</v>
      </c>
      <c r="G205" s="47" t="s">
        <v>964</v>
      </c>
      <c r="H205" s="10" t="s">
        <v>166</v>
      </c>
      <c r="I205" s="10" t="s">
        <v>166</v>
      </c>
      <c r="J205" s="40" t="str">
        <f t="shared" si="1"/>
        <v>Igual</v>
      </c>
      <c r="K205" s="47" t="s">
        <v>411</v>
      </c>
      <c r="L205" s="10" t="s">
        <v>956</v>
      </c>
      <c r="M205" s="10" t="s">
        <v>199</v>
      </c>
      <c r="N205" s="40" t="str">
        <f t="shared" si="2"/>
        <v>Não</v>
      </c>
    </row>
    <row r="206" ht="30.0" hidden="1" customHeight="1">
      <c r="A206" s="10" t="s">
        <v>31</v>
      </c>
      <c r="B206" s="47" t="s">
        <v>965</v>
      </c>
      <c r="C206" s="47" t="s">
        <v>966</v>
      </c>
      <c r="D206" s="51">
        <v>2023.0</v>
      </c>
      <c r="F206" s="47" t="s">
        <v>967</v>
      </c>
      <c r="G206" s="47"/>
      <c r="H206" s="10" t="s">
        <v>166</v>
      </c>
      <c r="I206" s="10" t="s">
        <v>166</v>
      </c>
      <c r="J206" s="40" t="str">
        <f t="shared" si="1"/>
        <v>Igual</v>
      </c>
      <c r="K206" s="47" t="s">
        <v>411</v>
      </c>
      <c r="L206" s="10" t="s">
        <v>956</v>
      </c>
      <c r="M206" s="10" t="s">
        <v>199</v>
      </c>
      <c r="N206" s="40" t="str">
        <f t="shared" si="2"/>
        <v>Não</v>
      </c>
    </row>
    <row r="207" ht="30.0" hidden="1" customHeight="1">
      <c r="A207" s="10" t="s">
        <v>31</v>
      </c>
      <c r="B207" s="47" t="s">
        <v>968</v>
      </c>
      <c r="C207" s="47" t="s">
        <v>969</v>
      </c>
      <c r="D207" s="51">
        <v>2023.0</v>
      </c>
      <c r="F207" s="47" t="s">
        <v>970</v>
      </c>
      <c r="G207" s="47"/>
      <c r="H207" s="10" t="s">
        <v>166</v>
      </c>
      <c r="I207" s="10" t="s">
        <v>166</v>
      </c>
      <c r="J207" s="40" t="str">
        <f t="shared" si="1"/>
        <v>Igual</v>
      </c>
      <c r="K207" s="47" t="s">
        <v>411</v>
      </c>
      <c r="L207" s="10" t="s">
        <v>971</v>
      </c>
      <c r="M207" s="10" t="s">
        <v>199</v>
      </c>
      <c r="N207" s="40" t="str">
        <f t="shared" si="2"/>
        <v>Não</v>
      </c>
    </row>
    <row r="208" ht="30.0" customHeight="1">
      <c r="A208" s="10" t="s">
        <v>31</v>
      </c>
      <c r="B208" s="47" t="s">
        <v>972</v>
      </c>
      <c r="C208" s="47" t="s">
        <v>973</v>
      </c>
      <c r="D208" s="51">
        <v>2023.0</v>
      </c>
      <c r="F208" s="47" t="s">
        <v>974</v>
      </c>
      <c r="G208" s="47"/>
      <c r="H208" s="10" t="s">
        <v>166</v>
      </c>
      <c r="I208" s="10" t="s">
        <v>165</v>
      </c>
      <c r="J208" s="40" t="str">
        <f t="shared" si="1"/>
        <v>Diferente</v>
      </c>
      <c r="K208" s="47" t="s">
        <v>411</v>
      </c>
      <c r="L208" s="10" t="s">
        <v>407</v>
      </c>
      <c r="M208" s="10" t="s">
        <v>169</v>
      </c>
      <c r="N208" s="40" t="str">
        <f t="shared" si="2"/>
        <v>Sim</v>
      </c>
      <c r="O208" s="63"/>
      <c r="P208" s="44"/>
    </row>
    <row r="209" ht="30.0" customHeight="1">
      <c r="A209" s="10" t="s">
        <v>31</v>
      </c>
      <c r="B209" s="47" t="s">
        <v>838</v>
      </c>
      <c r="C209" s="47" t="s">
        <v>975</v>
      </c>
      <c r="D209" s="51">
        <v>2023.0</v>
      </c>
      <c r="F209" s="47" t="s">
        <v>976</v>
      </c>
      <c r="G209" s="47"/>
      <c r="H209" s="10" t="s">
        <v>165</v>
      </c>
      <c r="I209" s="10" t="s">
        <v>166</v>
      </c>
      <c r="J209" s="40" t="str">
        <f t="shared" si="1"/>
        <v>Diferente</v>
      </c>
      <c r="K209" s="47" t="s">
        <v>423</v>
      </c>
      <c r="L209" s="10" t="s">
        <v>429</v>
      </c>
      <c r="M209" s="10" t="s">
        <v>199</v>
      </c>
      <c r="N209" s="40" t="str">
        <f t="shared" si="2"/>
        <v>Sim</v>
      </c>
      <c r="O209" s="63"/>
      <c r="P209" s="44"/>
    </row>
    <row r="210" ht="30.0" customHeight="1">
      <c r="A210" s="10" t="s">
        <v>31</v>
      </c>
      <c r="B210" s="47" t="s">
        <v>977</v>
      </c>
      <c r="C210" s="47" t="s">
        <v>978</v>
      </c>
      <c r="D210" s="51">
        <v>2023.0</v>
      </c>
      <c r="F210" s="47" t="s">
        <v>979</v>
      </c>
      <c r="G210" s="47"/>
      <c r="H210" s="10" t="s">
        <v>166</v>
      </c>
      <c r="I210" s="10" t="s">
        <v>165</v>
      </c>
      <c r="J210" s="40" t="str">
        <f t="shared" si="1"/>
        <v>Diferente</v>
      </c>
      <c r="K210" s="47" t="s">
        <v>411</v>
      </c>
      <c r="L210" s="10" t="s">
        <v>407</v>
      </c>
      <c r="M210" s="10" t="s">
        <v>169</v>
      </c>
      <c r="N210" s="40" t="str">
        <f t="shared" si="2"/>
        <v>Sim</v>
      </c>
      <c r="O210" s="63"/>
      <c r="P210" s="44"/>
    </row>
    <row r="211" ht="30.0" customHeight="1">
      <c r="A211" s="10" t="s">
        <v>31</v>
      </c>
      <c r="B211" s="47" t="s">
        <v>980</v>
      </c>
      <c r="C211" s="47" t="s">
        <v>981</v>
      </c>
      <c r="D211" s="51">
        <v>2023.0</v>
      </c>
      <c r="F211" s="47" t="s">
        <v>982</v>
      </c>
      <c r="G211" s="47" t="s">
        <v>983</v>
      </c>
      <c r="H211" s="10" t="s">
        <v>166</v>
      </c>
      <c r="I211" s="10" t="s">
        <v>165</v>
      </c>
      <c r="J211" s="40" t="str">
        <f t="shared" si="1"/>
        <v>Diferente</v>
      </c>
      <c r="K211" s="47" t="s">
        <v>411</v>
      </c>
      <c r="L211" s="10" t="s">
        <v>407</v>
      </c>
      <c r="M211" s="10" t="s">
        <v>169</v>
      </c>
      <c r="N211" s="40" t="str">
        <f t="shared" si="2"/>
        <v>Sim</v>
      </c>
      <c r="O211" s="63"/>
      <c r="P211" s="44"/>
    </row>
    <row r="212" ht="30.0" hidden="1" customHeight="1">
      <c r="A212" s="10" t="s">
        <v>31</v>
      </c>
      <c r="B212" s="47" t="s">
        <v>984</v>
      </c>
      <c r="C212" s="47" t="s">
        <v>985</v>
      </c>
      <c r="D212" s="51">
        <v>2023.0</v>
      </c>
      <c r="F212" s="47" t="s">
        <v>986</v>
      </c>
      <c r="G212" s="47"/>
      <c r="H212" s="10" t="s">
        <v>166</v>
      </c>
      <c r="I212" s="10" t="s">
        <v>166</v>
      </c>
      <c r="J212" s="40" t="str">
        <f t="shared" si="1"/>
        <v>Igual</v>
      </c>
      <c r="K212" s="47" t="s">
        <v>411</v>
      </c>
      <c r="L212" s="10" t="s">
        <v>429</v>
      </c>
      <c r="M212" s="10" t="s">
        <v>199</v>
      </c>
      <c r="N212" s="40" t="str">
        <f t="shared" si="2"/>
        <v>Não</v>
      </c>
    </row>
    <row r="213" ht="30.0" hidden="1" customHeight="1">
      <c r="A213" s="10" t="s">
        <v>31</v>
      </c>
      <c r="B213" s="47" t="s">
        <v>987</v>
      </c>
      <c r="C213" s="47" t="s">
        <v>988</v>
      </c>
      <c r="D213" s="51">
        <v>2023.0</v>
      </c>
      <c r="F213" s="47" t="s">
        <v>989</v>
      </c>
      <c r="G213" s="47"/>
      <c r="H213" s="10" t="s">
        <v>166</v>
      </c>
      <c r="I213" s="10" t="s">
        <v>166</v>
      </c>
      <c r="J213" s="40" t="str">
        <f t="shared" si="1"/>
        <v>Igual</v>
      </c>
      <c r="K213" s="47" t="s">
        <v>411</v>
      </c>
      <c r="L213" s="10" t="s">
        <v>476</v>
      </c>
      <c r="M213" s="10" t="s">
        <v>199</v>
      </c>
      <c r="N213" s="40" t="str">
        <f t="shared" si="2"/>
        <v>Não</v>
      </c>
    </row>
    <row r="214" ht="30.0" hidden="1" customHeight="1">
      <c r="A214" s="10" t="s">
        <v>31</v>
      </c>
      <c r="B214" s="47" t="s">
        <v>990</v>
      </c>
      <c r="C214" s="47" t="s">
        <v>991</v>
      </c>
      <c r="D214" s="51">
        <v>2023.0</v>
      </c>
      <c r="F214" s="47" t="s">
        <v>992</v>
      </c>
      <c r="G214" s="47"/>
      <c r="H214" s="10" t="s">
        <v>166</v>
      </c>
      <c r="I214" s="10" t="s">
        <v>166</v>
      </c>
      <c r="J214" s="40" t="str">
        <f t="shared" si="1"/>
        <v>Igual</v>
      </c>
      <c r="K214" s="47" t="s">
        <v>411</v>
      </c>
      <c r="L214" s="10" t="s">
        <v>476</v>
      </c>
      <c r="M214" s="10" t="s">
        <v>199</v>
      </c>
      <c r="N214" s="40" t="str">
        <f t="shared" si="2"/>
        <v>Não</v>
      </c>
    </row>
    <row r="215" ht="30.0" hidden="1" customHeight="1">
      <c r="A215" s="10" t="s">
        <v>31</v>
      </c>
      <c r="B215" s="47" t="s">
        <v>993</v>
      </c>
      <c r="C215" s="47" t="s">
        <v>994</v>
      </c>
      <c r="D215" s="51">
        <v>2023.0</v>
      </c>
      <c r="F215" s="47" t="s">
        <v>995</v>
      </c>
      <c r="G215" s="47"/>
      <c r="H215" s="10" t="s">
        <v>166</v>
      </c>
      <c r="I215" s="10" t="s">
        <v>166</v>
      </c>
      <c r="J215" s="40" t="str">
        <f t="shared" si="1"/>
        <v>Igual</v>
      </c>
      <c r="K215" s="47" t="s">
        <v>411</v>
      </c>
      <c r="L215" s="10" t="s">
        <v>429</v>
      </c>
      <c r="M215" s="10" t="s">
        <v>199</v>
      </c>
      <c r="N215" s="40" t="str">
        <f t="shared" si="2"/>
        <v>Não</v>
      </c>
    </row>
    <row r="216" ht="30.0" customHeight="1">
      <c r="A216" s="10" t="s">
        <v>31</v>
      </c>
      <c r="B216" s="47" t="s">
        <v>996</v>
      </c>
      <c r="C216" s="47" t="s">
        <v>997</v>
      </c>
      <c r="D216" s="51">
        <v>2023.0</v>
      </c>
      <c r="F216" s="47" t="s">
        <v>998</v>
      </c>
      <c r="G216" s="47"/>
      <c r="H216" s="10" t="s">
        <v>166</v>
      </c>
      <c r="I216" s="10" t="s">
        <v>165</v>
      </c>
      <c r="J216" s="40" t="str">
        <f t="shared" si="1"/>
        <v>Diferente</v>
      </c>
      <c r="K216" s="47" t="s">
        <v>411</v>
      </c>
      <c r="L216" s="10" t="s">
        <v>407</v>
      </c>
      <c r="M216" s="10" t="s">
        <v>169</v>
      </c>
      <c r="N216" s="40" t="str">
        <f t="shared" si="2"/>
        <v>Sim</v>
      </c>
      <c r="O216" s="63"/>
      <c r="P216" s="44"/>
    </row>
    <row r="217" ht="30.0" hidden="1" customHeight="1">
      <c r="A217" s="10" t="s">
        <v>31</v>
      </c>
      <c r="B217" s="47" t="s">
        <v>999</v>
      </c>
      <c r="C217" s="47" t="s">
        <v>1000</v>
      </c>
      <c r="D217" s="51">
        <v>2023.0</v>
      </c>
      <c r="F217" s="47" t="s">
        <v>1001</v>
      </c>
      <c r="G217" s="47"/>
      <c r="H217" s="10" t="s">
        <v>166</v>
      </c>
      <c r="I217" s="10" t="s">
        <v>166</v>
      </c>
      <c r="J217" s="40" t="str">
        <f t="shared" si="1"/>
        <v>Igual</v>
      </c>
      <c r="K217" s="47" t="s">
        <v>411</v>
      </c>
      <c r="L217" s="10" t="s">
        <v>1002</v>
      </c>
      <c r="M217" s="10" t="s">
        <v>199</v>
      </c>
      <c r="N217" s="40" t="str">
        <f t="shared" si="2"/>
        <v>Não</v>
      </c>
    </row>
    <row r="218" ht="30.0" hidden="1" customHeight="1">
      <c r="A218" s="10" t="s">
        <v>31</v>
      </c>
      <c r="B218" s="47" t="s">
        <v>1003</v>
      </c>
      <c r="C218" s="47" t="s">
        <v>1004</v>
      </c>
      <c r="D218" s="51">
        <v>2023.0</v>
      </c>
      <c r="F218" s="47" t="s">
        <v>1005</v>
      </c>
      <c r="G218" s="47" t="s">
        <v>1006</v>
      </c>
      <c r="H218" s="10" t="s">
        <v>166</v>
      </c>
      <c r="I218" s="10" t="s">
        <v>166</v>
      </c>
      <c r="J218" s="40" t="str">
        <f t="shared" si="1"/>
        <v>Igual</v>
      </c>
      <c r="K218" s="47" t="s">
        <v>400</v>
      </c>
      <c r="L218" s="10" t="s">
        <v>464</v>
      </c>
      <c r="M218" s="10" t="s">
        <v>199</v>
      </c>
      <c r="N218" s="40" t="str">
        <f t="shared" si="2"/>
        <v>Não</v>
      </c>
    </row>
    <row r="219" ht="30.0" hidden="1" customHeight="1">
      <c r="A219" s="10" t="s">
        <v>31</v>
      </c>
      <c r="B219" s="47" t="s">
        <v>1007</v>
      </c>
      <c r="C219" s="47" t="s">
        <v>1008</v>
      </c>
      <c r="D219" s="51">
        <v>2023.0</v>
      </c>
      <c r="F219" s="47" t="s">
        <v>1009</v>
      </c>
      <c r="G219" s="47" t="s">
        <v>1010</v>
      </c>
      <c r="H219" s="10" t="s">
        <v>166</v>
      </c>
      <c r="I219" s="10" t="s">
        <v>166</v>
      </c>
      <c r="J219" s="40" t="str">
        <f t="shared" si="1"/>
        <v>Igual</v>
      </c>
      <c r="K219" s="47" t="s">
        <v>400</v>
      </c>
      <c r="L219" s="10" t="s">
        <v>445</v>
      </c>
      <c r="M219" s="10" t="s">
        <v>199</v>
      </c>
      <c r="N219" s="40" t="str">
        <f t="shared" si="2"/>
        <v>Não</v>
      </c>
    </row>
    <row r="220" ht="30.0" hidden="1" customHeight="1">
      <c r="A220" s="10" t="s">
        <v>31</v>
      </c>
      <c r="B220" s="47" t="s">
        <v>1011</v>
      </c>
      <c r="C220" s="47" t="s">
        <v>1012</v>
      </c>
      <c r="D220" s="51">
        <v>2023.0</v>
      </c>
      <c r="F220" s="47" t="s">
        <v>1013</v>
      </c>
      <c r="G220" s="47"/>
      <c r="H220" s="10" t="s">
        <v>166</v>
      </c>
      <c r="I220" s="10" t="s">
        <v>166</v>
      </c>
      <c r="J220" s="40" t="str">
        <f t="shared" si="1"/>
        <v>Igual</v>
      </c>
      <c r="K220" s="47" t="s">
        <v>406</v>
      </c>
      <c r="L220" s="10" t="s">
        <v>445</v>
      </c>
      <c r="M220" s="10" t="s">
        <v>199</v>
      </c>
      <c r="N220" s="40" t="str">
        <f t="shared" si="2"/>
        <v>Não</v>
      </c>
    </row>
    <row r="221" ht="30.0" hidden="1" customHeight="1">
      <c r="A221" s="10" t="s">
        <v>31</v>
      </c>
      <c r="B221" s="47" t="s">
        <v>1014</v>
      </c>
      <c r="C221" s="47" t="s">
        <v>1015</v>
      </c>
      <c r="D221" s="51">
        <v>2023.0</v>
      </c>
      <c r="F221" s="47" t="s">
        <v>1016</v>
      </c>
      <c r="G221" s="47" t="s">
        <v>1017</v>
      </c>
      <c r="H221" s="10" t="s">
        <v>166</v>
      </c>
      <c r="I221" s="10" t="s">
        <v>166</v>
      </c>
      <c r="J221" s="40" t="str">
        <f t="shared" si="1"/>
        <v>Igual</v>
      </c>
      <c r="K221" s="47" t="s">
        <v>406</v>
      </c>
      <c r="M221" s="10" t="s">
        <v>199</v>
      </c>
      <c r="N221" s="40" t="str">
        <f t="shared" si="2"/>
        <v>Não</v>
      </c>
    </row>
    <row r="222" ht="30.0" hidden="1" customHeight="1">
      <c r="A222" s="10" t="s">
        <v>31</v>
      </c>
      <c r="B222" s="47" t="s">
        <v>1018</v>
      </c>
      <c r="C222" s="47" t="s">
        <v>1019</v>
      </c>
      <c r="D222" s="51">
        <v>2023.0</v>
      </c>
      <c r="F222" s="47" t="s">
        <v>1020</v>
      </c>
      <c r="G222" s="47"/>
      <c r="H222" s="10" t="s">
        <v>166</v>
      </c>
      <c r="I222" s="10" t="s">
        <v>166</v>
      </c>
      <c r="J222" s="40" t="str">
        <f t="shared" si="1"/>
        <v>Igual</v>
      </c>
      <c r="K222" s="47" t="s">
        <v>406</v>
      </c>
      <c r="L222" s="10" t="s">
        <v>429</v>
      </c>
      <c r="M222" s="10" t="s">
        <v>199</v>
      </c>
      <c r="N222" s="40" t="str">
        <f t="shared" si="2"/>
        <v>Não</v>
      </c>
    </row>
    <row r="223" ht="30.0" hidden="1" customHeight="1">
      <c r="A223" s="10" t="s">
        <v>31</v>
      </c>
      <c r="B223" s="47" t="s">
        <v>1021</v>
      </c>
      <c r="C223" s="47" t="s">
        <v>1022</v>
      </c>
      <c r="D223" s="51">
        <v>2023.0</v>
      </c>
      <c r="F223" s="47" t="s">
        <v>1023</v>
      </c>
      <c r="G223" s="47" t="s">
        <v>1024</v>
      </c>
      <c r="H223" s="10" t="s">
        <v>166</v>
      </c>
      <c r="I223" s="10" t="s">
        <v>166</v>
      </c>
      <c r="J223" s="40" t="str">
        <f t="shared" si="1"/>
        <v>Igual</v>
      </c>
      <c r="K223" s="47" t="s">
        <v>406</v>
      </c>
      <c r="L223" s="10" t="s">
        <v>429</v>
      </c>
      <c r="M223" s="10" t="s">
        <v>199</v>
      </c>
      <c r="N223" s="40" t="str">
        <f t="shared" si="2"/>
        <v>Não</v>
      </c>
    </row>
    <row r="224" ht="30.0" hidden="1" customHeight="1">
      <c r="A224" s="10" t="s">
        <v>31</v>
      </c>
      <c r="B224" s="47" t="s">
        <v>1025</v>
      </c>
      <c r="C224" s="47" t="s">
        <v>1026</v>
      </c>
      <c r="D224" s="51">
        <v>2022.0</v>
      </c>
      <c r="F224" s="47" t="s">
        <v>1027</v>
      </c>
      <c r="G224" s="47" t="s">
        <v>1028</v>
      </c>
      <c r="H224" s="10" t="s">
        <v>166</v>
      </c>
      <c r="I224" s="10" t="s">
        <v>166</v>
      </c>
      <c r="J224" s="40" t="str">
        <f t="shared" si="1"/>
        <v>Igual</v>
      </c>
      <c r="K224" s="47" t="s">
        <v>406</v>
      </c>
      <c r="L224" s="10" t="s">
        <v>429</v>
      </c>
      <c r="M224" s="10" t="s">
        <v>199</v>
      </c>
      <c r="N224" s="40" t="str">
        <f t="shared" si="2"/>
        <v>Não</v>
      </c>
    </row>
    <row r="225" ht="30.0" hidden="1" customHeight="1">
      <c r="A225" s="10" t="s">
        <v>31</v>
      </c>
      <c r="B225" s="47" t="s">
        <v>1029</v>
      </c>
      <c r="C225" s="47" t="s">
        <v>1030</v>
      </c>
      <c r="D225" s="51">
        <v>2022.0</v>
      </c>
      <c r="F225" s="47" t="s">
        <v>1031</v>
      </c>
      <c r="G225" s="47" t="s">
        <v>1032</v>
      </c>
      <c r="H225" s="10" t="s">
        <v>166</v>
      </c>
      <c r="I225" s="10" t="s">
        <v>166</v>
      </c>
      <c r="J225" s="40" t="str">
        <f t="shared" si="1"/>
        <v>Igual</v>
      </c>
      <c r="K225" s="47" t="s">
        <v>406</v>
      </c>
      <c r="L225" s="10" t="s">
        <v>429</v>
      </c>
      <c r="M225" s="10" t="s">
        <v>199</v>
      </c>
      <c r="N225" s="40" t="str">
        <f t="shared" si="2"/>
        <v>Não</v>
      </c>
    </row>
    <row r="226" ht="30.0" hidden="1" customHeight="1">
      <c r="A226" s="10" t="s">
        <v>31</v>
      </c>
      <c r="B226" s="47" t="s">
        <v>1033</v>
      </c>
      <c r="C226" s="47" t="s">
        <v>1034</v>
      </c>
      <c r="D226" s="51">
        <v>2022.0</v>
      </c>
      <c r="F226" s="47" t="s">
        <v>1035</v>
      </c>
      <c r="G226" s="47"/>
      <c r="H226" s="10" t="s">
        <v>166</v>
      </c>
      <c r="I226" s="10" t="s">
        <v>166</v>
      </c>
      <c r="J226" s="40" t="str">
        <f t="shared" si="1"/>
        <v>Igual</v>
      </c>
      <c r="K226" s="47" t="s">
        <v>411</v>
      </c>
      <c r="L226" s="10" t="s">
        <v>1036</v>
      </c>
      <c r="M226" s="10" t="s">
        <v>199</v>
      </c>
      <c r="N226" s="40" t="str">
        <f t="shared" si="2"/>
        <v>Não</v>
      </c>
    </row>
    <row r="227" ht="30.0" hidden="1" customHeight="1">
      <c r="A227" s="10" t="s">
        <v>31</v>
      </c>
      <c r="B227" s="47" t="s">
        <v>1037</v>
      </c>
      <c r="C227" s="47" t="s">
        <v>1038</v>
      </c>
      <c r="D227" s="51">
        <v>2022.0</v>
      </c>
      <c r="F227" s="47" t="s">
        <v>1039</v>
      </c>
      <c r="G227" s="47" t="s">
        <v>1040</v>
      </c>
      <c r="H227" s="10" t="s">
        <v>166</v>
      </c>
      <c r="I227" s="10" t="s">
        <v>166</v>
      </c>
      <c r="J227" s="40" t="str">
        <f t="shared" si="1"/>
        <v>Igual</v>
      </c>
      <c r="K227" s="47" t="s">
        <v>411</v>
      </c>
      <c r="L227" s="10" t="s">
        <v>523</v>
      </c>
      <c r="M227" s="10" t="s">
        <v>199</v>
      </c>
      <c r="N227" s="40" t="str">
        <f t="shared" si="2"/>
        <v>Não</v>
      </c>
    </row>
    <row r="228" ht="30.0" hidden="1" customHeight="1">
      <c r="A228" s="10" t="s">
        <v>31</v>
      </c>
      <c r="B228" s="47" t="s">
        <v>1041</v>
      </c>
      <c r="C228" s="47" t="s">
        <v>1042</v>
      </c>
      <c r="D228" s="51">
        <v>2022.0</v>
      </c>
      <c r="F228" s="47" t="s">
        <v>1043</v>
      </c>
      <c r="G228" s="47"/>
      <c r="H228" s="10" t="s">
        <v>166</v>
      </c>
      <c r="I228" s="10" t="s">
        <v>166</v>
      </c>
      <c r="J228" s="40" t="str">
        <f t="shared" si="1"/>
        <v>Igual</v>
      </c>
      <c r="K228" s="47" t="s">
        <v>400</v>
      </c>
      <c r="L228" s="10" t="s">
        <v>523</v>
      </c>
      <c r="M228" s="10" t="s">
        <v>199</v>
      </c>
      <c r="N228" s="40" t="str">
        <f t="shared" si="2"/>
        <v>Não</v>
      </c>
    </row>
    <row r="229" ht="30.0" hidden="1" customHeight="1">
      <c r="A229" s="10" t="s">
        <v>31</v>
      </c>
      <c r="B229" s="47" t="s">
        <v>1044</v>
      </c>
      <c r="C229" s="47" t="s">
        <v>1045</v>
      </c>
      <c r="D229" s="51">
        <v>2022.0</v>
      </c>
      <c r="F229" s="47" t="s">
        <v>1046</v>
      </c>
      <c r="G229" s="47"/>
      <c r="H229" s="10" t="s">
        <v>166</v>
      </c>
      <c r="I229" s="10" t="s">
        <v>166</v>
      </c>
      <c r="J229" s="40" t="str">
        <f t="shared" si="1"/>
        <v>Igual</v>
      </c>
      <c r="K229" s="47" t="s">
        <v>406</v>
      </c>
      <c r="L229" s="10" t="s">
        <v>589</v>
      </c>
      <c r="M229" s="10" t="s">
        <v>199</v>
      </c>
      <c r="N229" s="40" t="str">
        <f t="shared" si="2"/>
        <v>Não</v>
      </c>
    </row>
    <row r="230" ht="30.0" hidden="1" customHeight="1">
      <c r="A230" s="10" t="s">
        <v>31</v>
      </c>
      <c r="B230" s="47" t="s">
        <v>1047</v>
      </c>
      <c r="C230" s="47" t="s">
        <v>1048</v>
      </c>
      <c r="D230" s="51">
        <v>2022.0</v>
      </c>
      <c r="F230" s="47" t="s">
        <v>1049</v>
      </c>
      <c r="G230" s="47" t="s">
        <v>1050</v>
      </c>
      <c r="H230" s="10" t="s">
        <v>166</v>
      </c>
      <c r="I230" s="10" t="s">
        <v>166</v>
      </c>
      <c r="J230" s="40" t="str">
        <f t="shared" si="1"/>
        <v>Igual</v>
      </c>
      <c r="K230" s="47" t="s">
        <v>400</v>
      </c>
      <c r="L230" s="10" t="s">
        <v>429</v>
      </c>
      <c r="M230" s="10" t="s">
        <v>199</v>
      </c>
      <c r="N230" s="40" t="str">
        <f t="shared" si="2"/>
        <v>Não</v>
      </c>
    </row>
    <row r="231" ht="30.0" hidden="1" customHeight="1">
      <c r="A231" s="10" t="s">
        <v>31</v>
      </c>
      <c r="B231" s="47" t="s">
        <v>1051</v>
      </c>
      <c r="C231" s="47" t="s">
        <v>1052</v>
      </c>
      <c r="D231" s="51">
        <v>2022.0</v>
      </c>
      <c r="F231" s="47" t="s">
        <v>1053</v>
      </c>
      <c r="G231" s="47"/>
      <c r="H231" s="10" t="s">
        <v>166</v>
      </c>
      <c r="I231" s="10" t="s">
        <v>166</v>
      </c>
      <c r="J231" s="40" t="str">
        <f t="shared" si="1"/>
        <v>Igual</v>
      </c>
      <c r="K231" s="47" t="s">
        <v>400</v>
      </c>
      <c r="L231" s="10" t="s">
        <v>419</v>
      </c>
      <c r="M231" s="10" t="s">
        <v>199</v>
      </c>
      <c r="N231" s="40" t="str">
        <f t="shared" si="2"/>
        <v>Não</v>
      </c>
    </row>
    <row r="232" ht="30.0" hidden="1" customHeight="1">
      <c r="A232" s="10" t="s">
        <v>31</v>
      </c>
      <c r="B232" s="47" t="s">
        <v>1054</v>
      </c>
      <c r="C232" s="47" t="s">
        <v>1055</v>
      </c>
      <c r="D232" s="51">
        <v>2022.0</v>
      </c>
      <c r="F232" s="47" t="s">
        <v>1056</v>
      </c>
      <c r="G232" s="47" t="s">
        <v>1057</v>
      </c>
      <c r="H232" s="10" t="s">
        <v>166</v>
      </c>
      <c r="I232" s="10" t="s">
        <v>166</v>
      </c>
      <c r="J232" s="40" t="str">
        <f t="shared" si="1"/>
        <v>Igual</v>
      </c>
      <c r="K232" s="47" t="s">
        <v>411</v>
      </c>
      <c r="L232" s="10" t="s">
        <v>476</v>
      </c>
      <c r="M232" s="10" t="s">
        <v>199</v>
      </c>
      <c r="N232" s="40" t="str">
        <f t="shared" si="2"/>
        <v>Não</v>
      </c>
    </row>
    <row r="233" ht="30.0" customHeight="1">
      <c r="A233" s="10" t="s">
        <v>31</v>
      </c>
      <c r="B233" s="47" t="s">
        <v>1058</v>
      </c>
      <c r="C233" s="47" t="s">
        <v>1059</v>
      </c>
      <c r="D233" s="51">
        <v>2022.0</v>
      </c>
      <c r="F233" s="47" t="s">
        <v>1060</v>
      </c>
      <c r="G233" s="47"/>
      <c r="H233" s="10" t="s">
        <v>166</v>
      </c>
      <c r="I233" s="10" t="s">
        <v>165</v>
      </c>
      <c r="J233" s="40" t="str">
        <f t="shared" si="1"/>
        <v>Diferente</v>
      </c>
      <c r="K233" s="47" t="s">
        <v>411</v>
      </c>
      <c r="L233" s="10" t="s">
        <v>407</v>
      </c>
      <c r="M233" s="10" t="s">
        <v>169</v>
      </c>
      <c r="N233" s="40" t="str">
        <f t="shared" si="2"/>
        <v>Sim</v>
      </c>
      <c r="O233" s="63"/>
      <c r="P233" s="44"/>
    </row>
    <row r="234" ht="30.0" hidden="1" customHeight="1">
      <c r="A234" s="10" t="s">
        <v>31</v>
      </c>
      <c r="B234" s="47" t="s">
        <v>1061</v>
      </c>
      <c r="C234" s="47" t="s">
        <v>1062</v>
      </c>
      <c r="D234" s="51">
        <v>2022.0</v>
      </c>
      <c r="F234" s="47" t="s">
        <v>1063</v>
      </c>
      <c r="G234" s="47" t="s">
        <v>1064</v>
      </c>
      <c r="H234" s="10" t="s">
        <v>166</v>
      </c>
      <c r="I234" s="10" t="s">
        <v>166</v>
      </c>
      <c r="J234" s="40" t="str">
        <f t="shared" si="1"/>
        <v>Igual</v>
      </c>
      <c r="K234" s="47" t="s">
        <v>406</v>
      </c>
      <c r="L234" s="64" t="s">
        <v>1065</v>
      </c>
      <c r="M234" s="10" t="s">
        <v>199</v>
      </c>
      <c r="N234" s="40" t="str">
        <f t="shared" si="2"/>
        <v>Não</v>
      </c>
    </row>
    <row r="235" ht="30.0" customHeight="1">
      <c r="A235" s="10" t="s">
        <v>31</v>
      </c>
      <c r="B235" s="47" t="s">
        <v>1066</v>
      </c>
      <c r="C235" s="47" t="s">
        <v>1067</v>
      </c>
      <c r="D235" s="51">
        <v>2022.0</v>
      </c>
      <c r="F235" s="47" t="s">
        <v>1068</v>
      </c>
      <c r="G235" s="47"/>
      <c r="H235" s="10" t="s">
        <v>166</v>
      </c>
      <c r="I235" s="10" t="s">
        <v>165</v>
      </c>
      <c r="J235" s="40" t="str">
        <f t="shared" si="1"/>
        <v>Diferente</v>
      </c>
      <c r="K235" s="47" t="s">
        <v>411</v>
      </c>
      <c r="L235" s="10" t="s">
        <v>1069</v>
      </c>
      <c r="M235" s="10" t="s">
        <v>169</v>
      </c>
      <c r="N235" s="40" t="str">
        <f t="shared" si="2"/>
        <v>Sim</v>
      </c>
      <c r="O235" s="63"/>
      <c r="P235" s="44"/>
    </row>
    <row r="236" ht="30.0" customHeight="1">
      <c r="A236" s="10" t="s">
        <v>31</v>
      </c>
      <c r="B236" s="47" t="s">
        <v>1070</v>
      </c>
      <c r="C236" s="47" t="s">
        <v>1071</v>
      </c>
      <c r="D236" s="51">
        <v>2022.0</v>
      </c>
      <c r="F236" s="47" t="s">
        <v>1072</v>
      </c>
      <c r="G236" s="47"/>
      <c r="H236" s="10" t="s">
        <v>165</v>
      </c>
      <c r="I236" s="10" t="s">
        <v>166</v>
      </c>
      <c r="J236" s="40" t="str">
        <f t="shared" si="1"/>
        <v>Diferente</v>
      </c>
      <c r="K236" s="47" t="s">
        <v>423</v>
      </c>
      <c r="L236" s="10" t="s">
        <v>429</v>
      </c>
      <c r="M236" s="10" t="s">
        <v>199</v>
      </c>
      <c r="N236" s="40" t="str">
        <f t="shared" si="2"/>
        <v>Sim</v>
      </c>
      <c r="O236" s="63"/>
      <c r="P236" s="44"/>
    </row>
    <row r="237" ht="30.0" hidden="1" customHeight="1">
      <c r="A237" s="10" t="s">
        <v>31</v>
      </c>
      <c r="B237" s="47" t="s">
        <v>1073</v>
      </c>
      <c r="C237" s="47" t="s">
        <v>1074</v>
      </c>
      <c r="D237" s="51">
        <v>2022.0</v>
      </c>
      <c r="F237" s="47" t="s">
        <v>1075</v>
      </c>
      <c r="G237" s="47"/>
      <c r="H237" s="10" t="s">
        <v>166</v>
      </c>
      <c r="I237" s="10" t="s">
        <v>166</v>
      </c>
      <c r="J237" s="40" t="str">
        <f t="shared" si="1"/>
        <v>Igual</v>
      </c>
      <c r="K237" s="47" t="s">
        <v>411</v>
      </c>
      <c r="L237" s="10" t="s">
        <v>589</v>
      </c>
      <c r="M237" s="10" t="s">
        <v>199</v>
      </c>
      <c r="N237" s="40" t="str">
        <f t="shared" si="2"/>
        <v>Não</v>
      </c>
    </row>
    <row r="238" ht="30.0" customHeight="1">
      <c r="A238" s="10" t="s">
        <v>31</v>
      </c>
      <c r="B238" s="47" t="s">
        <v>1076</v>
      </c>
      <c r="C238" s="47" t="s">
        <v>1077</v>
      </c>
      <c r="D238" s="51">
        <v>2022.0</v>
      </c>
      <c r="F238" s="47" t="s">
        <v>1078</v>
      </c>
      <c r="G238" s="47"/>
      <c r="H238" s="10" t="s">
        <v>166</v>
      </c>
      <c r="I238" s="10" t="s">
        <v>165</v>
      </c>
      <c r="J238" s="40" t="str">
        <f t="shared" si="1"/>
        <v>Diferente</v>
      </c>
      <c r="K238" s="47" t="s">
        <v>411</v>
      </c>
      <c r="L238" s="10" t="s">
        <v>1069</v>
      </c>
      <c r="M238" s="10" t="s">
        <v>169</v>
      </c>
      <c r="N238" s="40" t="str">
        <f t="shared" si="2"/>
        <v>Sim</v>
      </c>
      <c r="O238" s="63"/>
      <c r="P238" s="44"/>
    </row>
    <row r="239" ht="30.0" hidden="1" customHeight="1">
      <c r="A239" s="10" t="s">
        <v>31</v>
      </c>
      <c r="B239" s="47" t="s">
        <v>1079</v>
      </c>
      <c r="C239" s="47" t="s">
        <v>1080</v>
      </c>
      <c r="D239" s="51">
        <v>2022.0</v>
      </c>
      <c r="F239" s="47" t="s">
        <v>1081</v>
      </c>
      <c r="G239" s="47" t="s">
        <v>1082</v>
      </c>
      <c r="H239" s="10" t="s">
        <v>166</v>
      </c>
      <c r="I239" s="10" t="s">
        <v>166</v>
      </c>
      <c r="J239" s="40" t="str">
        <f t="shared" si="1"/>
        <v>Igual</v>
      </c>
      <c r="K239" s="47" t="s">
        <v>406</v>
      </c>
      <c r="L239" s="10" t="s">
        <v>429</v>
      </c>
      <c r="M239" s="10" t="s">
        <v>199</v>
      </c>
      <c r="N239" s="40" t="str">
        <f t="shared" si="2"/>
        <v>Não</v>
      </c>
    </row>
    <row r="240" ht="30.0" customHeight="1">
      <c r="A240" s="10" t="s">
        <v>31</v>
      </c>
      <c r="B240" s="47" t="s">
        <v>1083</v>
      </c>
      <c r="C240" s="47" t="s">
        <v>1084</v>
      </c>
      <c r="D240" s="51">
        <v>2022.0</v>
      </c>
      <c r="F240" s="47" t="s">
        <v>1085</v>
      </c>
      <c r="G240" s="47"/>
      <c r="H240" s="10" t="s">
        <v>165</v>
      </c>
      <c r="I240" s="10" t="s">
        <v>166</v>
      </c>
      <c r="J240" s="40" t="str">
        <f t="shared" si="1"/>
        <v>Diferente</v>
      </c>
      <c r="K240" s="47" t="s">
        <v>423</v>
      </c>
      <c r="L240" s="10" t="s">
        <v>429</v>
      </c>
      <c r="M240" s="10" t="s">
        <v>199</v>
      </c>
      <c r="N240" s="40" t="str">
        <f t="shared" si="2"/>
        <v>Sim</v>
      </c>
      <c r="O240" s="63"/>
      <c r="P240" s="44"/>
    </row>
    <row r="241" ht="30.0" hidden="1" customHeight="1">
      <c r="A241" s="10" t="s">
        <v>31</v>
      </c>
      <c r="B241" s="47" t="s">
        <v>1086</v>
      </c>
      <c r="C241" s="47" t="s">
        <v>1087</v>
      </c>
      <c r="D241" s="51">
        <v>2022.0</v>
      </c>
      <c r="F241" s="47" t="s">
        <v>1088</v>
      </c>
      <c r="G241" s="47"/>
      <c r="H241" s="10" t="s">
        <v>166</v>
      </c>
      <c r="I241" s="10" t="s">
        <v>166</v>
      </c>
      <c r="J241" s="40" t="str">
        <f t="shared" si="1"/>
        <v>Igual</v>
      </c>
      <c r="K241" s="47" t="s">
        <v>411</v>
      </c>
      <c r="L241" s="10" t="s">
        <v>514</v>
      </c>
      <c r="M241" s="10" t="s">
        <v>199</v>
      </c>
      <c r="N241" s="40" t="str">
        <f t="shared" si="2"/>
        <v>Não</v>
      </c>
    </row>
    <row r="242" ht="30.0" customHeight="1">
      <c r="A242" s="10" t="s">
        <v>31</v>
      </c>
      <c r="B242" s="47" t="s">
        <v>1089</v>
      </c>
      <c r="C242" s="47" t="s">
        <v>1090</v>
      </c>
      <c r="D242" s="51">
        <v>2022.0</v>
      </c>
      <c r="F242" s="47" t="s">
        <v>1091</v>
      </c>
      <c r="G242" s="47" t="s">
        <v>1092</v>
      </c>
      <c r="H242" s="10" t="s">
        <v>166</v>
      </c>
      <c r="I242" s="10" t="s">
        <v>165</v>
      </c>
      <c r="J242" s="40" t="str">
        <f t="shared" si="1"/>
        <v>Diferente</v>
      </c>
      <c r="K242" s="47" t="s">
        <v>411</v>
      </c>
      <c r="L242" s="10" t="s">
        <v>1069</v>
      </c>
      <c r="M242" s="10" t="s">
        <v>169</v>
      </c>
      <c r="N242" s="40" t="str">
        <f t="shared" si="2"/>
        <v>Sim</v>
      </c>
      <c r="O242" s="63"/>
      <c r="P242" s="44"/>
    </row>
    <row r="243" ht="30.0" hidden="1" customHeight="1">
      <c r="A243" s="10" t="s">
        <v>31</v>
      </c>
      <c r="B243" s="47" t="s">
        <v>1093</v>
      </c>
      <c r="C243" s="47" t="s">
        <v>1094</v>
      </c>
      <c r="D243" s="51">
        <v>2022.0</v>
      </c>
      <c r="F243" s="47" t="s">
        <v>1095</v>
      </c>
      <c r="G243" s="47" t="s">
        <v>1096</v>
      </c>
      <c r="H243" s="10" t="s">
        <v>166</v>
      </c>
      <c r="I243" s="10" t="s">
        <v>166</v>
      </c>
      <c r="J243" s="40" t="str">
        <f t="shared" si="1"/>
        <v>Igual</v>
      </c>
      <c r="K243" s="47" t="s">
        <v>400</v>
      </c>
      <c r="L243" s="10" t="s">
        <v>1097</v>
      </c>
      <c r="M243" s="10" t="s">
        <v>199</v>
      </c>
      <c r="N243" s="40" t="str">
        <f t="shared" si="2"/>
        <v>Não</v>
      </c>
    </row>
    <row r="244" ht="30.0" hidden="1" customHeight="1">
      <c r="A244" s="10" t="s">
        <v>31</v>
      </c>
      <c r="B244" s="47" t="s">
        <v>1098</v>
      </c>
      <c r="C244" s="47" t="s">
        <v>1099</v>
      </c>
      <c r="D244" s="51">
        <v>2022.0</v>
      </c>
      <c r="F244" s="47" t="s">
        <v>1100</v>
      </c>
      <c r="G244" s="47"/>
      <c r="H244" s="10" t="s">
        <v>166</v>
      </c>
      <c r="I244" s="10" t="s">
        <v>166</v>
      </c>
      <c r="J244" s="40" t="str">
        <f t="shared" si="1"/>
        <v>Igual</v>
      </c>
      <c r="K244" s="47" t="s">
        <v>400</v>
      </c>
      <c r="L244" s="10" t="s">
        <v>429</v>
      </c>
      <c r="M244" s="10" t="s">
        <v>199</v>
      </c>
      <c r="N244" s="40" t="str">
        <f t="shared" si="2"/>
        <v>Não</v>
      </c>
    </row>
    <row r="245" ht="30.0" customHeight="1">
      <c r="A245" s="10" t="s">
        <v>31</v>
      </c>
      <c r="B245" s="47" t="s">
        <v>1101</v>
      </c>
      <c r="C245" s="47" t="s">
        <v>1102</v>
      </c>
      <c r="D245" s="51">
        <v>2022.0</v>
      </c>
      <c r="F245" s="47" t="s">
        <v>1103</v>
      </c>
      <c r="G245" s="47"/>
      <c r="H245" s="10" t="s">
        <v>165</v>
      </c>
      <c r="I245" s="10" t="s">
        <v>166</v>
      </c>
      <c r="J245" s="40" t="str">
        <f t="shared" si="1"/>
        <v>Diferente</v>
      </c>
      <c r="K245" s="47" t="s">
        <v>423</v>
      </c>
      <c r="M245" s="10" t="s">
        <v>199</v>
      </c>
      <c r="N245" s="40" t="str">
        <f t="shared" si="2"/>
        <v>Sim</v>
      </c>
      <c r="O245" s="62"/>
      <c r="P245" s="44"/>
    </row>
    <row r="246" ht="30.0" customHeight="1">
      <c r="A246" s="10" t="s">
        <v>31</v>
      </c>
      <c r="B246" s="47" t="s">
        <v>1104</v>
      </c>
      <c r="C246" s="47" t="s">
        <v>1105</v>
      </c>
      <c r="D246" s="51">
        <v>2022.0</v>
      </c>
      <c r="F246" s="47" t="s">
        <v>1106</v>
      </c>
      <c r="G246" s="47" t="s">
        <v>1107</v>
      </c>
      <c r="H246" s="10" t="s">
        <v>166</v>
      </c>
      <c r="I246" s="10" t="s">
        <v>165</v>
      </c>
      <c r="J246" s="40" t="str">
        <f t="shared" si="1"/>
        <v>Diferente</v>
      </c>
      <c r="K246" s="47" t="s">
        <v>411</v>
      </c>
      <c r="L246" s="10" t="s">
        <v>1069</v>
      </c>
      <c r="M246" s="10" t="s">
        <v>169</v>
      </c>
      <c r="N246" s="40" t="str">
        <f t="shared" si="2"/>
        <v>Sim</v>
      </c>
      <c r="O246" s="62"/>
      <c r="P246" s="44"/>
    </row>
    <row r="247" ht="30.0" hidden="1" customHeight="1">
      <c r="A247" s="10" t="s">
        <v>31</v>
      </c>
      <c r="B247" s="47" t="s">
        <v>1108</v>
      </c>
      <c r="C247" s="47" t="s">
        <v>1109</v>
      </c>
      <c r="D247" s="51">
        <v>2021.0</v>
      </c>
      <c r="F247" s="47" t="s">
        <v>1110</v>
      </c>
      <c r="G247" s="47"/>
      <c r="H247" s="10" t="s">
        <v>166</v>
      </c>
      <c r="I247" s="10" t="s">
        <v>166</v>
      </c>
      <c r="J247" s="40" t="str">
        <f t="shared" si="1"/>
        <v>Igual</v>
      </c>
      <c r="K247" s="47" t="s">
        <v>411</v>
      </c>
      <c r="L247" s="10" t="s">
        <v>1111</v>
      </c>
      <c r="M247" s="10" t="s">
        <v>199</v>
      </c>
      <c r="N247" s="40" t="str">
        <f t="shared" si="2"/>
        <v>Não</v>
      </c>
    </row>
    <row r="248" ht="30.0" hidden="1" customHeight="1">
      <c r="A248" s="10" t="s">
        <v>31</v>
      </c>
      <c r="B248" s="47" t="s">
        <v>1112</v>
      </c>
      <c r="C248" s="47" t="s">
        <v>1113</v>
      </c>
      <c r="D248" s="51">
        <v>2021.0</v>
      </c>
      <c r="F248" s="47" t="s">
        <v>1114</v>
      </c>
      <c r="G248" s="47" t="s">
        <v>1115</v>
      </c>
      <c r="H248" s="10" t="s">
        <v>166</v>
      </c>
      <c r="I248" s="10" t="s">
        <v>166</v>
      </c>
      <c r="J248" s="40" t="str">
        <f t="shared" si="1"/>
        <v>Igual</v>
      </c>
      <c r="K248" s="47" t="s">
        <v>400</v>
      </c>
      <c r="L248" s="10" t="s">
        <v>429</v>
      </c>
      <c r="M248" s="10" t="s">
        <v>199</v>
      </c>
      <c r="N248" s="40" t="str">
        <f t="shared" si="2"/>
        <v>Não</v>
      </c>
    </row>
    <row r="249" ht="30.0" hidden="1" customHeight="1">
      <c r="A249" s="10" t="s">
        <v>31</v>
      </c>
      <c r="B249" s="47" t="s">
        <v>1116</v>
      </c>
      <c r="C249" s="47" t="s">
        <v>1117</v>
      </c>
      <c r="D249" s="51">
        <v>2021.0</v>
      </c>
      <c r="F249" s="47" t="s">
        <v>1118</v>
      </c>
      <c r="G249" s="47" t="s">
        <v>1119</v>
      </c>
      <c r="H249" s="10" t="s">
        <v>166</v>
      </c>
      <c r="I249" s="10" t="s">
        <v>166</v>
      </c>
      <c r="J249" s="40" t="str">
        <f t="shared" si="1"/>
        <v>Igual</v>
      </c>
      <c r="K249" s="47" t="s">
        <v>411</v>
      </c>
      <c r="L249" s="10" t="s">
        <v>419</v>
      </c>
      <c r="M249" s="10" t="s">
        <v>199</v>
      </c>
      <c r="N249" s="40" t="str">
        <f t="shared" si="2"/>
        <v>Não</v>
      </c>
    </row>
    <row r="250" ht="30.0" hidden="1" customHeight="1">
      <c r="A250" s="10" t="s">
        <v>31</v>
      </c>
      <c r="B250" s="47" t="s">
        <v>1120</v>
      </c>
      <c r="C250" s="47" t="s">
        <v>1121</v>
      </c>
      <c r="D250" s="51">
        <v>2021.0</v>
      </c>
      <c r="F250" s="47" t="s">
        <v>1122</v>
      </c>
      <c r="G250" s="47"/>
      <c r="H250" s="10" t="s">
        <v>166</v>
      </c>
      <c r="I250" s="10" t="s">
        <v>166</v>
      </c>
      <c r="J250" s="40" t="str">
        <f t="shared" si="1"/>
        <v>Igual</v>
      </c>
      <c r="K250" s="47" t="s">
        <v>411</v>
      </c>
      <c r="L250" s="10" t="s">
        <v>464</v>
      </c>
      <c r="M250" s="10" t="s">
        <v>199</v>
      </c>
      <c r="N250" s="40" t="str">
        <f t="shared" si="2"/>
        <v>Não</v>
      </c>
    </row>
    <row r="251" ht="30.0" customHeight="1">
      <c r="A251" s="10" t="s">
        <v>31</v>
      </c>
      <c r="B251" s="47" t="s">
        <v>1123</v>
      </c>
      <c r="C251" s="47" t="s">
        <v>1124</v>
      </c>
      <c r="D251" s="51">
        <v>2021.0</v>
      </c>
      <c r="F251" s="47" t="s">
        <v>1125</v>
      </c>
      <c r="G251" s="47" t="s">
        <v>1126</v>
      </c>
      <c r="H251" s="10" t="s">
        <v>166</v>
      </c>
      <c r="I251" s="10" t="s">
        <v>165</v>
      </c>
      <c r="J251" s="40" t="str">
        <f t="shared" si="1"/>
        <v>Diferente</v>
      </c>
      <c r="K251" s="47" t="s">
        <v>406</v>
      </c>
      <c r="L251" s="10" t="s">
        <v>1069</v>
      </c>
      <c r="M251" s="10" t="s">
        <v>199</v>
      </c>
      <c r="N251" s="40" t="str">
        <f t="shared" si="2"/>
        <v>Sim</v>
      </c>
      <c r="O251" s="65"/>
      <c r="P251" s="42" t="s">
        <v>878</v>
      </c>
    </row>
    <row r="252" ht="30.0" hidden="1" customHeight="1">
      <c r="A252" s="10" t="s">
        <v>31</v>
      </c>
      <c r="B252" s="47" t="s">
        <v>1127</v>
      </c>
      <c r="C252" s="47" t="s">
        <v>1128</v>
      </c>
      <c r="D252" s="51">
        <v>2021.0</v>
      </c>
      <c r="F252" s="47" t="s">
        <v>1129</v>
      </c>
      <c r="G252" s="47" t="s">
        <v>1130</v>
      </c>
      <c r="H252" s="10" t="s">
        <v>166</v>
      </c>
      <c r="I252" s="10" t="s">
        <v>166</v>
      </c>
      <c r="J252" s="40" t="str">
        <f t="shared" si="1"/>
        <v>Igual</v>
      </c>
      <c r="K252" s="47" t="s">
        <v>406</v>
      </c>
      <c r="L252" s="10" t="s">
        <v>429</v>
      </c>
      <c r="M252" s="10" t="s">
        <v>199</v>
      </c>
      <c r="N252" s="40" t="str">
        <f t="shared" si="2"/>
        <v>Não</v>
      </c>
    </row>
    <row r="253" ht="30.0" hidden="1" customHeight="1">
      <c r="A253" s="10" t="s">
        <v>31</v>
      </c>
      <c r="B253" s="47" t="s">
        <v>1131</v>
      </c>
      <c r="C253" s="47" t="s">
        <v>1132</v>
      </c>
      <c r="D253" s="51">
        <v>2021.0</v>
      </c>
      <c r="F253" s="47" t="s">
        <v>1133</v>
      </c>
      <c r="G253" s="47"/>
      <c r="H253" s="10" t="s">
        <v>166</v>
      </c>
      <c r="I253" s="10" t="s">
        <v>166</v>
      </c>
      <c r="J253" s="40" t="str">
        <f t="shared" si="1"/>
        <v>Igual</v>
      </c>
      <c r="K253" s="47" t="s">
        <v>400</v>
      </c>
      <c r="L253" s="10" t="s">
        <v>419</v>
      </c>
      <c r="M253" s="10" t="s">
        <v>199</v>
      </c>
      <c r="N253" s="40" t="str">
        <f t="shared" si="2"/>
        <v>Não</v>
      </c>
    </row>
    <row r="254" ht="30.0" hidden="1" customHeight="1">
      <c r="A254" s="10" t="s">
        <v>31</v>
      </c>
      <c r="B254" s="47" t="s">
        <v>1134</v>
      </c>
      <c r="C254" s="47" t="s">
        <v>1135</v>
      </c>
      <c r="D254" s="51">
        <v>2021.0</v>
      </c>
      <c r="F254" s="47" t="s">
        <v>1136</v>
      </c>
      <c r="G254" s="47"/>
      <c r="H254" s="10" t="s">
        <v>166</v>
      </c>
      <c r="I254" s="10" t="s">
        <v>166</v>
      </c>
      <c r="J254" s="40" t="str">
        <f t="shared" si="1"/>
        <v>Igual</v>
      </c>
      <c r="K254" s="47" t="s">
        <v>411</v>
      </c>
      <c r="L254" s="10" t="s">
        <v>464</v>
      </c>
      <c r="M254" s="10" t="s">
        <v>199</v>
      </c>
      <c r="N254" s="40" t="str">
        <f t="shared" si="2"/>
        <v>Não</v>
      </c>
    </row>
    <row r="255" ht="30.0" hidden="1" customHeight="1">
      <c r="A255" s="10" t="s">
        <v>31</v>
      </c>
      <c r="B255" s="47" t="s">
        <v>1137</v>
      </c>
      <c r="C255" s="47" t="s">
        <v>1138</v>
      </c>
      <c r="D255" s="51">
        <v>2021.0</v>
      </c>
      <c r="F255" s="47" t="s">
        <v>1139</v>
      </c>
      <c r="G255" s="47" t="s">
        <v>1140</v>
      </c>
      <c r="H255" s="10" t="s">
        <v>166</v>
      </c>
      <c r="I255" s="10" t="s">
        <v>166</v>
      </c>
      <c r="J255" s="40" t="str">
        <f t="shared" si="1"/>
        <v>Igual</v>
      </c>
      <c r="K255" s="47" t="s">
        <v>400</v>
      </c>
      <c r="L255" s="10" t="s">
        <v>445</v>
      </c>
      <c r="M255" s="10" t="s">
        <v>199</v>
      </c>
      <c r="N255" s="40" t="str">
        <f t="shared" si="2"/>
        <v>Não</v>
      </c>
    </row>
    <row r="256" ht="30.0" hidden="1" customHeight="1">
      <c r="A256" s="10" t="s">
        <v>31</v>
      </c>
      <c r="B256" s="47" t="s">
        <v>1141</v>
      </c>
      <c r="C256" s="47" t="s">
        <v>1142</v>
      </c>
      <c r="D256" s="51">
        <v>2021.0</v>
      </c>
      <c r="F256" s="47" t="s">
        <v>1143</v>
      </c>
      <c r="G256" s="47"/>
      <c r="H256" s="10" t="s">
        <v>166</v>
      </c>
      <c r="I256" s="10" t="s">
        <v>166</v>
      </c>
      <c r="J256" s="40" t="str">
        <f t="shared" si="1"/>
        <v>Igual</v>
      </c>
      <c r="K256" s="47" t="s">
        <v>411</v>
      </c>
      <c r="L256" s="10" t="s">
        <v>660</v>
      </c>
      <c r="M256" s="10" t="s">
        <v>199</v>
      </c>
      <c r="N256" s="40" t="str">
        <f t="shared" si="2"/>
        <v>Não</v>
      </c>
    </row>
    <row r="257" ht="30.0" hidden="1" customHeight="1">
      <c r="A257" s="10" t="s">
        <v>31</v>
      </c>
      <c r="B257" s="47" t="s">
        <v>1144</v>
      </c>
      <c r="C257" s="47" t="s">
        <v>1145</v>
      </c>
      <c r="D257" s="51">
        <v>2021.0</v>
      </c>
      <c r="F257" s="47" t="s">
        <v>1146</v>
      </c>
      <c r="G257" s="47"/>
      <c r="H257" s="10" t="s">
        <v>166</v>
      </c>
      <c r="I257" s="10" t="s">
        <v>166</v>
      </c>
      <c r="J257" s="40" t="str">
        <f t="shared" si="1"/>
        <v>Igual</v>
      </c>
      <c r="K257" s="47" t="s">
        <v>411</v>
      </c>
      <c r="L257" s="10" t="s">
        <v>429</v>
      </c>
      <c r="M257" s="10" t="s">
        <v>199</v>
      </c>
      <c r="N257" s="40" t="str">
        <f t="shared" si="2"/>
        <v>Não</v>
      </c>
    </row>
    <row r="258" ht="30.0" customHeight="1">
      <c r="A258" s="10" t="s">
        <v>31</v>
      </c>
      <c r="B258" s="47" t="s">
        <v>1147</v>
      </c>
      <c r="C258" s="47" t="s">
        <v>1148</v>
      </c>
      <c r="D258" s="51">
        <v>2021.0</v>
      </c>
      <c r="F258" s="47" t="s">
        <v>1149</v>
      </c>
      <c r="G258" s="47" t="s">
        <v>1150</v>
      </c>
      <c r="H258" s="10" t="s">
        <v>165</v>
      </c>
      <c r="I258" s="10" t="s">
        <v>166</v>
      </c>
      <c r="J258" s="40" t="str">
        <f t="shared" si="1"/>
        <v>Diferente</v>
      </c>
      <c r="K258" s="47" t="s">
        <v>423</v>
      </c>
      <c r="L258" s="10" t="s">
        <v>589</v>
      </c>
      <c r="M258" s="10" t="s">
        <v>199</v>
      </c>
      <c r="N258" s="40" t="str">
        <f t="shared" si="2"/>
        <v>Sim</v>
      </c>
      <c r="O258" s="65"/>
      <c r="P258" s="44"/>
    </row>
    <row r="259" ht="30.0" hidden="1" customHeight="1">
      <c r="A259" s="10" t="s">
        <v>31</v>
      </c>
      <c r="B259" s="47" t="s">
        <v>1151</v>
      </c>
      <c r="C259" s="47" t="s">
        <v>1152</v>
      </c>
      <c r="D259" s="51">
        <v>2021.0</v>
      </c>
      <c r="F259" s="47" t="s">
        <v>1153</v>
      </c>
      <c r="G259" s="47"/>
      <c r="H259" s="10" t="s">
        <v>166</v>
      </c>
      <c r="I259" s="10" t="s">
        <v>166</v>
      </c>
      <c r="J259" s="40" t="str">
        <f t="shared" si="1"/>
        <v>Igual</v>
      </c>
      <c r="K259" s="47" t="s">
        <v>406</v>
      </c>
      <c r="L259" s="10" t="s">
        <v>429</v>
      </c>
      <c r="M259" s="10" t="s">
        <v>199</v>
      </c>
      <c r="N259" s="40" t="str">
        <f t="shared" si="2"/>
        <v>Não</v>
      </c>
    </row>
    <row r="260" ht="30.0" hidden="1" customHeight="1">
      <c r="A260" s="10" t="s">
        <v>31</v>
      </c>
      <c r="B260" s="47" t="s">
        <v>1154</v>
      </c>
      <c r="C260" s="47" t="s">
        <v>1155</v>
      </c>
      <c r="D260" s="51">
        <v>2021.0</v>
      </c>
      <c r="F260" s="47" t="s">
        <v>1156</v>
      </c>
      <c r="G260" s="47"/>
      <c r="H260" s="10" t="s">
        <v>166</v>
      </c>
      <c r="I260" s="10" t="s">
        <v>166</v>
      </c>
      <c r="J260" s="40" t="str">
        <f t="shared" si="1"/>
        <v>Igual</v>
      </c>
      <c r="K260" s="47" t="s">
        <v>406</v>
      </c>
      <c r="L260" s="10" t="s">
        <v>429</v>
      </c>
      <c r="M260" s="10" t="s">
        <v>199</v>
      </c>
      <c r="N260" s="40" t="str">
        <f t="shared" si="2"/>
        <v>Não</v>
      </c>
    </row>
    <row r="261" ht="30.0" customHeight="1">
      <c r="A261" s="10" t="s">
        <v>31</v>
      </c>
      <c r="B261" s="47" t="s">
        <v>1157</v>
      </c>
      <c r="C261" s="47" t="s">
        <v>1158</v>
      </c>
      <c r="D261" s="51">
        <v>2021.0</v>
      </c>
      <c r="F261" s="47" t="s">
        <v>1159</v>
      </c>
      <c r="G261" s="47"/>
      <c r="H261" s="10" t="s">
        <v>165</v>
      </c>
      <c r="I261" s="10" t="s">
        <v>166</v>
      </c>
      <c r="J261" s="40" t="str">
        <f t="shared" si="1"/>
        <v>Diferente</v>
      </c>
      <c r="K261" s="47" t="s">
        <v>423</v>
      </c>
      <c r="L261" s="10" t="s">
        <v>429</v>
      </c>
      <c r="M261" s="10" t="s">
        <v>199</v>
      </c>
      <c r="N261" s="40" t="str">
        <f t="shared" si="2"/>
        <v>Sim</v>
      </c>
      <c r="O261" s="65"/>
      <c r="P261" s="44"/>
    </row>
    <row r="262" ht="30.0" customHeight="1">
      <c r="A262" s="10" t="s">
        <v>31</v>
      </c>
      <c r="B262" s="47" t="s">
        <v>1160</v>
      </c>
      <c r="C262" s="47" t="s">
        <v>1161</v>
      </c>
      <c r="D262" s="51">
        <v>2021.0</v>
      </c>
      <c r="F262" s="47" t="s">
        <v>1162</v>
      </c>
      <c r="G262" s="47"/>
      <c r="H262" s="10" t="s">
        <v>166</v>
      </c>
      <c r="I262" s="10" t="s">
        <v>165</v>
      </c>
      <c r="J262" s="40" t="str">
        <f t="shared" si="1"/>
        <v>Diferente</v>
      </c>
      <c r="K262" s="47" t="s">
        <v>411</v>
      </c>
      <c r="L262" s="10" t="s">
        <v>1069</v>
      </c>
      <c r="M262" s="10" t="s">
        <v>199</v>
      </c>
      <c r="N262" s="40" t="str">
        <f t="shared" si="2"/>
        <v>Sim</v>
      </c>
      <c r="O262" s="65"/>
      <c r="P262" s="44"/>
    </row>
    <row r="263" ht="30.0" hidden="1" customHeight="1">
      <c r="A263" s="10" t="s">
        <v>31</v>
      </c>
      <c r="B263" s="47" t="s">
        <v>1163</v>
      </c>
      <c r="C263" s="47" t="s">
        <v>1164</v>
      </c>
      <c r="D263" s="51">
        <v>2021.0</v>
      </c>
      <c r="F263" s="47" t="s">
        <v>1165</v>
      </c>
      <c r="G263" s="47" t="s">
        <v>1166</v>
      </c>
      <c r="H263" s="10" t="s">
        <v>166</v>
      </c>
      <c r="I263" s="10" t="s">
        <v>166</v>
      </c>
      <c r="J263" s="40" t="str">
        <f t="shared" si="1"/>
        <v>Igual</v>
      </c>
      <c r="K263" s="47" t="s">
        <v>411</v>
      </c>
      <c r="L263" s="10" t="s">
        <v>1167</v>
      </c>
      <c r="M263" s="10" t="s">
        <v>199</v>
      </c>
      <c r="N263" s="40" t="str">
        <f t="shared" si="2"/>
        <v>Não</v>
      </c>
    </row>
    <row r="264" ht="30.0" hidden="1" customHeight="1">
      <c r="A264" s="10" t="s">
        <v>31</v>
      </c>
      <c r="B264" s="47" t="s">
        <v>1168</v>
      </c>
      <c r="C264" s="47" t="s">
        <v>1169</v>
      </c>
      <c r="D264" s="51">
        <v>2021.0</v>
      </c>
      <c r="F264" s="47" t="s">
        <v>1170</v>
      </c>
      <c r="G264" s="47" t="s">
        <v>1171</v>
      </c>
      <c r="H264" s="10" t="s">
        <v>166</v>
      </c>
      <c r="I264" s="10" t="s">
        <v>166</v>
      </c>
      <c r="J264" s="40" t="str">
        <f t="shared" si="1"/>
        <v>Igual</v>
      </c>
      <c r="K264" s="47" t="s">
        <v>406</v>
      </c>
      <c r="L264" s="10" t="s">
        <v>1111</v>
      </c>
      <c r="M264" s="10" t="s">
        <v>199</v>
      </c>
      <c r="N264" s="40" t="str">
        <f t="shared" si="2"/>
        <v>Não</v>
      </c>
    </row>
    <row r="265" ht="30.0" hidden="1" customHeight="1">
      <c r="A265" s="10" t="s">
        <v>31</v>
      </c>
      <c r="B265" s="47" t="s">
        <v>1172</v>
      </c>
      <c r="C265" s="47" t="s">
        <v>1173</v>
      </c>
      <c r="D265" s="51">
        <v>2021.0</v>
      </c>
      <c r="F265" s="47" t="s">
        <v>1122</v>
      </c>
      <c r="G265" s="47"/>
      <c r="H265" s="10" t="s">
        <v>166</v>
      </c>
      <c r="I265" s="10" t="s">
        <v>166</v>
      </c>
      <c r="J265" s="40" t="str">
        <f t="shared" si="1"/>
        <v>Igual</v>
      </c>
      <c r="K265" s="47" t="s">
        <v>411</v>
      </c>
      <c r="L265" s="10" t="s">
        <v>419</v>
      </c>
      <c r="M265" s="10" t="s">
        <v>199</v>
      </c>
      <c r="N265" s="40" t="str">
        <f t="shared" si="2"/>
        <v>Não</v>
      </c>
    </row>
    <row r="266" ht="30.0" customHeight="1">
      <c r="A266" s="10" t="s">
        <v>31</v>
      </c>
      <c r="B266" s="47" t="s">
        <v>1174</v>
      </c>
      <c r="C266" s="47" t="s">
        <v>1175</v>
      </c>
      <c r="D266" s="51">
        <v>2021.0</v>
      </c>
      <c r="F266" s="47" t="s">
        <v>1176</v>
      </c>
      <c r="G266" s="47"/>
      <c r="H266" s="10" t="s">
        <v>166</v>
      </c>
      <c r="I266" s="10" t="s">
        <v>165</v>
      </c>
      <c r="J266" s="40" t="str">
        <f t="shared" si="1"/>
        <v>Diferente</v>
      </c>
      <c r="K266" s="47" t="s">
        <v>411</v>
      </c>
      <c r="L266" s="10" t="s">
        <v>1069</v>
      </c>
      <c r="M266" s="10" t="s">
        <v>199</v>
      </c>
      <c r="N266" s="40" t="str">
        <f t="shared" si="2"/>
        <v>Sim</v>
      </c>
      <c r="O266" s="65"/>
      <c r="P266" s="44"/>
    </row>
    <row r="267" ht="30.0" customHeight="1">
      <c r="A267" s="10" t="s">
        <v>31</v>
      </c>
      <c r="B267" s="47" t="s">
        <v>1177</v>
      </c>
      <c r="C267" s="47" t="s">
        <v>1178</v>
      </c>
      <c r="D267" s="51">
        <v>2021.0</v>
      </c>
      <c r="F267" s="47" t="s">
        <v>1179</v>
      </c>
      <c r="G267" s="47" t="s">
        <v>1180</v>
      </c>
      <c r="H267" s="10" t="s">
        <v>166</v>
      </c>
      <c r="I267" s="10" t="s">
        <v>165</v>
      </c>
      <c r="J267" s="40" t="str">
        <f t="shared" si="1"/>
        <v>Diferente</v>
      </c>
      <c r="K267" s="47" t="s">
        <v>411</v>
      </c>
      <c r="L267" s="10" t="s">
        <v>1069</v>
      </c>
      <c r="M267" s="10" t="s">
        <v>199</v>
      </c>
      <c r="N267" s="40" t="str">
        <f t="shared" si="2"/>
        <v>Sim</v>
      </c>
      <c r="O267" s="65"/>
      <c r="P267" s="44"/>
    </row>
    <row r="268" ht="30.0" hidden="1" customHeight="1">
      <c r="A268" s="10" t="s">
        <v>31</v>
      </c>
      <c r="B268" s="47" t="s">
        <v>1181</v>
      </c>
      <c r="C268" s="47" t="s">
        <v>1182</v>
      </c>
      <c r="D268" s="51">
        <v>2020.0</v>
      </c>
      <c r="F268" s="47" t="s">
        <v>1183</v>
      </c>
      <c r="G268" s="47"/>
      <c r="H268" s="10" t="s">
        <v>166</v>
      </c>
      <c r="I268" s="10" t="s">
        <v>166</v>
      </c>
      <c r="J268" s="40" t="str">
        <f t="shared" si="1"/>
        <v>Igual</v>
      </c>
      <c r="K268" s="47" t="s">
        <v>406</v>
      </c>
      <c r="L268" s="10" t="s">
        <v>1184</v>
      </c>
      <c r="M268" s="10" t="s">
        <v>199</v>
      </c>
      <c r="N268" s="40" t="str">
        <f t="shared" si="2"/>
        <v>Não</v>
      </c>
    </row>
    <row r="269" ht="30.0" hidden="1" customHeight="1">
      <c r="A269" s="10" t="s">
        <v>31</v>
      </c>
      <c r="B269" s="47" t="s">
        <v>1185</v>
      </c>
      <c r="C269" s="47" t="s">
        <v>1186</v>
      </c>
      <c r="D269" s="51">
        <v>2020.0</v>
      </c>
      <c r="F269" s="47" t="s">
        <v>1187</v>
      </c>
      <c r="G269" s="47" t="s">
        <v>1188</v>
      </c>
      <c r="H269" s="10" t="s">
        <v>166</v>
      </c>
      <c r="I269" s="10" t="s">
        <v>166</v>
      </c>
      <c r="J269" s="40" t="str">
        <f t="shared" si="1"/>
        <v>Igual</v>
      </c>
      <c r="K269" s="47" t="s">
        <v>400</v>
      </c>
      <c r="L269" s="10" t="s">
        <v>589</v>
      </c>
      <c r="M269" s="10" t="s">
        <v>199</v>
      </c>
      <c r="N269" s="40" t="str">
        <f t="shared" si="2"/>
        <v>Não</v>
      </c>
    </row>
    <row r="270" ht="30.0" hidden="1" customHeight="1">
      <c r="A270" s="10" t="s">
        <v>31</v>
      </c>
      <c r="B270" s="47" t="s">
        <v>1189</v>
      </c>
      <c r="C270" s="47" t="s">
        <v>1190</v>
      </c>
      <c r="D270" s="51">
        <v>2020.0</v>
      </c>
      <c r="F270" s="47" t="s">
        <v>1191</v>
      </c>
      <c r="G270" s="47" t="s">
        <v>1192</v>
      </c>
      <c r="H270" s="10" t="s">
        <v>166</v>
      </c>
      <c r="I270" s="10" t="s">
        <v>166</v>
      </c>
      <c r="J270" s="40" t="str">
        <f t="shared" si="1"/>
        <v>Igual</v>
      </c>
      <c r="K270" s="47" t="s">
        <v>406</v>
      </c>
      <c r="L270" s="10" t="s">
        <v>1193</v>
      </c>
      <c r="M270" s="10" t="s">
        <v>199</v>
      </c>
      <c r="N270" s="40" t="str">
        <f t="shared" si="2"/>
        <v>Não</v>
      </c>
    </row>
    <row r="271" ht="30.0" hidden="1" customHeight="1">
      <c r="A271" s="10" t="s">
        <v>31</v>
      </c>
      <c r="B271" s="47" t="s">
        <v>1194</v>
      </c>
      <c r="C271" s="47" t="s">
        <v>1195</v>
      </c>
      <c r="D271" s="51">
        <v>2020.0</v>
      </c>
      <c r="F271" s="47" t="s">
        <v>1196</v>
      </c>
      <c r="G271" s="47"/>
      <c r="H271" s="10" t="s">
        <v>166</v>
      </c>
      <c r="I271" s="10" t="s">
        <v>166</v>
      </c>
      <c r="J271" s="40" t="str">
        <f t="shared" si="1"/>
        <v>Igual</v>
      </c>
      <c r="K271" s="47" t="s">
        <v>406</v>
      </c>
      <c r="L271" s="10" t="s">
        <v>429</v>
      </c>
      <c r="M271" s="10" t="s">
        <v>199</v>
      </c>
      <c r="N271" s="40" t="str">
        <f t="shared" si="2"/>
        <v>Não</v>
      </c>
    </row>
    <row r="272" ht="30.0" hidden="1" customHeight="1">
      <c r="A272" s="10" t="s">
        <v>31</v>
      </c>
      <c r="B272" s="47" t="s">
        <v>1197</v>
      </c>
      <c r="C272" s="47" t="s">
        <v>1198</v>
      </c>
      <c r="D272" s="51">
        <v>2020.0</v>
      </c>
      <c r="F272" s="47" t="s">
        <v>1199</v>
      </c>
      <c r="G272" s="47"/>
      <c r="H272" s="10" t="s">
        <v>166</v>
      </c>
      <c r="I272" s="10" t="s">
        <v>166</v>
      </c>
      <c r="J272" s="40" t="str">
        <f t="shared" si="1"/>
        <v>Igual</v>
      </c>
      <c r="K272" s="47" t="s">
        <v>406</v>
      </c>
      <c r="L272" s="10" t="s">
        <v>429</v>
      </c>
      <c r="M272" s="10" t="s">
        <v>199</v>
      </c>
      <c r="N272" s="40" t="str">
        <f t="shared" si="2"/>
        <v>Não</v>
      </c>
    </row>
    <row r="273" ht="30.0" hidden="1" customHeight="1">
      <c r="A273" s="10" t="s">
        <v>31</v>
      </c>
      <c r="B273" s="47" t="s">
        <v>1200</v>
      </c>
      <c r="C273" s="47" t="s">
        <v>1201</v>
      </c>
      <c r="D273" s="51">
        <v>2020.0</v>
      </c>
      <c r="F273" s="47" t="s">
        <v>1202</v>
      </c>
      <c r="G273" s="47" t="s">
        <v>1203</v>
      </c>
      <c r="H273" s="10" t="s">
        <v>166</v>
      </c>
      <c r="I273" s="10" t="s">
        <v>166</v>
      </c>
      <c r="J273" s="40" t="str">
        <f t="shared" si="1"/>
        <v>Igual</v>
      </c>
      <c r="K273" s="47" t="s">
        <v>406</v>
      </c>
      <c r="L273" s="10" t="s">
        <v>429</v>
      </c>
      <c r="M273" s="10" t="s">
        <v>199</v>
      </c>
      <c r="N273" s="40" t="str">
        <f t="shared" si="2"/>
        <v>Não</v>
      </c>
    </row>
    <row r="274" ht="30.0" hidden="1" customHeight="1">
      <c r="A274" s="10" t="s">
        <v>31</v>
      </c>
      <c r="B274" s="47" t="s">
        <v>1204</v>
      </c>
      <c r="C274" s="47" t="s">
        <v>1205</v>
      </c>
      <c r="D274" s="51">
        <v>2020.0</v>
      </c>
      <c r="F274" s="47" t="s">
        <v>1206</v>
      </c>
      <c r="G274" s="47"/>
      <c r="H274" s="10" t="s">
        <v>166</v>
      </c>
      <c r="I274" s="10" t="s">
        <v>166</v>
      </c>
      <c r="J274" s="40" t="str">
        <f t="shared" si="1"/>
        <v>Igual</v>
      </c>
      <c r="K274" s="47" t="s">
        <v>406</v>
      </c>
      <c r="L274" s="10" t="s">
        <v>429</v>
      </c>
      <c r="M274" s="10" t="s">
        <v>199</v>
      </c>
      <c r="N274" s="40" t="str">
        <f t="shared" si="2"/>
        <v>Não</v>
      </c>
    </row>
    <row r="275" ht="30.0" hidden="1" customHeight="1">
      <c r="A275" s="10" t="s">
        <v>31</v>
      </c>
      <c r="B275" s="47" t="s">
        <v>1207</v>
      </c>
      <c r="C275" s="47" t="s">
        <v>1208</v>
      </c>
      <c r="D275" s="51">
        <v>2020.0</v>
      </c>
      <c r="F275" s="47" t="s">
        <v>1209</v>
      </c>
      <c r="G275" s="47" t="s">
        <v>1210</v>
      </c>
      <c r="H275" s="10" t="s">
        <v>166</v>
      </c>
      <c r="I275" s="10" t="s">
        <v>166</v>
      </c>
      <c r="J275" s="40" t="str">
        <f t="shared" si="1"/>
        <v>Igual</v>
      </c>
      <c r="K275" s="47" t="s">
        <v>400</v>
      </c>
      <c r="L275" s="10" t="s">
        <v>1211</v>
      </c>
      <c r="M275" s="10" t="s">
        <v>199</v>
      </c>
      <c r="N275" s="40" t="str">
        <f t="shared" si="2"/>
        <v>Não</v>
      </c>
    </row>
    <row r="276" ht="30.0" hidden="1" customHeight="1">
      <c r="A276" s="10" t="s">
        <v>31</v>
      </c>
      <c r="B276" s="47" t="s">
        <v>1185</v>
      </c>
      <c r="C276" s="47" t="s">
        <v>1212</v>
      </c>
      <c r="D276" s="51">
        <v>2020.0</v>
      </c>
      <c r="F276" s="47" t="s">
        <v>1213</v>
      </c>
      <c r="G276" s="47"/>
      <c r="H276" s="10" t="s">
        <v>166</v>
      </c>
      <c r="I276" s="10" t="s">
        <v>166</v>
      </c>
      <c r="J276" s="40" t="str">
        <f t="shared" si="1"/>
        <v>Igual</v>
      </c>
      <c r="K276" s="47" t="s">
        <v>411</v>
      </c>
      <c r="L276" s="10" t="s">
        <v>514</v>
      </c>
      <c r="M276" s="10" t="s">
        <v>199</v>
      </c>
      <c r="N276" s="40" t="str">
        <f t="shared" si="2"/>
        <v>Não</v>
      </c>
    </row>
    <row r="277" ht="30.0" hidden="1" customHeight="1">
      <c r="A277" s="10" t="s">
        <v>31</v>
      </c>
      <c r="B277" s="47" t="s">
        <v>1214</v>
      </c>
      <c r="C277" s="47" t="s">
        <v>1215</v>
      </c>
      <c r="D277" s="51">
        <v>2020.0</v>
      </c>
      <c r="F277" s="47" t="s">
        <v>1216</v>
      </c>
      <c r="G277" s="47" t="s">
        <v>1217</v>
      </c>
      <c r="H277" s="10" t="s">
        <v>166</v>
      </c>
      <c r="I277" s="10" t="s">
        <v>166</v>
      </c>
      <c r="J277" s="40" t="str">
        <f t="shared" si="1"/>
        <v>Igual</v>
      </c>
      <c r="K277" s="47" t="s">
        <v>400</v>
      </c>
      <c r="L277" s="10" t="s">
        <v>1218</v>
      </c>
      <c r="M277" s="10" t="s">
        <v>199</v>
      </c>
      <c r="N277" s="40" t="str">
        <f t="shared" si="2"/>
        <v>Não</v>
      </c>
    </row>
    <row r="278" ht="30.0" customHeight="1">
      <c r="A278" s="10" t="s">
        <v>31</v>
      </c>
      <c r="B278" s="47" t="s">
        <v>1219</v>
      </c>
      <c r="C278" s="47" t="s">
        <v>1220</v>
      </c>
      <c r="D278" s="51">
        <v>2020.0</v>
      </c>
      <c r="F278" s="47" t="s">
        <v>1221</v>
      </c>
      <c r="G278" s="47" t="s">
        <v>1222</v>
      </c>
      <c r="H278" s="10" t="s">
        <v>166</v>
      </c>
      <c r="I278" s="10" t="s">
        <v>165</v>
      </c>
      <c r="J278" s="40" t="str">
        <f t="shared" si="1"/>
        <v>Diferente</v>
      </c>
      <c r="K278" s="47" t="s">
        <v>406</v>
      </c>
      <c r="L278" s="10" t="s">
        <v>1069</v>
      </c>
      <c r="M278" s="10" t="s">
        <v>199</v>
      </c>
      <c r="N278" s="40" t="str">
        <f t="shared" si="2"/>
        <v>Sim</v>
      </c>
      <c r="O278" s="65"/>
      <c r="P278" s="44"/>
    </row>
    <row r="279" ht="30.0" hidden="1" customHeight="1">
      <c r="A279" s="10" t="s">
        <v>31</v>
      </c>
      <c r="B279" s="47" t="s">
        <v>1223</v>
      </c>
      <c r="C279" s="47" t="s">
        <v>1224</v>
      </c>
      <c r="D279" s="51">
        <v>2020.0</v>
      </c>
      <c r="F279" s="47" t="s">
        <v>1225</v>
      </c>
      <c r="G279" s="47" t="s">
        <v>1226</v>
      </c>
      <c r="H279" s="10" t="s">
        <v>166</v>
      </c>
      <c r="I279" s="10" t="s">
        <v>166</v>
      </c>
      <c r="J279" s="40" t="str">
        <f t="shared" si="1"/>
        <v>Igual</v>
      </c>
      <c r="K279" s="47" t="s">
        <v>400</v>
      </c>
      <c r="L279" s="10" t="s">
        <v>1227</v>
      </c>
      <c r="M279" s="10" t="s">
        <v>199</v>
      </c>
      <c r="N279" s="40" t="str">
        <f t="shared" si="2"/>
        <v>Não</v>
      </c>
    </row>
    <row r="280" ht="30.0" customHeight="1">
      <c r="A280" s="10" t="s">
        <v>1228</v>
      </c>
      <c r="B280" s="47" t="s">
        <v>1229</v>
      </c>
      <c r="C280" s="47" t="s">
        <v>1230</v>
      </c>
      <c r="D280" s="51">
        <v>2024.0</v>
      </c>
      <c r="E280" s="47" t="s">
        <v>1231</v>
      </c>
      <c r="F280" s="47" t="s">
        <v>1232</v>
      </c>
      <c r="G280" s="47" t="s">
        <v>1233</v>
      </c>
      <c r="H280" s="10" t="s">
        <v>166</v>
      </c>
      <c r="I280" s="10" t="s">
        <v>165</v>
      </c>
      <c r="J280" s="40" t="str">
        <f t="shared" si="1"/>
        <v>Diferente</v>
      </c>
      <c r="K280" s="47" t="s">
        <v>1234</v>
      </c>
      <c r="L280" s="64" t="s">
        <v>1235</v>
      </c>
      <c r="M280" s="10" t="s">
        <v>1236</v>
      </c>
      <c r="N280" s="40" t="str">
        <f t="shared" si="2"/>
        <v>Sim</v>
      </c>
      <c r="O280" s="65"/>
      <c r="P280" s="44"/>
    </row>
    <row r="281" ht="30.0" customHeight="1">
      <c r="A281" s="10" t="s">
        <v>1228</v>
      </c>
      <c r="B281" s="47" t="s">
        <v>1237</v>
      </c>
      <c r="C281" s="47" t="s">
        <v>1238</v>
      </c>
      <c r="D281" s="51">
        <v>2025.0</v>
      </c>
      <c r="E281" s="47" t="s">
        <v>1239</v>
      </c>
      <c r="F281" s="47" t="s">
        <v>1240</v>
      </c>
      <c r="G281" s="47" t="s">
        <v>1241</v>
      </c>
      <c r="H281" s="10" t="s">
        <v>165</v>
      </c>
      <c r="I281" s="10" t="s">
        <v>166</v>
      </c>
      <c r="J281" s="40" t="str">
        <f t="shared" si="1"/>
        <v>Diferente</v>
      </c>
      <c r="K281" s="47" t="s">
        <v>1242</v>
      </c>
      <c r="L281" s="64" t="s">
        <v>1243</v>
      </c>
      <c r="M281" s="10" t="s">
        <v>199</v>
      </c>
      <c r="N281" s="40" t="str">
        <f t="shared" si="2"/>
        <v>Sim</v>
      </c>
      <c r="O281" s="65"/>
      <c r="P281" s="44"/>
    </row>
    <row r="282" ht="30.0" hidden="1" customHeight="1">
      <c r="A282" s="10" t="s">
        <v>1228</v>
      </c>
      <c r="B282" s="47" t="s">
        <v>1244</v>
      </c>
      <c r="C282" s="47" t="s">
        <v>1245</v>
      </c>
      <c r="D282" s="51">
        <v>2020.0</v>
      </c>
      <c r="E282" s="47" t="s">
        <v>1246</v>
      </c>
      <c r="F282" s="47" t="s">
        <v>1247</v>
      </c>
      <c r="G282" s="47" t="s">
        <v>1248</v>
      </c>
      <c r="H282" s="10" t="s">
        <v>166</v>
      </c>
      <c r="I282" s="10" t="s">
        <v>166</v>
      </c>
      <c r="J282" s="40" t="str">
        <f t="shared" si="1"/>
        <v>Igual</v>
      </c>
      <c r="K282" s="47" t="s">
        <v>1249</v>
      </c>
      <c r="L282" s="64" t="s">
        <v>1250</v>
      </c>
      <c r="M282" s="10" t="s">
        <v>199</v>
      </c>
      <c r="N282" s="40" t="str">
        <f t="shared" si="2"/>
        <v>Não</v>
      </c>
    </row>
    <row r="283" ht="30.0" customHeight="1">
      <c r="A283" s="10" t="s">
        <v>1228</v>
      </c>
      <c r="B283" s="47" t="s">
        <v>1251</v>
      </c>
      <c r="C283" s="47" t="s">
        <v>1252</v>
      </c>
      <c r="D283" s="51">
        <v>2025.0</v>
      </c>
      <c r="E283" s="47" t="s">
        <v>1253</v>
      </c>
      <c r="F283" s="47" t="s">
        <v>181</v>
      </c>
      <c r="G283" s="47" t="s">
        <v>1254</v>
      </c>
      <c r="H283" s="10" t="s">
        <v>166</v>
      </c>
      <c r="I283" s="10" t="s">
        <v>165</v>
      </c>
      <c r="J283" s="40" t="str">
        <f t="shared" si="1"/>
        <v>Diferente</v>
      </c>
      <c r="K283" s="47" t="s">
        <v>1249</v>
      </c>
      <c r="L283" s="64" t="s">
        <v>1235</v>
      </c>
      <c r="M283" s="10" t="s">
        <v>1236</v>
      </c>
      <c r="N283" s="40" t="str">
        <f t="shared" si="2"/>
        <v>Sim</v>
      </c>
      <c r="O283" s="65"/>
      <c r="P283" s="44"/>
    </row>
    <row r="284" ht="30.0" hidden="1" customHeight="1">
      <c r="A284" s="10" t="s">
        <v>1228</v>
      </c>
      <c r="B284" s="47" t="s">
        <v>1255</v>
      </c>
      <c r="C284" s="47" t="s">
        <v>1256</v>
      </c>
      <c r="D284" s="51">
        <v>2024.0</v>
      </c>
      <c r="E284" s="47" t="s">
        <v>1257</v>
      </c>
      <c r="F284" s="47" t="s">
        <v>1258</v>
      </c>
      <c r="G284" s="47" t="s">
        <v>1259</v>
      </c>
      <c r="H284" s="10" t="s">
        <v>166</v>
      </c>
      <c r="I284" s="10" t="s">
        <v>166</v>
      </c>
      <c r="J284" s="40" t="str">
        <f t="shared" si="1"/>
        <v>Igual</v>
      </c>
      <c r="K284" s="47" t="s">
        <v>1249</v>
      </c>
      <c r="L284" s="64" t="s">
        <v>1243</v>
      </c>
      <c r="M284" s="10" t="s">
        <v>199</v>
      </c>
      <c r="N284" s="40" t="str">
        <f t="shared" si="2"/>
        <v>Não</v>
      </c>
    </row>
    <row r="285" ht="30.0" hidden="1" customHeight="1">
      <c r="A285" s="10" t="s">
        <v>1228</v>
      </c>
      <c r="B285" s="47" t="s">
        <v>1260</v>
      </c>
      <c r="C285" s="47" t="s">
        <v>1261</v>
      </c>
      <c r="D285" s="51">
        <v>2023.0</v>
      </c>
      <c r="E285" s="47" t="s">
        <v>1262</v>
      </c>
      <c r="F285" s="47" t="s">
        <v>1263</v>
      </c>
      <c r="G285" s="47" t="s">
        <v>1264</v>
      </c>
      <c r="H285" s="10" t="s">
        <v>166</v>
      </c>
      <c r="I285" s="10" t="s">
        <v>166</v>
      </c>
      <c r="J285" s="40" t="str">
        <f t="shared" si="1"/>
        <v>Igual</v>
      </c>
      <c r="K285" s="47" t="s">
        <v>1249</v>
      </c>
      <c r="L285" s="64" t="s">
        <v>1243</v>
      </c>
      <c r="M285" s="10" t="s">
        <v>199</v>
      </c>
      <c r="N285" s="40" t="str">
        <f t="shared" si="2"/>
        <v>Não</v>
      </c>
    </row>
    <row r="286" ht="30.0" customHeight="1">
      <c r="A286" s="10" t="s">
        <v>1228</v>
      </c>
      <c r="B286" s="47" t="s">
        <v>1265</v>
      </c>
      <c r="C286" s="47" t="s">
        <v>1266</v>
      </c>
      <c r="D286" s="51">
        <v>2024.0</v>
      </c>
      <c r="E286" s="47" t="s">
        <v>1257</v>
      </c>
      <c r="F286" s="47" t="s">
        <v>1267</v>
      </c>
      <c r="G286" s="47" t="s">
        <v>1268</v>
      </c>
      <c r="H286" s="10" t="s">
        <v>166</v>
      </c>
      <c r="I286" s="10" t="s">
        <v>165</v>
      </c>
      <c r="J286" s="40" t="str">
        <f t="shared" si="1"/>
        <v>Diferente</v>
      </c>
      <c r="K286" s="47" t="s">
        <v>1249</v>
      </c>
      <c r="L286" s="64" t="s">
        <v>1235</v>
      </c>
      <c r="M286" s="10" t="s">
        <v>1236</v>
      </c>
      <c r="N286" s="40" t="str">
        <f t="shared" si="2"/>
        <v>Sim</v>
      </c>
      <c r="O286" s="65"/>
      <c r="P286" s="44"/>
    </row>
    <row r="287" ht="30.0" hidden="1" customHeight="1">
      <c r="A287" s="10" t="s">
        <v>1228</v>
      </c>
      <c r="B287" s="47" t="s">
        <v>1269</v>
      </c>
      <c r="C287" s="47" t="s">
        <v>1270</v>
      </c>
      <c r="D287" s="51">
        <v>2024.0</v>
      </c>
      <c r="E287" s="47" t="s">
        <v>1271</v>
      </c>
      <c r="F287" s="47" t="s">
        <v>1272</v>
      </c>
      <c r="G287" s="47" t="s">
        <v>1273</v>
      </c>
      <c r="H287" s="10" t="s">
        <v>166</v>
      </c>
      <c r="I287" s="10" t="s">
        <v>166</v>
      </c>
      <c r="J287" s="40" t="str">
        <f t="shared" si="1"/>
        <v>Igual</v>
      </c>
      <c r="K287" s="47" t="s">
        <v>1249</v>
      </c>
      <c r="L287" s="64" t="s">
        <v>1274</v>
      </c>
      <c r="M287" s="10" t="s">
        <v>199</v>
      </c>
      <c r="N287" s="40" t="str">
        <f t="shared" si="2"/>
        <v>Não</v>
      </c>
    </row>
    <row r="288" ht="30.0" hidden="1" customHeight="1">
      <c r="A288" s="10" t="s">
        <v>1228</v>
      </c>
      <c r="B288" s="47" t="s">
        <v>1275</v>
      </c>
      <c r="C288" s="47" t="s">
        <v>1276</v>
      </c>
      <c r="D288" s="51">
        <v>2024.0</v>
      </c>
      <c r="E288" s="47" t="s">
        <v>1257</v>
      </c>
      <c r="F288" s="47" t="s">
        <v>1277</v>
      </c>
      <c r="G288" s="47" t="s">
        <v>1278</v>
      </c>
      <c r="H288" s="10" t="s">
        <v>166</v>
      </c>
      <c r="I288" s="10" t="s">
        <v>166</v>
      </c>
      <c r="J288" s="40" t="str">
        <f t="shared" si="1"/>
        <v>Igual</v>
      </c>
      <c r="K288" s="47" t="s">
        <v>1249</v>
      </c>
      <c r="L288" s="64" t="s">
        <v>1274</v>
      </c>
      <c r="M288" s="10" t="s">
        <v>199</v>
      </c>
      <c r="N288" s="40" t="str">
        <f t="shared" si="2"/>
        <v>Não</v>
      </c>
    </row>
    <row r="289" ht="30.0" hidden="1" customHeight="1">
      <c r="A289" s="10" t="s">
        <v>1228</v>
      </c>
      <c r="B289" s="47" t="s">
        <v>1279</v>
      </c>
      <c r="C289" s="47" t="s">
        <v>859</v>
      </c>
      <c r="D289" s="51">
        <v>2024.0</v>
      </c>
      <c r="E289" s="47" t="s">
        <v>1280</v>
      </c>
      <c r="F289" s="47" t="s">
        <v>1281</v>
      </c>
      <c r="G289" s="47" t="s">
        <v>1282</v>
      </c>
      <c r="H289" s="10" t="s">
        <v>166</v>
      </c>
      <c r="I289" s="10" t="s">
        <v>166</v>
      </c>
      <c r="J289" s="40" t="str">
        <f t="shared" si="1"/>
        <v>Igual</v>
      </c>
      <c r="K289" s="47" t="s">
        <v>1283</v>
      </c>
      <c r="L289" s="64" t="s">
        <v>1243</v>
      </c>
      <c r="M289" s="10" t="s">
        <v>199</v>
      </c>
      <c r="N289" s="40" t="str">
        <f t="shared" si="2"/>
        <v>Não</v>
      </c>
    </row>
    <row r="290" ht="30.0" customHeight="1">
      <c r="A290" s="10" t="s">
        <v>1228</v>
      </c>
      <c r="B290" s="47" t="s">
        <v>1284</v>
      </c>
      <c r="C290" s="47" t="s">
        <v>1285</v>
      </c>
      <c r="D290" s="51">
        <v>2021.0</v>
      </c>
      <c r="E290" s="47"/>
      <c r="F290" s="47" t="s">
        <v>1286</v>
      </c>
      <c r="G290" s="47" t="s">
        <v>1287</v>
      </c>
      <c r="H290" s="10" t="s">
        <v>166</v>
      </c>
      <c r="I290" s="10" t="s">
        <v>165</v>
      </c>
      <c r="J290" s="40" t="str">
        <f t="shared" si="1"/>
        <v>Diferente</v>
      </c>
      <c r="K290" s="47" t="s">
        <v>1283</v>
      </c>
      <c r="L290" s="64" t="s">
        <v>1235</v>
      </c>
      <c r="M290" s="10" t="s">
        <v>199</v>
      </c>
      <c r="N290" s="40" t="str">
        <f t="shared" si="2"/>
        <v>Sim</v>
      </c>
      <c r="O290" s="65"/>
      <c r="P290" s="44"/>
    </row>
    <row r="291" ht="30.0" hidden="1" customHeight="1">
      <c r="A291" s="10" t="s">
        <v>1228</v>
      </c>
      <c r="B291" s="47" t="s">
        <v>1288</v>
      </c>
      <c r="C291" s="47" t="s">
        <v>1289</v>
      </c>
      <c r="D291" s="51">
        <v>2024.0</v>
      </c>
      <c r="E291" s="47" t="s">
        <v>1290</v>
      </c>
      <c r="F291" s="47" t="s">
        <v>1291</v>
      </c>
      <c r="G291" s="47" t="s">
        <v>1292</v>
      </c>
      <c r="H291" s="10" t="s">
        <v>166</v>
      </c>
      <c r="I291" s="10" t="s">
        <v>166</v>
      </c>
      <c r="J291" s="40" t="str">
        <f t="shared" si="1"/>
        <v>Igual</v>
      </c>
      <c r="K291" s="47" t="s">
        <v>1234</v>
      </c>
      <c r="L291" s="64" t="s">
        <v>1243</v>
      </c>
      <c r="M291" s="10" t="s">
        <v>199</v>
      </c>
      <c r="N291" s="40" t="str">
        <f t="shared" si="2"/>
        <v>Não</v>
      </c>
    </row>
    <row r="292" ht="30.0" customHeight="1">
      <c r="A292" s="10" t="s">
        <v>1228</v>
      </c>
      <c r="B292" s="47" t="s">
        <v>1293</v>
      </c>
      <c r="C292" s="47" t="s">
        <v>1294</v>
      </c>
      <c r="D292" s="51">
        <v>2025.0</v>
      </c>
      <c r="E292" s="47" t="s">
        <v>1295</v>
      </c>
      <c r="F292" s="47" t="s">
        <v>1296</v>
      </c>
      <c r="G292" s="47" t="s">
        <v>1297</v>
      </c>
      <c r="H292" s="10" t="s">
        <v>165</v>
      </c>
      <c r="I292" s="10" t="s">
        <v>165</v>
      </c>
      <c r="J292" s="40" t="str">
        <f t="shared" si="1"/>
        <v>Igual</v>
      </c>
      <c r="K292" s="47" t="s">
        <v>1242</v>
      </c>
      <c r="L292" s="64" t="s">
        <v>1235</v>
      </c>
      <c r="M292" s="10" t="s">
        <v>199</v>
      </c>
      <c r="N292" s="40" t="str">
        <f t="shared" si="2"/>
        <v>Sim</v>
      </c>
      <c r="O292" s="65"/>
      <c r="P292" s="44"/>
    </row>
    <row r="293" ht="30.0" hidden="1" customHeight="1">
      <c r="A293" s="10" t="s">
        <v>1228</v>
      </c>
      <c r="B293" s="47" t="s">
        <v>1298</v>
      </c>
      <c r="C293" s="47" t="s">
        <v>1299</v>
      </c>
      <c r="D293" s="51">
        <v>2025.0</v>
      </c>
      <c r="E293" s="47" t="s">
        <v>1300</v>
      </c>
      <c r="F293" s="47" t="s">
        <v>1301</v>
      </c>
      <c r="G293" s="47" t="s">
        <v>1302</v>
      </c>
      <c r="H293" s="10" t="s">
        <v>166</v>
      </c>
      <c r="I293" s="10" t="s">
        <v>166</v>
      </c>
      <c r="J293" s="40" t="str">
        <f t="shared" si="1"/>
        <v>Igual</v>
      </c>
      <c r="K293" s="47" t="s">
        <v>1249</v>
      </c>
      <c r="L293" s="64" t="s">
        <v>1303</v>
      </c>
      <c r="M293" s="10" t="s">
        <v>199</v>
      </c>
      <c r="N293" s="40" t="str">
        <f t="shared" si="2"/>
        <v>Não</v>
      </c>
    </row>
    <row r="294" ht="30.0" hidden="1" customHeight="1">
      <c r="A294" s="10" t="s">
        <v>1228</v>
      </c>
      <c r="B294" s="47" t="s">
        <v>1304</v>
      </c>
      <c r="C294" s="47" t="s">
        <v>1305</v>
      </c>
      <c r="D294" s="51">
        <v>2020.0</v>
      </c>
      <c r="E294" s="47" t="s">
        <v>1306</v>
      </c>
      <c r="F294" s="47" t="s">
        <v>1307</v>
      </c>
      <c r="G294" s="47" t="s">
        <v>1308</v>
      </c>
      <c r="H294" s="10" t="s">
        <v>166</v>
      </c>
      <c r="I294" s="10" t="s">
        <v>166</v>
      </c>
      <c r="J294" s="40" t="str">
        <f t="shared" si="1"/>
        <v>Igual</v>
      </c>
      <c r="K294" s="47" t="s">
        <v>1249</v>
      </c>
      <c r="L294" s="64" t="s">
        <v>1303</v>
      </c>
      <c r="M294" s="10" t="s">
        <v>199</v>
      </c>
      <c r="N294" s="40" t="str">
        <f t="shared" si="2"/>
        <v>Não</v>
      </c>
    </row>
    <row r="295" ht="30.0" hidden="1" customHeight="1">
      <c r="A295" s="10" t="s">
        <v>1228</v>
      </c>
      <c r="B295" s="47" t="s">
        <v>1309</v>
      </c>
      <c r="C295" s="47" t="s">
        <v>1310</v>
      </c>
      <c r="D295" s="51">
        <v>2025.0</v>
      </c>
      <c r="E295" s="47" t="s">
        <v>1311</v>
      </c>
      <c r="F295" s="47" t="s">
        <v>1312</v>
      </c>
      <c r="G295" s="47" t="s">
        <v>1313</v>
      </c>
      <c r="H295" s="10" t="s">
        <v>166</v>
      </c>
      <c r="I295" s="10" t="s">
        <v>166</v>
      </c>
      <c r="J295" s="40" t="str">
        <f t="shared" si="1"/>
        <v>Igual</v>
      </c>
      <c r="K295" s="47" t="s">
        <v>1283</v>
      </c>
      <c r="L295" s="64" t="s">
        <v>1314</v>
      </c>
      <c r="M295" s="10" t="s">
        <v>199</v>
      </c>
      <c r="N295" s="40" t="str">
        <f t="shared" si="2"/>
        <v>Não</v>
      </c>
    </row>
    <row r="296" ht="30.0" hidden="1" customHeight="1">
      <c r="A296" s="10" t="s">
        <v>1228</v>
      </c>
      <c r="B296" s="47" t="s">
        <v>1315</v>
      </c>
      <c r="C296" s="47" t="s">
        <v>1316</v>
      </c>
      <c r="D296" s="51">
        <v>2024.0</v>
      </c>
      <c r="E296" s="47" t="s">
        <v>1257</v>
      </c>
      <c r="F296" s="47" t="s">
        <v>1317</v>
      </c>
      <c r="G296" s="47" t="s">
        <v>1318</v>
      </c>
      <c r="H296" s="10" t="s">
        <v>166</v>
      </c>
      <c r="I296" s="10" t="s">
        <v>166</v>
      </c>
      <c r="J296" s="40" t="str">
        <f t="shared" si="1"/>
        <v>Igual</v>
      </c>
      <c r="K296" s="47" t="s">
        <v>1249</v>
      </c>
      <c r="L296" s="64" t="s">
        <v>1314</v>
      </c>
      <c r="M296" s="10" t="s">
        <v>199</v>
      </c>
      <c r="N296" s="40" t="str">
        <f t="shared" si="2"/>
        <v>Não</v>
      </c>
    </row>
    <row r="297" ht="30.0" hidden="1" customHeight="1">
      <c r="A297" s="10" t="s">
        <v>1228</v>
      </c>
      <c r="B297" s="47" t="s">
        <v>1319</v>
      </c>
      <c r="C297" s="47" t="s">
        <v>1320</v>
      </c>
      <c r="D297" s="51">
        <v>2020.0</v>
      </c>
      <c r="E297" s="47" t="s">
        <v>1321</v>
      </c>
      <c r="F297" s="47" t="s">
        <v>1322</v>
      </c>
      <c r="G297" s="47" t="s">
        <v>1323</v>
      </c>
      <c r="H297" s="10" t="s">
        <v>166</v>
      </c>
      <c r="I297" s="10" t="s">
        <v>166</v>
      </c>
      <c r="J297" s="40" t="str">
        <f t="shared" si="1"/>
        <v>Igual</v>
      </c>
      <c r="K297" s="47" t="s">
        <v>1249</v>
      </c>
      <c r="L297" s="64" t="s">
        <v>1314</v>
      </c>
      <c r="M297" s="10" t="s">
        <v>199</v>
      </c>
      <c r="N297" s="40" t="str">
        <f t="shared" si="2"/>
        <v>Não</v>
      </c>
    </row>
    <row r="298" ht="30.0" hidden="1" customHeight="1">
      <c r="A298" s="10" t="s">
        <v>1228</v>
      </c>
      <c r="B298" s="47" t="s">
        <v>1324</v>
      </c>
      <c r="C298" s="47" t="s">
        <v>1325</v>
      </c>
      <c r="D298" s="51">
        <v>2025.0</v>
      </c>
      <c r="E298" s="47">
        <v>9.781394270767E12</v>
      </c>
      <c r="F298" s="47" t="s">
        <v>1326</v>
      </c>
      <c r="G298" s="47"/>
      <c r="H298" s="10" t="s">
        <v>166</v>
      </c>
      <c r="I298" s="10" t="s">
        <v>166</v>
      </c>
      <c r="J298" s="40" t="str">
        <f t="shared" si="1"/>
        <v>Igual</v>
      </c>
      <c r="K298" s="47" t="s">
        <v>1283</v>
      </c>
      <c r="L298" s="64" t="s">
        <v>1314</v>
      </c>
      <c r="M298" s="10" t="s">
        <v>199</v>
      </c>
      <c r="N298" s="40" t="str">
        <f t="shared" si="2"/>
        <v>Não</v>
      </c>
    </row>
    <row r="299" ht="30.0" customHeight="1">
      <c r="A299" s="10" t="s">
        <v>1228</v>
      </c>
      <c r="B299" s="47" t="s">
        <v>1327</v>
      </c>
      <c r="C299" s="47" t="s">
        <v>1328</v>
      </c>
      <c r="D299" s="51">
        <v>2023.0</v>
      </c>
      <c r="E299" s="47" t="s">
        <v>1329</v>
      </c>
      <c r="F299" s="47" t="s">
        <v>1330</v>
      </c>
      <c r="G299" s="47" t="s">
        <v>1331</v>
      </c>
      <c r="H299" s="10" t="s">
        <v>165</v>
      </c>
      <c r="I299" s="10" t="s">
        <v>166</v>
      </c>
      <c r="J299" s="40" t="str">
        <f t="shared" si="1"/>
        <v>Diferente</v>
      </c>
      <c r="K299" s="47" t="s">
        <v>1242</v>
      </c>
      <c r="L299" s="64" t="s">
        <v>1303</v>
      </c>
      <c r="M299" s="10" t="s">
        <v>199</v>
      </c>
      <c r="N299" s="40" t="str">
        <f t="shared" si="2"/>
        <v>Sim</v>
      </c>
      <c r="O299" s="65"/>
      <c r="P299" s="44"/>
    </row>
    <row r="300" ht="30.0" customHeight="1">
      <c r="A300" s="10" t="s">
        <v>1228</v>
      </c>
      <c r="B300" s="47" t="s">
        <v>1332</v>
      </c>
      <c r="C300" s="47" t="s">
        <v>1333</v>
      </c>
      <c r="D300" s="51">
        <v>2024.0</v>
      </c>
      <c r="E300" s="47" t="s">
        <v>1334</v>
      </c>
      <c r="F300" s="47" t="s">
        <v>1335</v>
      </c>
      <c r="G300" s="47"/>
      <c r="H300" s="10" t="s">
        <v>166</v>
      </c>
      <c r="I300" s="10" t="s">
        <v>165</v>
      </c>
      <c r="J300" s="40" t="str">
        <f t="shared" si="1"/>
        <v>Diferente</v>
      </c>
      <c r="K300" s="47" t="s">
        <v>1283</v>
      </c>
      <c r="L300" s="64" t="s">
        <v>1235</v>
      </c>
      <c r="M300" s="10" t="s">
        <v>199</v>
      </c>
      <c r="N300" s="40" t="str">
        <f t="shared" si="2"/>
        <v>Sim</v>
      </c>
      <c r="O300" s="65"/>
      <c r="P300" s="44"/>
    </row>
    <row r="301" ht="30.0" customHeight="1">
      <c r="A301" s="10" t="s">
        <v>1228</v>
      </c>
      <c r="B301" s="47" t="s">
        <v>1336</v>
      </c>
      <c r="C301" s="47" t="s">
        <v>1337</v>
      </c>
      <c r="D301" s="51">
        <v>2025.0</v>
      </c>
      <c r="E301" s="47" t="s">
        <v>1338</v>
      </c>
      <c r="F301" s="47" t="s">
        <v>1339</v>
      </c>
      <c r="G301" s="47" t="s">
        <v>1340</v>
      </c>
      <c r="H301" s="10" t="s">
        <v>165</v>
      </c>
      <c r="I301" s="10" t="s">
        <v>166</v>
      </c>
      <c r="J301" s="40" t="str">
        <f t="shared" si="1"/>
        <v>Diferente</v>
      </c>
      <c r="K301" s="47" t="s">
        <v>1242</v>
      </c>
      <c r="L301" s="64" t="s">
        <v>1250</v>
      </c>
      <c r="M301" s="10" t="s">
        <v>199</v>
      </c>
      <c r="N301" s="40" t="str">
        <f t="shared" si="2"/>
        <v>Sim</v>
      </c>
      <c r="O301" s="65"/>
      <c r="P301" s="44"/>
    </row>
    <row r="302" ht="30.0" hidden="1" customHeight="1">
      <c r="A302" s="10" t="s">
        <v>1228</v>
      </c>
      <c r="B302" s="47" t="s">
        <v>1341</v>
      </c>
      <c r="C302" s="47" t="s">
        <v>1342</v>
      </c>
      <c r="D302" s="51">
        <v>2023.0</v>
      </c>
      <c r="E302" s="47" t="s">
        <v>1343</v>
      </c>
      <c r="F302" s="47" t="s">
        <v>1344</v>
      </c>
      <c r="G302" s="47" t="s">
        <v>1345</v>
      </c>
      <c r="H302" s="10" t="s">
        <v>166</v>
      </c>
      <c r="I302" s="10" t="s">
        <v>166</v>
      </c>
      <c r="J302" s="40" t="str">
        <f t="shared" si="1"/>
        <v>Igual</v>
      </c>
      <c r="K302" s="47" t="s">
        <v>1234</v>
      </c>
      <c r="L302" s="64" t="s">
        <v>1250</v>
      </c>
      <c r="M302" s="10" t="s">
        <v>199</v>
      </c>
      <c r="N302" s="40" t="str">
        <f t="shared" si="2"/>
        <v>Não</v>
      </c>
    </row>
    <row r="303" ht="30.0" customHeight="1">
      <c r="A303" s="10" t="s">
        <v>1228</v>
      </c>
      <c r="B303" s="47" t="s">
        <v>1346</v>
      </c>
      <c r="C303" s="47" t="s">
        <v>1347</v>
      </c>
      <c r="D303" s="51">
        <v>2025.0</v>
      </c>
      <c r="E303" s="47" t="s">
        <v>1348</v>
      </c>
      <c r="F303" s="47" t="s">
        <v>1349</v>
      </c>
      <c r="G303" s="47" t="s">
        <v>1350</v>
      </c>
      <c r="H303" s="10" t="s">
        <v>166</v>
      </c>
      <c r="I303" s="10" t="s">
        <v>165</v>
      </c>
      <c r="J303" s="40" t="str">
        <f t="shared" si="1"/>
        <v>Diferente</v>
      </c>
      <c r="K303" s="47" t="s">
        <v>1234</v>
      </c>
      <c r="L303" s="64" t="s">
        <v>1235</v>
      </c>
      <c r="M303" s="10" t="s">
        <v>199</v>
      </c>
      <c r="N303" s="40" t="str">
        <f t="shared" si="2"/>
        <v>Sim</v>
      </c>
      <c r="O303" s="65"/>
      <c r="P303" s="44"/>
    </row>
    <row r="304" ht="30.0" hidden="1" customHeight="1">
      <c r="G304" s="3"/>
      <c r="J304" s="40" t="str">
        <f t="shared" si="1"/>
        <v/>
      </c>
      <c r="L304" s="64"/>
      <c r="N304" s="40" t="str">
        <f t="shared" si="2"/>
        <v/>
      </c>
    </row>
    <row r="305" ht="30.0" hidden="1" customHeight="1">
      <c r="G305" s="3"/>
      <c r="H305" s="10"/>
      <c r="I305" s="10"/>
      <c r="J305" s="40" t="str">
        <f t="shared" si="1"/>
        <v/>
      </c>
      <c r="M305" s="10"/>
      <c r="N305" s="40" t="str">
        <f t="shared" si="2"/>
        <v/>
      </c>
    </row>
    <row r="306" ht="30.0" hidden="1" customHeight="1">
      <c r="G306" s="3"/>
      <c r="H306" s="10"/>
      <c r="I306" s="10"/>
      <c r="J306" s="40" t="str">
        <f t="shared" si="1"/>
        <v/>
      </c>
      <c r="M306" s="10"/>
      <c r="N306" s="40" t="str">
        <f t="shared" si="2"/>
        <v/>
      </c>
    </row>
    <row r="307" ht="30.0" hidden="1" customHeight="1">
      <c r="G307" s="3"/>
      <c r="H307" s="10"/>
      <c r="I307" s="10"/>
      <c r="J307" s="40" t="str">
        <f t="shared" si="1"/>
        <v/>
      </c>
      <c r="M307" s="10"/>
      <c r="N307" s="40" t="str">
        <f t="shared" si="2"/>
        <v/>
      </c>
    </row>
    <row r="308" ht="30.0" hidden="1" customHeight="1">
      <c r="G308" s="3"/>
      <c r="H308" s="10"/>
      <c r="I308" s="10"/>
      <c r="J308" s="40" t="str">
        <f t="shared" si="1"/>
        <v/>
      </c>
      <c r="M308" s="10"/>
      <c r="N308" s="40" t="str">
        <f t="shared" si="2"/>
        <v/>
      </c>
    </row>
    <row r="309" ht="30.0" hidden="1" customHeight="1">
      <c r="G309" s="3"/>
      <c r="H309" s="10"/>
      <c r="I309" s="10"/>
      <c r="J309" s="40" t="str">
        <f t="shared" si="1"/>
        <v/>
      </c>
      <c r="M309" s="10"/>
      <c r="N309" s="40" t="str">
        <f t="shared" si="2"/>
        <v/>
      </c>
    </row>
    <row r="310" ht="30.0" hidden="1" customHeight="1">
      <c r="G310" s="3"/>
      <c r="H310" s="10"/>
      <c r="I310" s="10"/>
      <c r="J310" s="40" t="str">
        <f t="shared" si="1"/>
        <v/>
      </c>
      <c r="M310" s="10"/>
      <c r="N310" s="40" t="str">
        <f t="shared" si="2"/>
        <v/>
      </c>
    </row>
    <row r="311" ht="30.0" hidden="1" customHeight="1">
      <c r="G311" s="3"/>
      <c r="H311" s="10"/>
      <c r="I311" s="10"/>
      <c r="J311" s="40" t="str">
        <f t="shared" si="1"/>
        <v/>
      </c>
      <c r="M311" s="10"/>
      <c r="N311" s="40" t="str">
        <f t="shared" si="2"/>
        <v/>
      </c>
    </row>
    <row r="312" ht="30.0" hidden="1" customHeight="1">
      <c r="G312" s="3"/>
      <c r="H312" s="10"/>
      <c r="I312" s="10"/>
      <c r="J312" s="40" t="str">
        <f t="shared" si="1"/>
        <v/>
      </c>
      <c r="M312" s="10"/>
      <c r="N312" s="40" t="str">
        <f t="shared" si="2"/>
        <v/>
      </c>
    </row>
    <row r="313" ht="30.0" hidden="1" customHeight="1">
      <c r="G313" s="3"/>
      <c r="H313" s="10"/>
      <c r="I313" s="10"/>
      <c r="J313" s="40" t="str">
        <f t="shared" si="1"/>
        <v/>
      </c>
      <c r="M313" s="10"/>
      <c r="N313" s="40" t="str">
        <f t="shared" si="2"/>
        <v/>
      </c>
    </row>
    <row r="314" ht="30.0" hidden="1" customHeight="1">
      <c r="G314" s="3"/>
      <c r="H314" s="10"/>
      <c r="I314" s="10"/>
      <c r="J314" s="40" t="str">
        <f t="shared" si="1"/>
        <v/>
      </c>
      <c r="M314" s="10"/>
      <c r="N314" s="40" t="str">
        <f t="shared" si="2"/>
        <v/>
      </c>
    </row>
    <row r="315" ht="30.0" hidden="1" customHeight="1">
      <c r="G315" s="3"/>
      <c r="H315" s="10"/>
      <c r="I315" s="10"/>
      <c r="J315" s="40" t="str">
        <f t="shared" si="1"/>
        <v/>
      </c>
      <c r="M315" s="10"/>
      <c r="N315" s="40" t="str">
        <f t="shared" si="2"/>
        <v/>
      </c>
    </row>
    <row r="316" ht="30.0" hidden="1" customHeight="1">
      <c r="G316" s="3"/>
      <c r="H316" s="10"/>
      <c r="I316" s="10"/>
      <c r="J316" s="40" t="str">
        <f t="shared" si="1"/>
        <v/>
      </c>
      <c r="M316" s="10"/>
      <c r="N316" s="40" t="str">
        <f t="shared" si="2"/>
        <v/>
      </c>
    </row>
    <row r="317" ht="30.0" hidden="1" customHeight="1">
      <c r="G317" s="3"/>
      <c r="H317" s="10"/>
      <c r="I317" s="10"/>
      <c r="J317" s="40" t="str">
        <f t="shared" si="1"/>
        <v/>
      </c>
      <c r="M317" s="10"/>
      <c r="N317" s="40" t="str">
        <f t="shared" si="2"/>
        <v/>
      </c>
    </row>
    <row r="318" ht="30.0" hidden="1" customHeight="1">
      <c r="G318" s="3"/>
      <c r="H318" s="10"/>
      <c r="I318" s="10"/>
      <c r="J318" s="40" t="str">
        <f t="shared" si="1"/>
        <v/>
      </c>
      <c r="M318" s="10"/>
      <c r="N318" s="40" t="str">
        <f t="shared" si="2"/>
        <v/>
      </c>
    </row>
    <row r="319" ht="30.0" hidden="1" customHeight="1">
      <c r="G319" s="3"/>
      <c r="H319" s="10"/>
      <c r="I319" s="10"/>
      <c r="J319" s="40" t="str">
        <f t="shared" si="1"/>
        <v/>
      </c>
      <c r="M319" s="10"/>
      <c r="N319" s="40" t="str">
        <f t="shared" si="2"/>
        <v/>
      </c>
    </row>
    <row r="320" ht="30.0" hidden="1" customHeight="1">
      <c r="G320" s="3"/>
      <c r="H320" s="10"/>
      <c r="I320" s="10"/>
      <c r="J320" s="40" t="str">
        <f t="shared" si="1"/>
        <v/>
      </c>
      <c r="M320" s="10"/>
      <c r="N320" s="40" t="str">
        <f t="shared" si="2"/>
        <v/>
      </c>
    </row>
    <row r="321" ht="30.0" hidden="1" customHeight="1">
      <c r="G321" s="3"/>
      <c r="H321" s="10"/>
      <c r="I321" s="10"/>
      <c r="J321" s="40" t="str">
        <f t="shared" si="1"/>
        <v/>
      </c>
      <c r="M321" s="10"/>
      <c r="N321" s="40" t="str">
        <f t="shared" si="2"/>
        <v/>
      </c>
    </row>
    <row r="322" ht="30.0" hidden="1" customHeight="1">
      <c r="G322" s="3"/>
      <c r="H322" s="10"/>
      <c r="I322" s="10"/>
      <c r="J322" s="40" t="str">
        <f t="shared" si="1"/>
        <v/>
      </c>
      <c r="M322" s="10"/>
      <c r="N322" s="40" t="str">
        <f t="shared" si="2"/>
        <v/>
      </c>
    </row>
    <row r="323" ht="30.0" hidden="1" customHeight="1">
      <c r="G323" s="3"/>
      <c r="H323" s="10"/>
      <c r="I323" s="10"/>
      <c r="J323" s="40" t="str">
        <f t="shared" si="1"/>
        <v/>
      </c>
      <c r="M323" s="10"/>
      <c r="N323" s="40" t="str">
        <f t="shared" si="2"/>
        <v/>
      </c>
    </row>
    <row r="324" ht="30.0" hidden="1" customHeight="1">
      <c r="G324" s="3"/>
      <c r="H324" s="10"/>
      <c r="I324" s="10"/>
      <c r="J324" s="40" t="str">
        <f t="shared" si="1"/>
        <v/>
      </c>
      <c r="M324" s="10"/>
      <c r="N324" s="40" t="str">
        <f t="shared" si="2"/>
        <v/>
      </c>
    </row>
    <row r="325" ht="30.0" hidden="1" customHeight="1">
      <c r="G325" s="3"/>
      <c r="H325" s="10"/>
      <c r="I325" s="10"/>
      <c r="J325" s="40" t="str">
        <f t="shared" si="1"/>
        <v/>
      </c>
      <c r="M325" s="10"/>
      <c r="N325" s="40" t="str">
        <f t="shared" si="2"/>
        <v/>
      </c>
    </row>
    <row r="326" ht="30.0" hidden="1" customHeight="1">
      <c r="G326" s="3"/>
      <c r="H326" s="10"/>
      <c r="I326" s="10"/>
      <c r="J326" s="40" t="str">
        <f t="shared" si="1"/>
        <v/>
      </c>
      <c r="M326" s="10"/>
      <c r="N326" s="40" t="str">
        <f t="shared" si="2"/>
        <v/>
      </c>
    </row>
    <row r="327" ht="30.0" hidden="1" customHeight="1">
      <c r="G327" s="3"/>
      <c r="H327" s="10"/>
      <c r="I327" s="10"/>
      <c r="J327" s="40" t="str">
        <f t="shared" si="1"/>
        <v/>
      </c>
      <c r="M327" s="10"/>
      <c r="N327" s="40" t="str">
        <f t="shared" si="2"/>
        <v/>
      </c>
    </row>
    <row r="328" ht="30.0" hidden="1" customHeight="1">
      <c r="G328" s="3"/>
      <c r="H328" s="10"/>
      <c r="I328" s="10"/>
      <c r="J328" s="40" t="str">
        <f t="shared" si="1"/>
        <v/>
      </c>
      <c r="M328" s="10"/>
      <c r="N328" s="40" t="str">
        <f t="shared" si="2"/>
        <v/>
      </c>
    </row>
    <row r="329" ht="30.0" hidden="1" customHeight="1">
      <c r="G329" s="3"/>
      <c r="H329" s="10"/>
      <c r="I329" s="10"/>
      <c r="J329" s="40" t="str">
        <f t="shared" si="1"/>
        <v/>
      </c>
      <c r="M329" s="10"/>
      <c r="N329" s="40" t="str">
        <f t="shared" si="2"/>
        <v/>
      </c>
    </row>
    <row r="330" ht="30.0" hidden="1" customHeight="1">
      <c r="G330" s="3"/>
      <c r="H330" s="10"/>
      <c r="I330" s="10"/>
      <c r="J330" s="40" t="str">
        <f t="shared" si="1"/>
        <v/>
      </c>
      <c r="M330" s="10"/>
      <c r="N330" s="40" t="str">
        <f t="shared" si="2"/>
        <v/>
      </c>
    </row>
    <row r="331" ht="30.0" hidden="1" customHeight="1">
      <c r="G331" s="3"/>
      <c r="H331" s="10"/>
      <c r="I331" s="10"/>
      <c r="J331" s="40" t="str">
        <f t="shared" si="1"/>
        <v/>
      </c>
      <c r="M331" s="10"/>
      <c r="N331" s="40" t="str">
        <f t="shared" si="2"/>
        <v/>
      </c>
    </row>
    <row r="332" ht="30.0" hidden="1" customHeight="1">
      <c r="G332" s="3"/>
      <c r="H332" s="10"/>
      <c r="I332" s="10"/>
      <c r="J332" s="40" t="str">
        <f t="shared" si="1"/>
        <v/>
      </c>
      <c r="M332" s="10"/>
      <c r="N332" s="40" t="str">
        <f t="shared" si="2"/>
        <v/>
      </c>
    </row>
    <row r="333" ht="30.0" hidden="1" customHeight="1">
      <c r="G333" s="3"/>
      <c r="H333" s="10"/>
      <c r="I333" s="10"/>
      <c r="J333" s="40" t="str">
        <f t="shared" si="1"/>
        <v/>
      </c>
      <c r="M333" s="10"/>
      <c r="N333" s="40" t="str">
        <f t="shared" si="2"/>
        <v/>
      </c>
    </row>
    <row r="334" ht="30.0" hidden="1" customHeight="1">
      <c r="G334" s="3"/>
      <c r="H334" s="10"/>
      <c r="I334" s="10"/>
      <c r="J334" s="40" t="str">
        <f t="shared" si="1"/>
        <v/>
      </c>
      <c r="M334" s="10"/>
      <c r="N334" s="40" t="str">
        <f t="shared" si="2"/>
        <v/>
      </c>
    </row>
    <row r="335" ht="30.0" hidden="1" customHeight="1">
      <c r="G335" s="3"/>
      <c r="H335" s="10"/>
      <c r="I335" s="10"/>
      <c r="J335" s="40" t="str">
        <f t="shared" si="1"/>
        <v/>
      </c>
      <c r="M335" s="10"/>
      <c r="N335" s="40" t="str">
        <f t="shared" si="2"/>
        <v/>
      </c>
    </row>
    <row r="336" ht="30.0" hidden="1" customHeight="1">
      <c r="G336" s="3"/>
      <c r="H336" s="10"/>
      <c r="I336" s="10"/>
      <c r="J336" s="40" t="str">
        <f t="shared" si="1"/>
        <v/>
      </c>
      <c r="M336" s="10"/>
      <c r="N336" s="40" t="str">
        <f t="shared" si="2"/>
        <v/>
      </c>
    </row>
    <row r="337" ht="30.0" hidden="1" customHeight="1">
      <c r="G337" s="3"/>
      <c r="H337" s="10"/>
      <c r="I337" s="10"/>
      <c r="J337" s="40" t="str">
        <f t="shared" si="1"/>
        <v/>
      </c>
      <c r="M337" s="10"/>
      <c r="N337" s="40" t="str">
        <f t="shared" si="2"/>
        <v/>
      </c>
    </row>
    <row r="338" ht="30.0" hidden="1" customHeight="1">
      <c r="G338" s="3"/>
      <c r="H338" s="10"/>
      <c r="I338" s="10"/>
      <c r="J338" s="40" t="str">
        <f t="shared" si="1"/>
        <v/>
      </c>
      <c r="M338" s="10"/>
      <c r="N338" s="40" t="str">
        <f t="shared" si="2"/>
        <v/>
      </c>
    </row>
    <row r="339" ht="30.0" hidden="1" customHeight="1">
      <c r="G339" s="3"/>
      <c r="H339" s="10"/>
      <c r="I339" s="10"/>
      <c r="J339" s="40" t="str">
        <f t="shared" si="1"/>
        <v/>
      </c>
      <c r="M339" s="10"/>
      <c r="N339" s="40" t="str">
        <f t="shared" si="2"/>
        <v/>
      </c>
    </row>
    <row r="340" ht="30.0" hidden="1" customHeight="1">
      <c r="G340" s="3"/>
      <c r="H340" s="10"/>
      <c r="I340" s="10"/>
      <c r="J340" s="40" t="str">
        <f t="shared" si="1"/>
        <v/>
      </c>
      <c r="M340" s="10"/>
      <c r="N340" s="40" t="str">
        <f t="shared" si="2"/>
        <v/>
      </c>
    </row>
    <row r="341" ht="30.0" hidden="1" customHeight="1">
      <c r="G341" s="3"/>
      <c r="H341" s="10"/>
      <c r="I341" s="10"/>
      <c r="J341" s="40" t="str">
        <f t="shared" si="1"/>
        <v/>
      </c>
      <c r="M341" s="10"/>
      <c r="N341" s="40" t="str">
        <f t="shared" si="2"/>
        <v/>
      </c>
    </row>
    <row r="342" ht="30.0" hidden="1" customHeight="1">
      <c r="G342" s="3"/>
      <c r="H342" s="10"/>
      <c r="I342" s="10"/>
      <c r="J342" s="40" t="str">
        <f t="shared" si="1"/>
        <v/>
      </c>
      <c r="M342" s="10"/>
      <c r="N342" s="40" t="str">
        <f t="shared" si="2"/>
        <v/>
      </c>
    </row>
    <row r="343" ht="30.0" hidden="1" customHeight="1">
      <c r="G343" s="3"/>
      <c r="H343" s="10"/>
      <c r="I343" s="10"/>
      <c r="J343" s="40" t="str">
        <f t="shared" si="1"/>
        <v/>
      </c>
      <c r="M343" s="10"/>
      <c r="N343" s="40" t="str">
        <f t="shared" si="2"/>
        <v/>
      </c>
    </row>
    <row r="344" ht="30.0" hidden="1" customHeight="1">
      <c r="G344" s="3"/>
      <c r="H344" s="10"/>
      <c r="I344" s="10"/>
      <c r="J344" s="40" t="str">
        <f t="shared" si="1"/>
        <v/>
      </c>
      <c r="M344" s="10"/>
      <c r="N344" s="40" t="str">
        <f t="shared" si="2"/>
        <v/>
      </c>
    </row>
    <row r="345" ht="30.0" hidden="1" customHeight="1">
      <c r="G345" s="3"/>
      <c r="H345" s="10"/>
      <c r="I345" s="10"/>
      <c r="J345" s="40" t="str">
        <f t="shared" si="1"/>
        <v/>
      </c>
      <c r="M345" s="10"/>
      <c r="N345" s="40" t="str">
        <f t="shared" si="2"/>
        <v/>
      </c>
    </row>
    <row r="346" ht="30.0" hidden="1" customHeight="1">
      <c r="G346" s="3"/>
      <c r="H346" s="10"/>
      <c r="I346" s="10"/>
      <c r="J346" s="40" t="str">
        <f t="shared" si="1"/>
        <v/>
      </c>
      <c r="M346" s="10"/>
      <c r="N346" s="40" t="str">
        <f t="shared" si="2"/>
        <v/>
      </c>
    </row>
    <row r="347" ht="30.0" hidden="1" customHeight="1">
      <c r="G347" s="3"/>
      <c r="H347" s="10"/>
      <c r="I347" s="10"/>
      <c r="J347" s="40" t="str">
        <f t="shared" si="1"/>
        <v/>
      </c>
      <c r="M347" s="10"/>
      <c r="N347" s="40" t="str">
        <f t="shared" si="2"/>
        <v/>
      </c>
    </row>
    <row r="348" ht="30.0" hidden="1" customHeight="1">
      <c r="G348" s="3"/>
      <c r="H348" s="10"/>
      <c r="I348" s="10"/>
      <c r="J348" s="40" t="str">
        <f t="shared" si="1"/>
        <v/>
      </c>
      <c r="M348" s="10"/>
      <c r="N348" s="40" t="str">
        <f t="shared" si="2"/>
        <v/>
      </c>
    </row>
    <row r="349" ht="30.0" hidden="1" customHeight="1">
      <c r="G349" s="3"/>
      <c r="H349" s="10"/>
      <c r="I349" s="10"/>
      <c r="J349" s="40" t="str">
        <f t="shared" si="1"/>
        <v/>
      </c>
      <c r="M349" s="10"/>
      <c r="N349" s="40" t="str">
        <f t="shared" si="2"/>
        <v/>
      </c>
    </row>
    <row r="350" ht="30.0" hidden="1" customHeight="1">
      <c r="G350" s="3"/>
      <c r="H350" s="10"/>
      <c r="I350" s="10"/>
      <c r="J350" s="40" t="str">
        <f t="shared" si="1"/>
        <v/>
      </c>
      <c r="M350" s="10"/>
      <c r="N350" s="40" t="str">
        <f t="shared" si="2"/>
        <v/>
      </c>
    </row>
    <row r="351" ht="30.0" hidden="1" customHeight="1">
      <c r="G351" s="3"/>
      <c r="H351" s="10"/>
      <c r="I351" s="10"/>
      <c r="J351" s="40" t="str">
        <f t="shared" si="1"/>
        <v/>
      </c>
      <c r="M351" s="10"/>
      <c r="N351" s="40" t="str">
        <f t="shared" si="2"/>
        <v/>
      </c>
    </row>
    <row r="352" ht="30.0" hidden="1" customHeight="1">
      <c r="G352" s="3"/>
      <c r="H352" s="10"/>
      <c r="I352" s="10"/>
      <c r="J352" s="40" t="str">
        <f t="shared" si="1"/>
        <v/>
      </c>
      <c r="M352" s="10"/>
      <c r="N352" s="40" t="str">
        <f t="shared" si="2"/>
        <v/>
      </c>
    </row>
    <row r="353" ht="30.0" hidden="1" customHeight="1">
      <c r="G353" s="3"/>
      <c r="H353" s="10"/>
      <c r="I353" s="10"/>
      <c r="J353" s="40" t="str">
        <f t="shared" si="1"/>
        <v/>
      </c>
      <c r="M353" s="10"/>
      <c r="N353" s="40" t="str">
        <f t="shared" si="2"/>
        <v/>
      </c>
    </row>
    <row r="354" ht="30.0" hidden="1" customHeight="1">
      <c r="G354" s="3"/>
      <c r="H354" s="10"/>
      <c r="I354" s="10"/>
      <c r="J354" s="40" t="str">
        <f t="shared" si="1"/>
        <v/>
      </c>
      <c r="M354" s="10"/>
      <c r="N354" s="40" t="str">
        <f t="shared" si="2"/>
        <v/>
      </c>
    </row>
    <row r="355" ht="30.0" hidden="1" customHeight="1">
      <c r="G355" s="3"/>
      <c r="H355" s="10"/>
      <c r="I355" s="10"/>
      <c r="J355" s="40" t="str">
        <f t="shared" si="1"/>
        <v/>
      </c>
      <c r="M355" s="10"/>
      <c r="N355" s="40" t="str">
        <f t="shared" si="2"/>
        <v/>
      </c>
    </row>
    <row r="356" ht="30.0" hidden="1" customHeight="1">
      <c r="G356" s="3"/>
      <c r="H356" s="10"/>
      <c r="I356" s="10"/>
      <c r="J356" s="40" t="str">
        <f t="shared" si="1"/>
        <v/>
      </c>
      <c r="M356" s="10"/>
      <c r="N356" s="40" t="str">
        <f t="shared" si="2"/>
        <v/>
      </c>
    </row>
    <row r="357" ht="30.0" hidden="1" customHeight="1">
      <c r="G357" s="3"/>
      <c r="H357" s="10"/>
      <c r="I357" s="10"/>
      <c r="J357" s="40" t="str">
        <f t="shared" si="1"/>
        <v/>
      </c>
      <c r="M357" s="10"/>
      <c r="N357" s="40" t="str">
        <f t="shared" si="2"/>
        <v/>
      </c>
    </row>
    <row r="358" ht="30.0" hidden="1" customHeight="1">
      <c r="G358" s="3"/>
      <c r="H358" s="10"/>
      <c r="I358" s="10"/>
      <c r="J358" s="40" t="str">
        <f t="shared" si="1"/>
        <v/>
      </c>
      <c r="M358" s="10"/>
      <c r="N358" s="40" t="str">
        <f t="shared" si="2"/>
        <v/>
      </c>
    </row>
    <row r="359" ht="30.0" hidden="1" customHeight="1">
      <c r="G359" s="3"/>
      <c r="H359" s="10"/>
      <c r="I359" s="10"/>
      <c r="J359" s="40" t="str">
        <f t="shared" si="1"/>
        <v/>
      </c>
      <c r="M359" s="10"/>
      <c r="N359" s="40" t="str">
        <f t="shared" si="2"/>
        <v/>
      </c>
    </row>
    <row r="360" ht="30.0" hidden="1" customHeight="1">
      <c r="G360" s="3"/>
      <c r="H360" s="10"/>
      <c r="I360" s="10"/>
      <c r="J360" s="40" t="str">
        <f t="shared" si="1"/>
        <v/>
      </c>
      <c r="M360" s="10"/>
      <c r="N360" s="40" t="str">
        <f t="shared" si="2"/>
        <v/>
      </c>
    </row>
    <row r="361" ht="30.0" hidden="1" customHeight="1">
      <c r="G361" s="3"/>
      <c r="H361" s="10"/>
      <c r="I361" s="10"/>
      <c r="J361" s="40" t="str">
        <f t="shared" si="1"/>
        <v/>
      </c>
      <c r="M361" s="10"/>
      <c r="N361" s="40" t="str">
        <f t="shared" si="2"/>
        <v/>
      </c>
    </row>
    <row r="362" ht="30.0" hidden="1" customHeight="1">
      <c r="G362" s="3"/>
      <c r="H362" s="10"/>
      <c r="I362" s="10"/>
      <c r="J362" s="40" t="str">
        <f t="shared" si="1"/>
        <v/>
      </c>
      <c r="M362" s="10"/>
      <c r="N362" s="40" t="str">
        <f t="shared" si="2"/>
        <v/>
      </c>
    </row>
    <row r="363" ht="30.0" hidden="1" customHeight="1">
      <c r="G363" s="3"/>
      <c r="H363" s="10"/>
      <c r="I363" s="10"/>
      <c r="J363" s="40" t="str">
        <f t="shared" si="1"/>
        <v/>
      </c>
      <c r="M363" s="10"/>
      <c r="N363" s="40" t="str">
        <f t="shared" si="2"/>
        <v/>
      </c>
    </row>
    <row r="364" ht="30.0" hidden="1" customHeight="1">
      <c r="G364" s="3"/>
      <c r="H364" s="10"/>
      <c r="I364" s="10"/>
      <c r="J364" s="40" t="str">
        <f t="shared" si="1"/>
        <v/>
      </c>
      <c r="M364" s="10"/>
      <c r="N364" s="40" t="str">
        <f t="shared" si="2"/>
        <v/>
      </c>
    </row>
    <row r="365" ht="30.0" hidden="1" customHeight="1">
      <c r="G365" s="3"/>
      <c r="H365" s="10"/>
      <c r="I365" s="10"/>
      <c r="J365" s="40" t="str">
        <f t="shared" si="1"/>
        <v/>
      </c>
      <c r="M365" s="10"/>
      <c r="N365" s="40" t="str">
        <f t="shared" si="2"/>
        <v/>
      </c>
    </row>
    <row r="366" ht="30.0" hidden="1" customHeight="1">
      <c r="G366" s="3"/>
      <c r="H366" s="10"/>
      <c r="I366" s="10"/>
      <c r="J366" s="40" t="str">
        <f t="shared" si="1"/>
        <v/>
      </c>
      <c r="M366" s="10"/>
      <c r="N366" s="40" t="str">
        <f t="shared" si="2"/>
        <v/>
      </c>
    </row>
    <row r="367" ht="30.0" hidden="1" customHeight="1">
      <c r="G367" s="3"/>
      <c r="H367" s="10"/>
      <c r="I367" s="10"/>
      <c r="J367" s="40" t="str">
        <f t="shared" si="1"/>
        <v/>
      </c>
      <c r="M367" s="10"/>
      <c r="N367" s="40" t="str">
        <f t="shared" si="2"/>
        <v/>
      </c>
    </row>
    <row r="368" ht="30.0" hidden="1" customHeight="1">
      <c r="G368" s="3"/>
      <c r="H368" s="10"/>
      <c r="I368" s="10"/>
      <c r="J368" s="40" t="str">
        <f t="shared" si="1"/>
        <v/>
      </c>
      <c r="M368" s="10"/>
      <c r="N368" s="40" t="str">
        <f t="shared" si="2"/>
        <v/>
      </c>
    </row>
    <row r="369" ht="30.0" hidden="1" customHeight="1">
      <c r="G369" s="3"/>
      <c r="H369" s="10"/>
      <c r="I369" s="10"/>
      <c r="J369" s="40" t="str">
        <f t="shared" si="1"/>
        <v/>
      </c>
      <c r="M369" s="10"/>
      <c r="N369" s="40" t="str">
        <f t="shared" si="2"/>
        <v/>
      </c>
    </row>
    <row r="370" ht="30.0" hidden="1" customHeight="1">
      <c r="G370" s="3"/>
      <c r="H370" s="10"/>
      <c r="I370" s="10"/>
      <c r="J370" s="40" t="str">
        <f t="shared" si="1"/>
        <v/>
      </c>
      <c r="M370" s="10"/>
      <c r="N370" s="40" t="str">
        <f t="shared" si="2"/>
        <v/>
      </c>
    </row>
    <row r="371" ht="30.0" hidden="1" customHeight="1">
      <c r="G371" s="3"/>
      <c r="H371" s="10"/>
      <c r="I371" s="10"/>
      <c r="J371" s="40" t="str">
        <f t="shared" si="1"/>
        <v/>
      </c>
      <c r="M371" s="10"/>
      <c r="N371" s="40" t="str">
        <f t="shared" si="2"/>
        <v/>
      </c>
    </row>
    <row r="372" ht="30.0" hidden="1" customHeight="1">
      <c r="G372" s="3"/>
      <c r="H372" s="10"/>
      <c r="I372" s="10"/>
      <c r="J372" s="40" t="str">
        <f t="shared" si="1"/>
        <v/>
      </c>
      <c r="M372" s="10"/>
      <c r="N372" s="40" t="str">
        <f t="shared" si="2"/>
        <v/>
      </c>
    </row>
    <row r="373" ht="30.0" hidden="1" customHeight="1">
      <c r="G373" s="3"/>
      <c r="H373" s="10"/>
      <c r="I373" s="10"/>
      <c r="J373" s="40" t="str">
        <f t="shared" si="1"/>
        <v/>
      </c>
      <c r="M373" s="10"/>
      <c r="N373" s="40" t="str">
        <f t="shared" si="2"/>
        <v/>
      </c>
    </row>
    <row r="374" ht="30.0" hidden="1" customHeight="1">
      <c r="G374" s="3"/>
      <c r="H374" s="10"/>
      <c r="I374" s="10"/>
      <c r="J374" s="40" t="str">
        <f t="shared" si="1"/>
        <v/>
      </c>
      <c r="M374" s="10"/>
      <c r="N374" s="40" t="str">
        <f t="shared" si="2"/>
        <v/>
      </c>
    </row>
    <row r="375" ht="30.0" hidden="1" customHeight="1">
      <c r="G375" s="3"/>
      <c r="H375" s="10"/>
      <c r="I375" s="10"/>
      <c r="J375" s="40" t="str">
        <f t="shared" si="1"/>
        <v/>
      </c>
      <c r="M375" s="10"/>
      <c r="N375" s="40" t="str">
        <f t="shared" si="2"/>
        <v/>
      </c>
    </row>
    <row r="376" ht="30.0" hidden="1" customHeight="1">
      <c r="G376" s="3"/>
      <c r="H376" s="10"/>
      <c r="I376" s="10"/>
      <c r="J376" s="40" t="str">
        <f t="shared" si="1"/>
        <v/>
      </c>
      <c r="M376" s="10"/>
      <c r="N376" s="40" t="str">
        <f t="shared" si="2"/>
        <v/>
      </c>
    </row>
    <row r="377" ht="30.0" hidden="1" customHeight="1">
      <c r="G377" s="3"/>
      <c r="H377" s="10"/>
      <c r="I377" s="10"/>
      <c r="J377" s="40" t="str">
        <f t="shared" si="1"/>
        <v/>
      </c>
      <c r="M377" s="10"/>
      <c r="N377" s="40" t="str">
        <f t="shared" si="2"/>
        <v/>
      </c>
    </row>
    <row r="378" ht="30.0" hidden="1" customHeight="1">
      <c r="G378" s="3"/>
      <c r="H378" s="10"/>
      <c r="I378" s="10"/>
      <c r="J378" s="40" t="str">
        <f t="shared" si="1"/>
        <v/>
      </c>
      <c r="M378" s="10"/>
      <c r="N378" s="40" t="str">
        <f t="shared" si="2"/>
        <v/>
      </c>
    </row>
    <row r="379" ht="30.0" hidden="1" customHeight="1">
      <c r="G379" s="3"/>
      <c r="H379" s="10"/>
      <c r="I379" s="10"/>
      <c r="J379" s="40" t="str">
        <f t="shared" si="1"/>
        <v/>
      </c>
      <c r="M379" s="10"/>
      <c r="N379" s="40" t="str">
        <f t="shared" si="2"/>
        <v/>
      </c>
    </row>
    <row r="380" ht="30.0" hidden="1" customHeight="1">
      <c r="G380" s="3"/>
      <c r="H380" s="10"/>
      <c r="I380" s="10"/>
      <c r="J380" s="40" t="str">
        <f t="shared" si="1"/>
        <v/>
      </c>
      <c r="M380" s="10"/>
      <c r="N380" s="40" t="str">
        <f t="shared" si="2"/>
        <v/>
      </c>
    </row>
    <row r="381" ht="30.0" hidden="1" customHeight="1">
      <c r="G381" s="3"/>
      <c r="H381" s="10"/>
      <c r="I381" s="10"/>
      <c r="J381" s="40" t="str">
        <f t="shared" si="1"/>
        <v/>
      </c>
      <c r="M381" s="10"/>
      <c r="N381" s="40" t="str">
        <f t="shared" si="2"/>
        <v/>
      </c>
    </row>
    <row r="382" ht="30.0" hidden="1" customHeight="1">
      <c r="G382" s="3"/>
      <c r="H382" s="10"/>
      <c r="I382" s="10"/>
      <c r="J382" s="40" t="str">
        <f t="shared" si="1"/>
        <v/>
      </c>
      <c r="M382" s="10"/>
      <c r="N382" s="40" t="str">
        <f t="shared" si="2"/>
        <v/>
      </c>
    </row>
    <row r="383" ht="30.0" hidden="1" customHeight="1">
      <c r="G383" s="3"/>
      <c r="H383" s="10"/>
      <c r="I383" s="10"/>
      <c r="J383" s="40" t="str">
        <f t="shared" si="1"/>
        <v/>
      </c>
      <c r="M383" s="10"/>
      <c r="N383" s="40" t="str">
        <f t="shared" si="2"/>
        <v/>
      </c>
    </row>
    <row r="384" ht="30.0" hidden="1" customHeight="1">
      <c r="G384" s="3"/>
      <c r="H384" s="10"/>
      <c r="I384" s="10"/>
      <c r="J384" s="40" t="str">
        <f t="shared" si="1"/>
        <v/>
      </c>
      <c r="M384" s="10"/>
      <c r="N384" s="40" t="str">
        <f t="shared" si="2"/>
        <v/>
      </c>
    </row>
    <row r="385" ht="30.0" hidden="1" customHeight="1">
      <c r="G385" s="3"/>
      <c r="H385" s="10"/>
      <c r="I385" s="10"/>
      <c r="J385" s="40" t="str">
        <f t="shared" si="1"/>
        <v/>
      </c>
      <c r="M385" s="10"/>
      <c r="N385" s="40" t="str">
        <f t="shared" si="2"/>
        <v/>
      </c>
    </row>
    <row r="386" ht="30.0" hidden="1" customHeight="1">
      <c r="G386" s="3"/>
      <c r="H386" s="10"/>
      <c r="I386" s="10"/>
      <c r="J386" s="40" t="str">
        <f t="shared" si="1"/>
        <v/>
      </c>
      <c r="M386" s="10"/>
      <c r="N386" s="40" t="str">
        <f t="shared" si="2"/>
        <v/>
      </c>
    </row>
    <row r="387" ht="30.0" hidden="1" customHeight="1">
      <c r="G387" s="3"/>
      <c r="H387" s="10"/>
      <c r="I387" s="10"/>
      <c r="J387" s="40" t="str">
        <f t="shared" si="1"/>
        <v/>
      </c>
      <c r="M387" s="10"/>
      <c r="N387" s="40" t="str">
        <f t="shared" si="2"/>
        <v/>
      </c>
    </row>
    <row r="388" ht="30.0" hidden="1" customHeight="1">
      <c r="G388" s="3"/>
      <c r="H388" s="10"/>
      <c r="I388" s="10"/>
      <c r="J388" s="40" t="str">
        <f t="shared" si="1"/>
        <v/>
      </c>
      <c r="M388" s="10"/>
      <c r="N388" s="40" t="str">
        <f t="shared" si="2"/>
        <v/>
      </c>
    </row>
    <row r="389" ht="30.0" hidden="1" customHeight="1">
      <c r="G389" s="3"/>
      <c r="H389" s="10"/>
      <c r="I389" s="10"/>
      <c r="J389" s="40" t="str">
        <f t="shared" si="1"/>
        <v/>
      </c>
      <c r="M389" s="10"/>
      <c r="N389" s="40" t="str">
        <f t="shared" si="2"/>
        <v/>
      </c>
    </row>
    <row r="390" ht="30.0" hidden="1" customHeight="1">
      <c r="G390" s="3"/>
      <c r="H390" s="10"/>
      <c r="I390" s="10"/>
      <c r="J390" s="40" t="str">
        <f t="shared" si="1"/>
        <v/>
      </c>
      <c r="M390" s="10"/>
      <c r="N390" s="40" t="str">
        <f t="shared" si="2"/>
        <v/>
      </c>
    </row>
    <row r="391" ht="30.0" hidden="1" customHeight="1">
      <c r="G391" s="3"/>
      <c r="H391" s="10"/>
      <c r="I391" s="10"/>
      <c r="J391" s="40" t="str">
        <f t="shared" si="1"/>
        <v/>
      </c>
      <c r="M391" s="10"/>
      <c r="N391" s="40" t="str">
        <f t="shared" si="2"/>
        <v/>
      </c>
    </row>
    <row r="392" ht="30.0" hidden="1" customHeight="1">
      <c r="G392" s="3"/>
      <c r="H392" s="10"/>
      <c r="I392" s="10"/>
      <c r="J392" s="40" t="str">
        <f t="shared" si="1"/>
        <v/>
      </c>
      <c r="M392" s="10"/>
      <c r="N392" s="40" t="str">
        <f t="shared" si="2"/>
        <v/>
      </c>
    </row>
    <row r="393" ht="30.0" hidden="1" customHeight="1">
      <c r="G393" s="3"/>
      <c r="H393" s="10"/>
      <c r="I393" s="10"/>
      <c r="J393" s="40" t="str">
        <f t="shared" si="1"/>
        <v/>
      </c>
      <c r="M393" s="10"/>
      <c r="N393" s="40" t="str">
        <f t="shared" si="2"/>
        <v/>
      </c>
    </row>
    <row r="394" ht="30.0" hidden="1" customHeight="1">
      <c r="G394" s="3"/>
      <c r="H394" s="10"/>
      <c r="I394" s="10"/>
      <c r="J394" s="40" t="str">
        <f t="shared" si="1"/>
        <v/>
      </c>
      <c r="M394" s="10"/>
      <c r="N394" s="40" t="str">
        <f t="shared" si="2"/>
        <v/>
      </c>
    </row>
    <row r="395" ht="30.0" hidden="1" customHeight="1">
      <c r="G395" s="3"/>
      <c r="H395" s="10"/>
      <c r="I395" s="10"/>
      <c r="J395" s="40" t="str">
        <f t="shared" si="1"/>
        <v/>
      </c>
      <c r="M395" s="10"/>
      <c r="N395" s="40" t="str">
        <f t="shared" si="2"/>
        <v/>
      </c>
    </row>
    <row r="396" ht="30.0" hidden="1" customHeight="1">
      <c r="G396" s="3"/>
      <c r="H396" s="10"/>
      <c r="I396" s="10"/>
      <c r="J396" s="40" t="str">
        <f t="shared" si="1"/>
        <v/>
      </c>
      <c r="M396" s="10"/>
      <c r="N396" s="40" t="str">
        <f t="shared" si="2"/>
        <v/>
      </c>
    </row>
    <row r="397" ht="30.0" hidden="1" customHeight="1">
      <c r="G397" s="3"/>
      <c r="H397" s="10"/>
      <c r="I397" s="10"/>
      <c r="J397" s="40" t="str">
        <f t="shared" si="1"/>
        <v/>
      </c>
      <c r="M397" s="10"/>
      <c r="N397" s="40" t="str">
        <f t="shared" si="2"/>
        <v/>
      </c>
    </row>
    <row r="398" ht="30.0" hidden="1" customHeight="1">
      <c r="G398" s="3"/>
      <c r="H398" s="10"/>
      <c r="I398" s="10"/>
      <c r="J398" s="40" t="str">
        <f t="shared" si="1"/>
        <v/>
      </c>
      <c r="M398" s="10"/>
      <c r="N398" s="40" t="str">
        <f t="shared" si="2"/>
        <v/>
      </c>
    </row>
    <row r="399" ht="30.0" hidden="1" customHeight="1">
      <c r="G399" s="3"/>
      <c r="H399" s="10"/>
      <c r="I399" s="10"/>
      <c r="J399" s="40" t="str">
        <f t="shared" si="1"/>
        <v/>
      </c>
      <c r="M399" s="10"/>
      <c r="N399" s="40" t="str">
        <f t="shared" si="2"/>
        <v/>
      </c>
    </row>
    <row r="400" ht="30.0" hidden="1" customHeight="1">
      <c r="G400" s="3"/>
      <c r="H400" s="10"/>
      <c r="I400" s="10"/>
      <c r="J400" s="40" t="str">
        <f t="shared" si="1"/>
        <v/>
      </c>
      <c r="M400" s="10"/>
      <c r="N400" s="40" t="str">
        <f t="shared" si="2"/>
        <v/>
      </c>
    </row>
    <row r="401" ht="30.0" hidden="1" customHeight="1">
      <c r="G401" s="3"/>
      <c r="H401" s="10"/>
      <c r="I401" s="10"/>
      <c r="J401" s="40" t="str">
        <f t="shared" si="1"/>
        <v/>
      </c>
      <c r="M401" s="10"/>
      <c r="N401" s="40" t="str">
        <f t="shared" si="2"/>
        <v/>
      </c>
    </row>
    <row r="402" ht="30.0" hidden="1" customHeight="1">
      <c r="G402" s="3"/>
      <c r="H402" s="10"/>
      <c r="I402" s="10"/>
      <c r="J402" s="40" t="str">
        <f t="shared" si="1"/>
        <v/>
      </c>
      <c r="M402" s="10"/>
      <c r="N402" s="40" t="str">
        <f t="shared" si="2"/>
        <v/>
      </c>
    </row>
    <row r="403" ht="30.0" hidden="1" customHeight="1">
      <c r="G403" s="3"/>
      <c r="H403" s="10"/>
      <c r="I403" s="10"/>
      <c r="J403" s="40" t="str">
        <f t="shared" si="1"/>
        <v/>
      </c>
      <c r="M403" s="10"/>
      <c r="N403" s="40" t="str">
        <f t="shared" si="2"/>
        <v/>
      </c>
    </row>
    <row r="404" ht="30.0" hidden="1" customHeight="1">
      <c r="G404" s="3"/>
      <c r="H404" s="10"/>
      <c r="I404" s="10"/>
      <c r="J404" s="40" t="str">
        <f t="shared" si="1"/>
        <v/>
      </c>
      <c r="M404" s="10"/>
      <c r="N404" s="40" t="str">
        <f t="shared" si="2"/>
        <v/>
      </c>
    </row>
    <row r="405" ht="30.0" hidden="1" customHeight="1">
      <c r="G405" s="3"/>
      <c r="H405" s="10"/>
      <c r="I405" s="10"/>
      <c r="J405" s="40" t="str">
        <f t="shared" si="1"/>
        <v/>
      </c>
      <c r="M405" s="10"/>
      <c r="N405" s="40" t="str">
        <f t="shared" si="2"/>
        <v/>
      </c>
    </row>
    <row r="406" ht="30.0" hidden="1" customHeight="1">
      <c r="G406" s="3"/>
      <c r="H406" s="10"/>
      <c r="I406" s="10"/>
      <c r="J406" s="40" t="str">
        <f t="shared" si="1"/>
        <v/>
      </c>
      <c r="M406" s="10"/>
      <c r="N406" s="40" t="str">
        <f t="shared" si="2"/>
        <v/>
      </c>
    </row>
    <row r="407" ht="30.0" hidden="1" customHeight="1">
      <c r="G407" s="3"/>
      <c r="H407" s="10"/>
      <c r="I407" s="10"/>
      <c r="J407" s="40" t="str">
        <f t="shared" si="1"/>
        <v/>
      </c>
      <c r="M407" s="10"/>
      <c r="N407" s="40" t="str">
        <f t="shared" si="2"/>
        <v/>
      </c>
    </row>
    <row r="408" ht="30.0" hidden="1" customHeight="1">
      <c r="G408" s="3"/>
      <c r="H408" s="10"/>
      <c r="I408" s="10"/>
      <c r="J408" s="40" t="str">
        <f t="shared" si="1"/>
        <v/>
      </c>
      <c r="M408" s="10"/>
      <c r="N408" s="40" t="str">
        <f t="shared" si="2"/>
        <v/>
      </c>
    </row>
    <row r="409" ht="30.0" hidden="1" customHeight="1">
      <c r="G409" s="3"/>
      <c r="H409" s="10"/>
      <c r="I409" s="10"/>
      <c r="J409" s="40" t="str">
        <f t="shared" si="1"/>
        <v/>
      </c>
      <c r="M409" s="10"/>
      <c r="N409" s="40" t="str">
        <f t="shared" si="2"/>
        <v/>
      </c>
    </row>
    <row r="410" ht="30.0" hidden="1" customHeight="1">
      <c r="G410" s="3"/>
      <c r="H410" s="10"/>
      <c r="I410" s="10"/>
      <c r="J410" s="40" t="str">
        <f t="shared" si="1"/>
        <v/>
      </c>
      <c r="M410" s="10"/>
      <c r="N410" s="40" t="str">
        <f t="shared" si="2"/>
        <v/>
      </c>
    </row>
    <row r="411" ht="30.0" hidden="1" customHeight="1">
      <c r="G411" s="3"/>
      <c r="H411" s="10"/>
      <c r="I411" s="10"/>
      <c r="J411" s="40" t="str">
        <f t="shared" si="1"/>
        <v/>
      </c>
      <c r="M411" s="10"/>
      <c r="N411" s="40" t="str">
        <f t="shared" si="2"/>
        <v/>
      </c>
    </row>
    <row r="412" ht="30.0" hidden="1" customHeight="1">
      <c r="G412" s="3"/>
      <c r="H412" s="10"/>
      <c r="I412" s="10"/>
      <c r="J412" s="40" t="str">
        <f t="shared" si="1"/>
        <v/>
      </c>
      <c r="M412" s="10"/>
      <c r="N412" s="40" t="str">
        <f t="shared" si="2"/>
        <v/>
      </c>
    </row>
    <row r="413" ht="30.0" hidden="1" customHeight="1">
      <c r="G413" s="3"/>
      <c r="H413" s="10"/>
      <c r="I413" s="10"/>
      <c r="J413" s="40" t="str">
        <f t="shared" si="1"/>
        <v/>
      </c>
      <c r="M413" s="10"/>
      <c r="N413" s="40" t="str">
        <f t="shared" si="2"/>
        <v/>
      </c>
    </row>
    <row r="414" ht="30.0" hidden="1" customHeight="1">
      <c r="G414" s="3"/>
      <c r="H414" s="10"/>
      <c r="I414" s="10"/>
      <c r="J414" s="40" t="str">
        <f t="shared" si="1"/>
        <v/>
      </c>
      <c r="M414" s="10"/>
      <c r="N414" s="40" t="str">
        <f t="shared" si="2"/>
        <v/>
      </c>
    </row>
    <row r="415" ht="30.0" hidden="1" customHeight="1">
      <c r="G415" s="3"/>
      <c r="H415" s="10"/>
      <c r="I415" s="10"/>
      <c r="J415" s="40" t="str">
        <f t="shared" si="1"/>
        <v/>
      </c>
      <c r="M415" s="10"/>
      <c r="N415" s="40" t="str">
        <f t="shared" si="2"/>
        <v/>
      </c>
    </row>
    <row r="416" ht="30.0" hidden="1" customHeight="1">
      <c r="G416" s="3"/>
      <c r="H416" s="10"/>
      <c r="I416" s="10"/>
      <c r="J416" s="40" t="str">
        <f t="shared" si="1"/>
        <v/>
      </c>
      <c r="M416" s="10"/>
      <c r="N416" s="40" t="str">
        <f t="shared" si="2"/>
        <v/>
      </c>
    </row>
    <row r="417" ht="30.0" hidden="1" customHeight="1">
      <c r="G417" s="3"/>
      <c r="H417" s="10"/>
      <c r="I417" s="10"/>
      <c r="J417" s="40" t="str">
        <f t="shared" si="1"/>
        <v/>
      </c>
      <c r="M417" s="10"/>
      <c r="N417" s="40" t="str">
        <f t="shared" si="2"/>
        <v/>
      </c>
    </row>
    <row r="418" ht="30.0" hidden="1" customHeight="1">
      <c r="G418" s="3"/>
      <c r="H418" s="10"/>
      <c r="I418" s="10"/>
      <c r="J418" s="40" t="str">
        <f t="shared" si="1"/>
        <v/>
      </c>
      <c r="M418" s="10"/>
      <c r="N418" s="40" t="str">
        <f t="shared" si="2"/>
        <v/>
      </c>
    </row>
    <row r="419" ht="30.0" hidden="1" customHeight="1">
      <c r="G419" s="3"/>
      <c r="H419" s="10"/>
      <c r="I419" s="10"/>
      <c r="J419" s="40" t="str">
        <f t="shared" si="1"/>
        <v/>
      </c>
      <c r="M419" s="10"/>
      <c r="N419" s="40" t="str">
        <f t="shared" si="2"/>
        <v/>
      </c>
    </row>
    <row r="420" ht="30.0" hidden="1" customHeight="1">
      <c r="G420" s="3"/>
      <c r="H420" s="10"/>
      <c r="I420" s="10"/>
      <c r="J420" s="40" t="str">
        <f t="shared" si="1"/>
        <v/>
      </c>
      <c r="M420" s="10"/>
      <c r="N420" s="40" t="str">
        <f t="shared" si="2"/>
        <v/>
      </c>
    </row>
    <row r="421" ht="30.0" hidden="1" customHeight="1">
      <c r="G421" s="3"/>
      <c r="H421" s="10"/>
      <c r="I421" s="10"/>
      <c r="J421" s="40" t="str">
        <f t="shared" si="1"/>
        <v/>
      </c>
      <c r="M421" s="10"/>
      <c r="N421" s="40" t="str">
        <f t="shared" si="2"/>
        <v/>
      </c>
    </row>
    <row r="422" ht="30.0" hidden="1" customHeight="1">
      <c r="G422" s="3"/>
      <c r="H422" s="10"/>
      <c r="I422" s="10"/>
      <c r="J422" s="40" t="str">
        <f t="shared" si="1"/>
        <v/>
      </c>
      <c r="M422" s="10"/>
      <c r="N422" s="40" t="str">
        <f t="shared" si="2"/>
        <v/>
      </c>
    </row>
    <row r="423" ht="30.0" hidden="1" customHeight="1">
      <c r="G423" s="3"/>
      <c r="H423" s="10"/>
      <c r="I423" s="10"/>
      <c r="J423" s="40" t="str">
        <f t="shared" si="1"/>
        <v/>
      </c>
      <c r="M423" s="10"/>
      <c r="N423" s="40" t="str">
        <f t="shared" si="2"/>
        <v/>
      </c>
    </row>
    <row r="424" ht="30.0" hidden="1" customHeight="1">
      <c r="G424" s="3"/>
      <c r="H424" s="10"/>
      <c r="I424" s="10"/>
      <c r="J424" s="40" t="str">
        <f t="shared" si="1"/>
        <v/>
      </c>
      <c r="M424" s="10"/>
      <c r="N424" s="40" t="str">
        <f t="shared" si="2"/>
        <v/>
      </c>
    </row>
    <row r="425" ht="30.0" hidden="1" customHeight="1">
      <c r="G425" s="3"/>
      <c r="H425" s="10"/>
      <c r="I425" s="10"/>
      <c r="J425" s="40" t="str">
        <f t="shared" si="1"/>
        <v/>
      </c>
      <c r="M425" s="10"/>
      <c r="N425" s="40" t="str">
        <f t="shared" si="2"/>
        <v/>
      </c>
    </row>
    <row r="426" ht="30.0" hidden="1" customHeight="1">
      <c r="G426" s="3"/>
      <c r="H426" s="10"/>
      <c r="I426" s="10"/>
      <c r="J426" s="40" t="str">
        <f t="shared" si="1"/>
        <v/>
      </c>
      <c r="M426" s="10"/>
      <c r="N426" s="40" t="str">
        <f t="shared" si="2"/>
        <v/>
      </c>
    </row>
    <row r="427" ht="30.0" hidden="1" customHeight="1">
      <c r="G427" s="3"/>
      <c r="H427" s="10"/>
      <c r="I427" s="10"/>
      <c r="J427" s="40" t="str">
        <f t="shared" si="1"/>
        <v/>
      </c>
      <c r="M427" s="10"/>
      <c r="N427" s="40" t="str">
        <f t="shared" si="2"/>
        <v/>
      </c>
    </row>
    <row r="428" ht="30.0" hidden="1" customHeight="1">
      <c r="G428" s="3"/>
      <c r="H428" s="10"/>
      <c r="I428" s="10"/>
      <c r="J428" s="40" t="str">
        <f t="shared" si="1"/>
        <v/>
      </c>
      <c r="M428" s="10"/>
      <c r="N428" s="40" t="str">
        <f t="shared" si="2"/>
        <v/>
      </c>
    </row>
    <row r="429" ht="30.0" hidden="1" customHeight="1">
      <c r="G429" s="3"/>
      <c r="H429" s="10"/>
      <c r="I429" s="10"/>
      <c r="J429" s="40" t="str">
        <f t="shared" si="1"/>
        <v/>
      </c>
      <c r="M429" s="10"/>
      <c r="N429" s="40" t="str">
        <f t="shared" si="2"/>
        <v/>
      </c>
    </row>
    <row r="430" ht="30.0" hidden="1" customHeight="1">
      <c r="G430" s="3"/>
      <c r="H430" s="10"/>
      <c r="I430" s="10"/>
      <c r="J430" s="40" t="str">
        <f t="shared" si="1"/>
        <v/>
      </c>
      <c r="M430" s="10"/>
      <c r="N430" s="40" t="str">
        <f t="shared" si="2"/>
        <v/>
      </c>
    </row>
    <row r="431" ht="30.0" hidden="1" customHeight="1">
      <c r="G431" s="3"/>
      <c r="H431" s="10"/>
      <c r="I431" s="10"/>
      <c r="J431" s="40" t="str">
        <f t="shared" si="1"/>
        <v/>
      </c>
      <c r="M431" s="10"/>
      <c r="N431" s="40" t="str">
        <f t="shared" si="2"/>
        <v/>
      </c>
    </row>
    <row r="432" ht="30.0" hidden="1" customHeight="1">
      <c r="G432" s="3"/>
      <c r="H432" s="10"/>
      <c r="I432" s="10"/>
      <c r="J432" s="40" t="str">
        <f t="shared" si="1"/>
        <v/>
      </c>
      <c r="M432" s="10"/>
      <c r="N432" s="40" t="str">
        <f t="shared" si="2"/>
        <v/>
      </c>
    </row>
    <row r="433" ht="30.0" hidden="1" customHeight="1">
      <c r="G433" s="3"/>
      <c r="H433" s="10"/>
      <c r="I433" s="10"/>
      <c r="J433" s="40" t="str">
        <f t="shared" si="1"/>
        <v/>
      </c>
      <c r="M433" s="10"/>
      <c r="N433" s="40" t="str">
        <f t="shared" si="2"/>
        <v/>
      </c>
    </row>
    <row r="434" ht="30.0" hidden="1" customHeight="1">
      <c r="G434" s="3"/>
      <c r="H434" s="10"/>
      <c r="I434" s="10"/>
      <c r="J434" s="40" t="str">
        <f t="shared" si="1"/>
        <v/>
      </c>
      <c r="M434" s="10"/>
      <c r="N434" s="40" t="str">
        <f t="shared" si="2"/>
        <v/>
      </c>
    </row>
    <row r="435" ht="30.0" hidden="1" customHeight="1">
      <c r="G435" s="3"/>
      <c r="H435" s="10"/>
      <c r="I435" s="10"/>
      <c r="J435" s="40" t="str">
        <f t="shared" si="1"/>
        <v/>
      </c>
      <c r="M435" s="10"/>
      <c r="N435" s="40" t="str">
        <f t="shared" si="2"/>
        <v/>
      </c>
    </row>
    <row r="436" ht="30.0" hidden="1" customHeight="1">
      <c r="G436" s="3"/>
      <c r="H436" s="10"/>
      <c r="I436" s="10"/>
      <c r="J436" s="40" t="str">
        <f t="shared" si="1"/>
        <v/>
      </c>
      <c r="M436" s="10"/>
      <c r="N436" s="40" t="str">
        <f t="shared" si="2"/>
        <v/>
      </c>
    </row>
    <row r="437" ht="30.0" hidden="1" customHeight="1">
      <c r="G437" s="3"/>
      <c r="H437" s="10"/>
      <c r="I437" s="10"/>
      <c r="J437" s="40" t="str">
        <f t="shared" si="1"/>
        <v/>
      </c>
      <c r="M437" s="10"/>
      <c r="N437" s="40" t="str">
        <f t="shared" si="2"/>
        <v/>
      </c>
    </row>
    <row r="438" ht="30.0" hidden="1" customHeight="1">
      <c r="G438" s="3"/>
      <c r="H438" s="10"/>
      <c r="I438" s="10"/>
      <c r="J438" s="40" t="str">
        <f t="shared" si="1"/>
        <v/>
      </c>
      <c r="M438" s="10"/>
      <c r="N438" s="40" t="str">
        <f t="shared" si="2"/>
        <v/>
      </c>
    </row>
    <row r="439" ht="30.0" hidden="1" customHeight="1">
      <c r="G439" s="3"/>
      <c r="H439" s="10"/>
      <c r="I439" s="10"/>
      <c r="J439" s="40" t="str">
        <f t="shared" si="1"/>
        <v/>
      </c>
      <c r="M439" s="10"/>
      <c r="N439" s="40" t="str">
        <f t="shared" si="2"/>
        <v/>
      </c>
    </row>
    <row r="440" ht="30.0" hidden="1" customHeight="1">
      <c r="G440" s="3"/>
      <c r="H440" s="10"/>
      <c r="I440" s="10"/>
      <c r="J440" s="40" t="str">
        <f t="shared" si="1"/>
        <v/>
      </c>
      <c r="M440" s="10"/>
      <c r="N440" s="40" t="str">
        <f t="shared" si="2"/>
        <v/>
      </c>
    </row>
    <row r="441" ht="30.0" hidden="1" customHeight="1">
      <c r="G441" s="3"/>
      <c r="H441" s="10"/>
      <c r="I441" s="10"/>
      <c r="J441" s="40" t="str">
        <f t="shared" si="1"/>
        <v/>
      </c>
      <c r="M441" s="10"/>
      <c r="N441" s="40" t="str">
        <f t="shared" si="2"/>
        <v/>
      </c>
    </row>
    <row r="442" ht="30.0" hidden="1" customHeight="1">
      <c r="G442" s="3"/>
      <c r="H442" s="10"/>
      <c r="I442" s="10"/>
      <c r="J442" s="40" t="str">
        <f t="shared" si="1"/>
        <v/>
      </c>
      <c r="M442" s="10"/>
      <c r="N442" s="40" t="str">
        <f t="shared" si="2"/>
        <v/>
      </c>
    </row>
    <row r="443" ht="30.0" hidden="1" customHeight="1">
      <c r="G443" s="3"/>
      <c r="H443" s="10"/>
      <c r="I443" s="10"/>
      <c r="J443" s="40" t="str">
        <f t="shared" si="1"/>
        <v/>
      </c>
      <c r="M443" s="10"/>
      <c r="N443" s="40" t="str">
        <f t="shared" si="2"/>
        <v/>
      </c>
    </row>
    <row r="444" ht="30.0" hidden="1" customHeight="1">
      <c r="G444" s="3"/>
      <c r="H444" s="10"/>
      <c r="I444" s="10"/>
      <c r="J444" s="40" t="str">
        <f t="shared" si="1"/>
        <v/>
      </c>
      <c r="M444" s="10"/>
      <c r="N444" s="40" t="str">
        <f t="shared" si="2"/>
        <v/>
      </c>
    </row>
    <row r="445" ht="30.0" hidden="1" customHeight="1">
      <c r="G445" s="3"/>
      <c r="H445" s="10"/>
      <c r="I445" s="10"/>
      <c r="J445" s="40" t="str">
        <f t="shared" si="1"/>
        <v/>
      </c>
      <c r="M445" s="10"/>
      <c r="N445" s="40" t="str">
        <f t="shared" si="2"/>
        <v/>
      </c>
    </row>
    <row r="446" ht="30.0" hidden="1" customHeight="1">
      <c r="G446" s="3"/>
      <c r="H446" s="10"/>
      <c r="I446" s="10"/>
      <c r="J446" s="40" t="str">
        <f t="shared" si="1"/>
        <v/>
      </c>
      <c r="M446" s="10"/>
      <c r="N446" s="40" t="str">
        <f t="shared" si="2"/>
        <v/>
      </c>
    </row>
    <row r="447" ht="30.0" hidden="1" customHeight="1">
      <c r="G447" s="3"/>
      <c r="H447" s="10"/>
      <c r="I447" s="10"/>
      <c r="J447" s="40" t="str">
        <f t="shared" si="1"/>
        <v/>
      </c>
      <c r="M447" s="10"/>
      <c r="N447" s="40" t="str">
        <f t="shared" si="2"/>
        <v/>
      </c>
    </row>
    <row r="448" ht="30.0" hidden="1" customHeight="1">
      <c r="G448" s="3"/>
      <c r="H448" s="10"/>
      <c r="I448" s="10"/>
      <c r="J448" s="40" t="str">
        <f t="shared" si="1"/>
        <v/>
      </c>
      <c r="M448" s="10"/>
      <c r="N448" s="40" t="str">
        <f t="shared" si="2"/>
        <v/>
      </c>
    </row>
    <row r="449" ht="30.0" hidden="1" customHeight="1">
      <c r="G449" s="3"/>
      <c r="H449" s="10"/>
      <c r="I449" s="10"/>
      <c r="J449" s="40" t="str">
        <f t="shared" si="1"/>
        <v/>
      </c>
      <c r="M449" s="10"/>
      <c r="N449" s="40" t="str">
        <f t="shared" si="2"/>
        <v/>
      </c>
    </row>
    <row r="450" ht="30.0" hidden="1" customHeight="1">
      <c r="G450" s="3"/>
      <c r="H450" s="10"/>
      <c r="I450" s="10"/>
      <c r="J450" s="40" t="str">
        <f t="shared" si="1"/>
        <v/>
      </c>
      <c r="M450" s="10"/>
      <c r="N450" s="40" t="str">
        <f t="shared" si="2"/>
        <v/>
      </c>
    </row>
    <row r="451" ht="30.0" hidden="1" customHeight="1">
      <c r="G451" s="3"/>
      <c r="H451" s="10"/>
      <c r="I451" s="10"/>
      <c r="J451" s="40" t="str">
        <f t="shared" si="1"/>
        <v/>
      </c>
      <c r="M451" s="10"/>
      <c r="N451" s="40" t="str">
        <f t="shared" si="2"/>
        <v/>
      </c>
    </row>
    <row r="452" ht="30.0" hidden="1" customHeight="1">
      <c r="G452" s="3"/>
      <c r="H452" s="10"/>
      <c r="I452" s="10"/>
      <c r="J452" s="40" t="str">
        <f t="shared" si="1"/>
        <v/>
      </c>
      <c r="M452" s="10"/>
      <c r="N452" s="40" t="str">
        <f t="shared" si="2"/>
        <v/>
      </c>
    </row>
    <row r="453" ht="30.0" hidden="1" customHeight="1">
      <c r="G453" s="3"/>
      <c r="H453" s="10"/>
      <c r="I453" s="10"/>
      <c r="J453" s="40" t="str">
        <f t="shared" si="1"/>
        <v/>
      </c>
      <c r="M453" s="10"/>
      <c r="N453" s="40" t="str">
        <f t="shared" si="2"/>
        <v/>
      </c>
    </row>
    <row r="454" ht="30.0" hidden="1" customHeight="1">
      <c r="G454" s="3"/>
      <c r="H454" s="10"/>
      <c r="I454" s="10"/>
      <c r="J454" s="40" t="str">
        <f t="shared" si="1"/>
        <v/>
      </c>
      <c r="M454" s="10"/>
      <c r="N454" s="40" t="str">
        <f t="shared" si="2"/>
        <v/>
      </c>
    </row>
    <row r="455" ht="30.0" hidden="1" customHeight="1">
      <c r="G455" s="3"/>
      <c r="H455" s="10"/>
      <c r="I455" s="10"/>
      <c r="J455" s="40" t="str">
        <f t="shared" si="1"/>
        <v/>
      </c>
      <c r="M455" s="10"/>
      <c r="N455" s="40" t="str">
        <f t="shared" si="2"/>
        <v/>
      </c>
    </row>
    <row r="456" ht="30.0" hidden="1" customHeight="1">
      <c r="G456" s="3"/>
      <c r="H456" s="10"/>
      <c r="I456" s="10"/>
      <c r="J456" s="40" t="str">
        <f t="shared" si="1"/>
        <v/>
      </c>
      <c r="M456" s="10"/>
      <c r="N456" s="40" t="str">
        <f t="shared" si="2"/>
        <v/>
      </c>
    </row>
    <row r="457" ht="30.0" hidden="1" customHeight="1">
      <c r="G457" s="3"/>
      <c r="H457" s="10"/>
      <c r="I457" s="10"/>
      <c r="J457" s="40" t="str">
        <f t="shared" si="1"/>
        <v/>
      </c>
      <c r="M457" s="10"/>
      <c r="N457" s="40" t="str">
        <f t="shared" si="2"/>
        <v/>
      </c>
    </row>
    <row r="458" ht="30.0" hidden="1" customHeight="1">
      <c r="G458" s="3"/>
      <c r="H458" s="10"/>
      <c r="I458" s="10"/>
      <c r="J458" s="40" t="str">
        <f t="shared" si="1"/>
        <v/>
      </c>
      <c r="M458" s="10"/>
      <c r="N458" s="40" t="str">
        <f t="shared" si="2"/>
        <v/>
      </c>
    </row>
    <row r="459" ht="30.0" hidden="1" customHeight="1">
      <c r="G459" s="3"/>
      <c r="H459" s="10"/>
      <c r="I459" s="10"/>
      <c r="J459" s="40" t="str">
        <f t="shared" si="1"/>
        <v/>
      </c>
      <c r="M459" s="10"/>
      <c r="N459" s="40" t="str">
        <f t="shared" si="2"/>
        <v/>
      </c>
    </row>
    <row r="460" ht="30.0" hidden="1" customHeight="1">
      <c r="G460" s="3"/>
      <c r="H460" s="10"/>
      <c r="I460" s="10"/>
      <c r="J460" s="40" t="str">
        <f t="shared" si="1"/>
        <v/>
      </c>
      <c r="M460" s="10"/>
      <c r="N460" s="40" t="str">
        <f t="shared" si="2"/>
        <v/>
      </c>
    </row>
    <row r="461" ht="30.0" hidden="1" customHeight="1">
      <c r="G461" s="3"/>
      <c r="H461" s="10"/>
      <c r="I461" s="10"/>
      <c r="J461" s="40" t="str">
        <f t="shared" si="1"/>
        <v/>
      </c>
      <c r="M461" s="10"/>
      <c r="N461" s="40" t="str">
        <f t="shared" si="2"/>
        <v/>
      </c>
    </row>
    <row r="462" ht="30.0" hidden="1" customHeight="1">
      <c r="G462" s="3"/>
      <c r="H462" s="10"/>
      <c r="I462" s="10"/>
      <c r="J462" s="40" t="str">
        <f t="shared" si="1"/>
        <v/>
      </c>
      <c r="M462" s="10"/>
      <c r="N462" s="40" t="str">
        <f t="shared" si="2"/>
        <v/>
      </c>
    </row>
    <row r="463" ht="30.0" hidden="1" customHeight="1">
      <c r="G463" s="3"/>
      <c r="H463" s="10"/>
      <c r="I463" s="10"/>
      <c r="J463" s="40" t="str">
        <f t="shared" si="1"/>
        <v/>
      </c>
      <c r="M463" s="10"/>
      <c r="N463" s="40" t="str">
        <f t="shared" si="2"/>
        <v/>
      </c>
    </row>
    <row r="464" ht="30.0" hidden="1" customHeight="1">
      <c r="G464" s="3"/>
      <c r="H464" s="10"/>
      <c r="I464" s="10"/>
      <c r="J464" s="40" t="str">
        <f t="shared" si="1"/>
        <v/>
      </c>
      <c r="M464" s="10"/>
      <c r="N464" s="40" t="str">
        <f t="shared" si="2"/>
        <v/>
      </c>
    </row>
    <row r="465" ht="30.0" hidden="1" customHeight="1">
      <c r="G465" s="3"/>
      <c r="H465" s="10"/>
      <c r="I465" s="10"/>
      <c r="J465" s="40" t="str">
        <f t="shared" si="1"/>
        <v/>
      </c>
      <c r="M465" s="10"/>
      <c r="N465" s="40" t="str">
        <f t="shared" si="2"/>
        <v/>
      </c>
    </row>
    <row r="466" ht="30.0" hidden="1" customHeight="1">
      <c r="G466" s="3"/>
      <c r="H466" s="10"/>
      <c r="I466" s="10"/>
      <c r="J466" s="40" t="str">
        <f t="shared" si="1"/>
        <v/>
      </c>
      <c r="M466" s="10"/>
      <c r="N466" s="40" t="str">
        <f t="shared" si="2"/>
        <v/>
      </c>
    </row>
    <row r="467" ht="30.0" hidden="1" customHeight="1">
      <c r="G467" s="3"/>
      <c r="H467" s="10"/>
      <c r="I467" s="10"/>
      <c r="J467" s="40" t="str">
        <f t="shared" si="1"/>
        <v/>
      </c>
      <c r="M467" s="10"/>
      <c r="N467" s="40" t="str">
        <f t="shared" si="2"/>
        <v/>
      </c>
    </row>
    <row r="468" ht="30.0" hidden="1" customHeight="1">
      <c r="G468" s="3"/>
      <c r="H468" s="10"/>
      <c r="I468" s="10"/>
      <c r="J468" s="40" t="str">
        <f t="shared" si="1"/>
        <v/>
      </c>
      <c r="M468" s="10"/>
      <c r="N468" s="40" t="str">
        <f t="shared" si="2"/>
        <v/>
      </c>
    </row>
    <row r="469" ht="30.0" hidden="1" customHeight="1">
      <c r="G469" s="3"/>
      <c r="H469" s="10"/>
      <c r="I469" s="10"/>
      <c r="J469" s="40" t="str">
        <f t="shared" si="1"/>
        <v/>
      </c>
      <c r="M469" s="10"/>
      <c r="N469" s="40" t="str">
        <f t="shared" si="2"/>
        <v/>
      </c>
    </row>
    <row r="470" ht="30.0" hidden="1" customHeight="1">
      <c r="G470" s="3"/>
      <c r="H470" s="10"/>
      <c r="I470" s="10"/>
      <c r="J470" s="40" t="str">
        <f t="shared" si="1"/>
        <v/>
      </c>
      <c r="M470" s="10"/>
      <c r="N470" s="40" t="str">
        <f t="shared" si="2"/>
        <v/>
      </c>
    </row>
    <row r="471" ht="30.0" hidden="1" customHeight="1">
      <c r="G471" s="3"/>
      <c r="H471" s="10"/>
      <c r="I471" s="10"/>
      <c r="J471" s="40" t="str">
        <f t="shared" si="1"/>
        <v/>
      </c>
      <c r="M471" s="10"/>
      <c r="N471" s="40" t="str">
        <f t="shared" si="2"/>
        <v/>
      </c>
    </row>
    <row r="472" ht="30.0" hidden="1" customHeight="1">
      <c r="G472" s="3"/>
      <c r="H472" s="10"/>
      <c r="I472" s="10"/>
      <c r="J472" s="40" t="str">
        <f t="shared" si="1"/>
        <v/>
      </c>
      <c r="M472" s="10"/>
      <c r="N472" s="40" t="str">
        <f t="shared" si="2"/>
        <v/>
      </c>
    </row>
    <row r="473" ht="30.0" hidden="1" customHeight="1">
      <c r="G473" s="3"/>
      <c r="H473" s="10"/>
      <c r="I473" s="10"/>
      <c r="J473" s="40" t="str">
        <f t="shared" si="1"/>
        <v/>
      </c>
      <c r="M473" s="10"/>
      <c r="N473" s="40" t="str">
        <f t="shared" si="2"/>
        <v/>
      </c>
    </row>
    <row r="474" ht="30.0" hidden="1" customHeight="1">
      <c r="G474" s="3"/>
      <c r="H474" s="10"/>
      <c r="I474" s="10"/>
      <c r="J474" s="40" t="str">
        <f t="shared" si="1"/>
        <v/>
      </c>
      <c r="M474" s="10"/>
      <c r="N474" s="40" t="str">
        <f t="shared" si="2"/>
        <v/>
      </c>
    </row>
    <row r="475" ht="30.0" hidden="1" customHeight="1">
      <c r="G475" s="3"/>
      <c r="H475" s="10"/>
      <c r="I475" s="10"/>
      <c r="J475" s="40" t="str">
        <f t="shared" si="1"/>
        <v/>
      </c>
      <c r="M475" s="10"/>
      <c r="N475" s="40" t="str">
        <f t="shared" si="2"/>
        <v/>
      </c>
    </row>
    <row r="476" ht="30.0" hidden="1" customHeight="1">
      <c r="G476" s="3"/>
      <c r="H476" s="10"/>
      <c r="I476" s="10"/>
      <c r="J476" s="40" t="str">
        <f t="shared" si="1"/>
        <v/>
      </c>
      <c r="M476" s="10"/>
      <c r="N476" s="40" t="str">
        <f t="shared" si="2"/>
        <v/>
      </c>
    </row>
    <row r="477" ht="30.0" hidden="1" customHeight="1">
      <c r="G477" s="3"/>
      <c r="H477" s="10"/>
      <c r="I477" s="10"/>
      <c r="J477" s="40" t="str">
        <f t="shared" si="1"/>
        <v/>
      </c>
      <c r="M477" s="10"/>
      <c r="N477" s="40" t="str">
        <f t="shared" si="2"/>
        <v/>
      </c>
    </row>
    <row r="478" ht="30.0" hidden="1" customHeight="1">
      <c r="G478" s="3"/>
      <c r="H478" s="10"/>
      <c r="I478" s="10"/>
      <c r="J478" s="40" t="str">
        <f t="shared" si="1"/>
        <v/>
      </c>
      <c r="M478" s="10"/>
      <c r="N478" s="40" t="str">
        <f t="shared" si="2"/>
        <v/>
      </c>
    </row>
    <row r="479" ht="30.0" hidden="1" customHeight="1">
      <c r="G479" s="3"/>
      <c r="H479" s="10"/>
      <c r="I479" s="10"/>
      <c r="J479" s="40" t="str">
        <f t="shared" si="1"/>
        <v/>
      </c>
      <c r="M479" s="10"/>
      <c r="N479" s="40" t="str">
        <f t="shared" si="2"/>
        <v/>
      </c>
    </row>
    <row r="480" ht="30.0" hidden="1" customHeight="1">
      <c r="G480" s="3"/>
      <c r="H480" s="10"/>
      <c r="I480" s="10"/>
      <c r="J480" s="40" t="str">
        <f t="shared" si="1"/>
        <v/>
      </c>
      <c r="M480" s="10"/>
      <c r="N480" s="40" t="str">
        <f t="shared" si="2"/>
        <v/>
      </c>
    </row>
    <row r="481" ht="30.0" hidden="1" customHeight="1">
      <c r="G481" s="3"/>
      <c r="H481" s="10"/>
      <c r="I481" s="10"/>
      <c r="J481" s="40" t="str">
        <f t="shared" si="1"/>
        <v/>
      </c>
      <c r="M481" s="10"/>
      <c r="N481" s="40" t="str">
        <f t="shared" si="2"/>
        <v/>
      </c>
    </row>
    <row r="482" ht="30.0" hidden="1" customHeight="1">
      <c r="G482" s="3"/>
      <c r="H482" s="10"/>
      <c r="I482" s="10"/>
      <c r="J482" s="40" t="str">
        <f t="shared" si="1"/>
        <v/>
      </c>
      <c r="M482" s="10"/>
      <c r="N482" s="40" t="str">
        <f t="shared" si="2"/>
        <v/>
      </c>
    </row>
    <row r="483" ht="30.0" hidden="1" customHeight="1">
      <c r="G483" s="3"/>
      <c r="H483" s="10"/>
      <c r="I483" s="10"/>
      <c r="J483" s="40" t="str">
        <f t="shared" si="1"/>
        <v/>
      </c>
      <c r="M483" s="10"/>
      <c r="N483" s="40" t="str">
        <f t="shared" si="2"/>
        <v/>
      </c>
    </row>
    <row r="484" ht="30.0" hidden="1" customHeight="1">
      <c r="G484" s="3"/>
      <c r="H484" s="10"/>
      <c r="I484" s="10"/>
      <c r="J484" s="40" t="str">
        <f t="shared" si="1"/>
        <v/>
      </c>
      <c r="M484" s="10"/>
      <c r="N484" s="40" t="str">
        <f t="shared" si="2"/>
        <v/>
      </c>
    </row>
    <row r="485" ht="30.0" hidden="1" customHeight="1">
      <c r="G485" s="3"/>
      <c r="H485" s="10"/>
      <c r="I485" s="10"/>
      <c r="J485" s="40" t="str">
        <f t="shared" si="1"/>
        <v/>
      </c>
      <c r="M485" s="10"/>
      <c r="N485" s="40" t="str">
        <f t="shared" si="2"/>
        <v/>
      </c>
    </row>
    <row r="486" ht="30.0" hidden="1" customHeight="1">
      <c r="G486" s="3"/>
      <c r="H486" s="10"/>
      <c r="I486" s="10"/>
      <c r="J486" s="40" t="str">
        <f t="shared" si="1"/>
        <v/>
      </c>
      <c r="M486" s="10"/>
      <c r="N486" s="40" t="str">
        <f t="shared" si="2"/>
        <v/>
      </c>
    </row>
    <row r="487" ht="30.0" hidden="1" customHeight="1">
      <c r="G487" s="3"/>
      <c r="H487" s="10"/>
      <c r="I487" s="10"/>
      <c r="J487" s="40" t="str">
        <f t="shared" si="1"/>
        <v/>
      </c>
      <c r="M487" s="10"/>
      <c r="N487" s="40" t="str">
        <f t="shared" si="2"/>
        <v/>
      </c>
    </row>
    <row r="488" ht="30.0" hidden="1" customHeight="1">
      <c r="G488" s="3"/>
      <c r="H488" s="10"/>
      <c r="I488" s="10"/>
      <c r="J488" s="40" t="str">
        <f t="shared" si="1"/>
        <v/>
      </c>
      <c r="M488" s="10"/>
      <c r="N488" s="40" t="str">
        <f t="shared" si="2"/>
        <v/>
      </c>
    </row>
    <row r="489" ht="30.0" hidden="1" customHeight="1">
      <c r="G489" s="3"/>
      <c r="H489" s="10"/>
      <c r="I489" s="10"/>
      <c r="J489" s="40" t="str">
        <f t="shared" si="1"/>
        <v/>
      </c>
      <c r="M489" s="10"/>
      <c r="N489" s="40" t="str">
        <f t="shared" si="2"/>
        <v/>
      </c>
    </row>
    <row r="490" ht="30.0" hidden="1" customHeight="1">
      <c r="G490" s="3"/>
      <c r="H490" s="10"/>
      <c r="I490" s="10"/>
      <c r="J490" s="40" t="str">
        <f t="shared" si="1"/>
        <v/>
      </c>
      <c r="M490" s="10"/>
      <c r="N490" s="40" t="str">
        <f t="shared" si="2"/>
        <v/>
      </c>
    </row>
    <row r="491" ht="30.0" hidden="1" customHeight="1">
      <c r="G491" s="3"/>
      <c r="H491" s="10"/>
      <c r="I491" s="10"/>
      <c r="J491" s="40" t="str">
        <f t="shared" si="1"/>
        <v/>
      </c>
      <c r="M491" s="10"/>
      <c r="N491" s="40" t="str">
        <f t="shared" si="2"/>
        <v/>
      </c>
    </row>
    <row r="492" ht="30.0" hidden="1" customHeight="1">
      <c r="G492" s="3"/>
      <c r="H492" s="10"/>
      <c r="I492" s="10"/>
      <c r="J492" s="40" t="str">
        <f t="shared" si="1"/>
        <v/>
      </c>
      <c r="M492" s="10"/>
      <c r="N492" s="40" t="str">
        <f t="shared" si="2"/>
        <v/>
      </c>
    </row>
    <row r="493" ht="30.0" hidden="1" customHeight="1">
      <c r="G493" s="3"/>
      <c r="H493" s="10"/>
      <c r="I493" s="10"/>
      <c r="J493" s="40" t="str">
        <f t="shared" si="1"/>
        <v/>
      </c>
      <c r="M493" s="10"/>
      <c r="N493" s="40" t="str">
        <f t="shared" si="2"/>
        <v/>
      </c>
    </row>
    <row r="494" ht="30.0" hidden="1" customHeight="1">
      <c r="G494" s="3"/>
      <c r="H494" s="10"/>
      <c r="I494" s="10"/>
      <c r="J494" s="40" t="str">
        <f t="shared" si="1"/>
        <v/>
      </c>
      <c r="M494" s="10"/>
      <c r="N494" s="40" t="str">
        <f t="shared" si="2"/>
        <v/>
      </c>
    </row>
    <row r="495" ht="30.0" hidden="1" customHeight="1">
      <c r="G495" s="3"/>
      <c r="H495" s="10"/>
      <c r="I495" s="10"/>
      <c r="J495" s="40" t="str">
        <f t="shared" si="1"/>
        <v/>
      </c>
      <c r="M495" s="10"/>
      <c r="N495" s="40" t="str">
        <f t="shared" si="2"/>
        <v/>
      </c>
    </row>
    <row r="496" ht="30.0" hidden="1" customHeight="1">
      <c r="G496" s="3"/>
      <c r="H496" s="10"/>
      <c r="I496" s="10"/>
      <c r="J496" s="40" t="str">
        <f t="shared" si="1"/>
        <v/>
      </c>
      <c r="M496" s="10"/>
      <c r="N496" s="40" t="str">
        <f t="shared" si="2"/>
        <v/>
      </c>
    </row>
    <row r="497" ht="30.0" hidden="1" customHeight="1">
      <c r="G497" s="3"/>
      <c r="H497" s="10"/>
      <c r="I497" s="10"/>
      <c r="J497" s="40" t="str">
        <f t="shared" si="1"/>
        <v/>
      </c>
      <c r="M497" s="10"/>
      <c r="N497" s="40" t="str">
        <f t="shared" si="2"/>
        <v/>
      </c>
    </row>
    <row r="498" ht="30.0" hidden="1" customHeight="1">
      <c r="G498" s="3"/>
      <c r="H498" s="10"/>
      <c r="I498" s="10"/>
      <c r="J498" s="40" t="str">
        <f t="shared" si="1"/>
        <v/>
      </c>
      <c r="M498" s="10"/>
      <c r="N498" s="40" t="str">
        <f t="shared" si="2"/>
        <v/>
      </c>
    </row>
    <row r="499" ht="30.0" hidden="1" customHeight="1">
      <c r="G499" s="3"/>
      <c r="H499" s="10"/>
      <c r="I499" s="10"/>
      <c r="J499" s="40" t="str">
        <f t="shared" si="1"/>
        <v/>
      </c>
      <c r="M499" s="10"/>
      <c r="N499" s="40" t="str">
        <f t="shared" si="2"/>
        <v/>
      </c>
    </row>
    <row r="500" ht="30.0" hidden="1" customHeight="1">
      <c r="G500" s="3"/>
      <c r="H500" s="10"/>
      <c r="I500" s="10"/>
      <c r="J500" s="40" t="str">
        <f t="shared" si="1"/>
        <v/>
      </c>
      <c r="M500" s="10"/>
      <c r="N500" s="40" t="str">
        <f t="shared" si="2"/>
        <v/>
      </c>
    </row>
    <row r="501" ht="30.0" hidden="1" customHeight="1">
      <c r="G501" s="3"/>
      <c r="H501" s="10"/>
      <c r="I501" s="10"/>
      <c r="J501" s="40" t="str">
        <f t="shared" si="1"/>
        <v/>
      </c>
      <c r="M501" s="10"/>
      <c r="N501" s="40" t="str">
        <f t="shared" si="2"/>
        <v/>
      </c>
    </row>
    <row r="502" ht="30.0" hidden="1" customHeight="1">
      <c r="G502" s="3"/>
      <c r="H502" s="10"/>
      <c r="I502" s="10"/>
      <c r="J502" s="40" t="str">
        <f t="shared" si="1"/>
        <v/>
      </c>
      <c r="M502" s="10"/>
      <c r="N502" s="40" t="str">
        <f t="shared" si="2"/>
        <v/>
      </c>
    </row>
    <row r="503" ht="30.0" hidden="1" customHeight="1">
      <c r="G503" s="3"/>
      <c r="H503" s="10"/>
      <c r="I503" s="10"/>
      <c r="J503" s="40" t="str">
        <f t="shared" si="1"/>
        <v/>
      </c>
      <c r="M503" s="10"/>
      <c r="N503" s="40" t="str">
        <f t="shared" si="2"/>
        <v/>
      </c>
    </row>
    <row r="504" ht="30.0" hidden="1" customHeight="1">
      <c r="G504" s="3"/>
      <c r="H504" s="10"/>
      <c r="I504" s="10"/>
      <c r="J504" s="40" t="str">
        <f t="shared" si="1"/>
        <v/>
      </c>
      <c r="M504" s="10"/>
      <c r="N504" s="40" t="str">
        <f t="shared" si="2"/>
        <v/>
      </c>
    </row>
    <row r="505" ht="30.0" hidden="1" customHeight="1">
      <c r="G505" s="3"/>
      <c r="H505" s="10"/>
      <c r="I505" s="10"/>
      <c r="J505" s="40" t="str">
        <f t="shared" si="1"/>
        <v/>
      </c>
      <c r="M505" s="10"/>
      <c r="N505" s="40" t="str">
        <f t="shared" si="2"/>
        <v/>
      </c>
    </row>
    <row r="506" ht="30.0" hidden="1" customHeight="1">
      <c r="G506" s="3"/>
      <c r="H506" s="10"/>
      <c r="I506" s="10"/>
      <c r="J506" s="40" t="str">
        <f t="shared" si="1"/>
        <v/>
      </c>
      <c r="M506" s="10"/>
      <c r="N506" s="40" t="str">
        <f t="shared" si="2"/>
        <v/>
      </c>
    </row>
    <row r="507" ht="30.0" hidden="1" customHeight="1">
      <c r="G507" s="3"/>
      <c r="H507" s="10"/>
      <c r="I507" s="10"/>
      <c r="J507" s="40" t="str">
        <f t="shared" si="1"/>
        <v/>
      </c>
      <c r="M507" s="10"/>
      <c r="N507" s="40" t="str">
        <f t="shared" si="2"/>
        <v/>
      </c>
    </row>
    <row r="508" ht="30.0" hidden="1" customHeight="1">
      <c r="G508" s="3"/>
      <c r="H508" s="10"/>
      <c r="I508" s="10"/>
      <c r="J508" s="40" t="str">
        <f t="shared" si="1"/>
        <v/>
      </c>
      <c r="M508" s="10"/>
      <c r="N508" s="40" t="str">
        <f t="shared" si="2"/>
        <v/>
      </c>
    </row>
    <row r="509" ht="30.0" hidden="1" customHeight="1">
      <c r="G509" s="3"/>
      <c r="H509" s="10"/>
      <c r="I509" s="10"/>
      <c r="J509" s="40" t="str">
        <f t="shared" si="1"/>
        <v/>
      </c>
      <c r="M509" s="10"/>
      <c r="N509" s="40" t="str">
        <f t="shared" si="2"/>
        <v/>
      </c>
    </row>
    <row r="510" ht="30.0" hidden="1" customHeight="1">
      <c r="G510" s="3"/>
      <c r="H510" s="10"/>
      <c r="I510" s="10"/>
      <c r="J510" s="40" t="str">
        <f t="shared" si="1"/>
        <v/>
      </c>
      <c r="M510" s="10"/>
      <c r="N510" s="40" t="str">
        <f t="shared" si="2"/>
        <v/>
      </c>
    </row>
    <row r="511" ht="30.0" hidden="1" customHeight="1">
      <c r="G511" s="3"/>
      <c r="H511" s="10"/>
      <c r="I511" s="10"/>
      <c r="J511" s="40" t="str">
        <f t="shared" si="1"/>
        <v/>
      </c>
      <c r="M511" s="10"/>
      <c r="N511" s="40" t="str">
        <f t="shared" si="2"/>
        <v/>
      </c>
    </row>
    <row r="512" ht="30.0" hidden="1" customHeight="1">
      <c r="G512" s="3"/>
      <c r="H512" s="10"/>
      <c r="I512" s="10"/>
      <c r="J512" s="40" t="str">
        <f t="shared" si="1"/>
        <v/>
      </c>
      <c r="M512" s="10"/>
      <c r="N512" s="40" t="str">
        <f t="shared" si="2"/>
        <v/>
      </c>
    </row>
    <row r="513" ht="30.0" hidden="1" customHeight="1">
      <c r="G513" s="3"/>
      <c r="H513" s="10"/>
      <c r="I513" s="10"/>
      <c r="J513" s="40" t="str">
        <f t="shared" si="1"/>
        <v/>
      </c>
      <c r="M513" s="10"/>
      <c r="N513" s="40" t="str">
        <f t="shared" si="2"/>
        <v/>
      </c>
    </row>
    <row r="514" ht="30.0" hidden="1" customHeight="1">
      <c r="G514" s="3"/>
      <c r="H514" s="10"/>
      <c r="I514" s="10"/>
      <c r="J514" s="40" t="str">
        <f t="shared" si="1"/>
        <v/>
      </c>
      <c r="M514" s="10"/>
      <c r="N514" s="40" t="str">
        <f t="shared" si="2"/>
        <v/>
      </c>
    </row>
    <row r="515" ht="30.0" hidden="1" customHeight="1">
      <c r="G515" s="3"/>
      <c r="H515" s="10"/>
      <c r="I515" s="10"/>
      <c r="J515" s="40" t="str">
        <f t="shared" si="1"/>
        <v/>
      </c>
      <c r="M515" s="10"/>
      <c r="N515" s="40" t="str">
        <f t="shared" si="2"/>
        <v/>
      </c>
    </row>
    <row r="516" ht="30.0" hidden="1" customHeight="1">
      <c r="G516" s="3"/>
      <c r="H516" s="10"/>
      <c r="I516" s="10"/>
      <c r="J516" s="40" t="str">
        <f t="shared" si="1"/>
        <v/>
      </c>
      <c r="M516" s="10"/>
      <c r="N516" s="40" t="str">
        <f t="shared" si="2"/>
        <v/>
      </c>
    </row>
    <row r="517" ht="30.0" hidden="1" customHeight="1">
      <c r="G517" s="3"/>
      <c r="H517" s="10"/>
      <c r="I517" s="10"/>
      <c r="J517" s="40" t="str">
        <f t="shared" si="1"/>
        <v/>
      </c>
      <c r="M517" s="10"/>
      <c r="N517" s="40" t="str">
        <f t="shared" si="2"/>
        <v/>
      </c>
    </row>
    <row r="518" ht="30.0" hidden="1" customHeight="1">
      <c r="G518" s="3"/>
      <c r="H518" s="10"/>
      <c r="I518" s="10"/>
      <c r="J518" s="40" t="str">
        <f t="shared" si="1"/>
        <v/>
      </c>
      <c r="M518" s="10"/>
      <c r="N518" s="40" t="str">
        <f t="shared" si="2"/>
        <v/>
      </c>
    </row>
    <row r="519" ht="30.0" hidden="1" customHeight="1">
      <c r="G519" s="3"/>
      <c r="H519" s="10"/>
      <c r="I519" s="10"/>
      <c r="J519" s="40" t="str">
        <f t="shared" si="1"/>
        <v/>
      </c>
      <c r="M519" s="10"/>
      <c r="N519" s="40" t="str">
        <f t="shared" si="2"/>
        <v/>
      </c>
    </row>
    <row r="520" ht="30.0" hidden="1" customHeight="1">
      <c r="G520" s="3"/>
      <c r="H520" s="10"/>
      <c r="I520" s="10"/>
      <c r="J520" s="40" t="str">
        <f t="shared" si="1"/>
        <v/>
      </c>
      <c r="M520" s="10"/>
      <c r="N520" s="40" t="str">
        <f t="shared" si="2"/>
        <v/>
      </c>
    </row>
    <row r="521" ht="30.0" hidden="1" customHeight="1">
      <c r="G521" s="3"/>
      <c r="H521" s="10"/>
      <c r="I521" s="10"/>
      <c r="J521" s="40" t="str">
        <f t="shared" si="1"/>
        <v/>
      </c>
      <c r="M521" s="10"/>
      <c r="N521" s="40" t="str">
        <f t="shared" si="2"/>
        <v/>
      </c>
    </row>
    <row r="522" ht="30.0" hidden="1" customHeight="1">
      <c r="G522" s="3"/>
      <c r="H522" s="10"/>
      <c r="I522" s="10"/>
      <c r="J522" s="40" t="str">
        <f t="shared" si="1"/>
        <v/>
      </c>
      <c r="M522" s="10"/>
      <c r="N522" s="40" t="str">
        <f t="shared" si="2"/>
        <v/>
      </c>
    </row>
    <row r="523" ht="30.0" hidden="1" customHeight="1">
      <c r="G523" s="3"/>
      <c r="H523" s="10"/>
      <c r="I523" s="10"/>
      <c r="J523" s="40" t="str">
        <f t="shared" si="1"/>
        <v/>
      </c>
      <c r="M523" s="10"/>
      <c r="N523" s="40" t="str">
        <f t="shared" si="2"/>
        <v/>
      </c>
    </row>
    <row r="524" ht="30.0" hidden="1" customHeight="1">
      <c r="G524" s="3"/>
      <c r="H524" s="10"/>
      <c r="I524" s="10"/>
      <c r="J524" s="40" t="str">
        <f t="shared" si="1"/>
        <v/>
      </c>
      <c r="M524" s="10"/>
      <c r="N524" s="40" t="str">
        <f t="shared" si="2"/>
        <v/>
      </c>
    </row>
    <row r="525" ht="30.0" hidden="1" customHeight="1">
      <c r="G525" s="3"/>
      <c r="H525" s="10"/>
      <c r="I525" s="10"/>
      <c r="J525" s="40" t="str">
        <f t="shared" si="1"/>
        <v/>
      </c>
      <c r="M525" s="10"/>
      <c r="N525" s="40" t="str">
        <f t="shared" si="2"/>
        <v/>
      </c>
    </row>
    <row r="526" ht="30.0" hidden="1" customHeight="1">
      <c r="G526" s="3"/>
      <c r="H526" s="10"/>
      <c r="I526" s="10"/>
      <c r="J526" s="40" t="str">
        <f t="shared" si="1"/>
        <v/>
      </c>
      <c r="M526" s="10"/>
      <c r="N526" s="40" t="str">
        <f t="shared" si="2"/>
        <v/>
      </c>
    </row>
    <row r="527" ht="30.0" hidden="1" customHeight="1">
      <c r="G527" s="3"/>
      <c r="H527" s="10"/>
      <c r="I527" s="10"/>
      <c r="J527" s="40" t="str">
        <f t="shared" si="1"/>
        <v/>
      </c>
      <c r="M527" s="10"/>
      <c r="N527" s="40" t="str">
        <f t="shared" si="2"/>
        <v/>
      </c>
    </row>
    <row r="528" ht="30.0" hidden="1" customHeight="1">
      <c r="G528" s="3"/>
      <c r="H528" s="10"/>
      <c r="I528" s="10"/>
      <c r="J528" s="40" t="str">
        <f t="shared" si="1"/>
        <v/>
      </c>
      <c r="M528" s="10"/>
      <c r="N528" s="40" t="str">
        <f t="shared" si="2"/>
        <v/>
      </c>
    </row>
    <row r="529" ht="30.0" hidden="1" customHeight="1">
      <c r="G529" s="3"/>
      <c r="H529" s="10"/>
      <c r="I529" s="10"/>
      <c r="J529" s="40" t="str">
        <f t="shared" si="1"/>
        <v/>
      </c>
      <c r="M529" s="10"/>
      <c r="N529" s="40" t="str">
        <f t="shared" si="2"/>
        <v/>
      </c>
    </row>
    <row r="530" ht="30.0" hidden="1" customHeight="1">
      <c r="G530" s="3"/>
      <c r="H530" s="10"/>
      <c r="I530" s="10"/>
      <c r="J530" s="40" t="str">
        <f t="shared" si="1"/>
        <v/>
      </c>
      <c r="M530" s="10"/>
      <c r="N530" s="40" t="str">
        <f t="shared" si="2"/>
        <v/>
      </c>
    </row>
    <row r="531" ht="30.0" hidden="1" customHeight="1">
      <c r="G531" s="3"/>
      <c r="H531" s="10"/>
      <c r="I531" s="10"/>
      <c r="J531" s="40" t="str">
        <f t="shared" si="1"/>
        <v/>
      </c>
      <c r="M531" s="10"/>
      <c r="N531" s="40" t="str">
        <f t="shared" si="2"/>
        <v/>
      </c>
    </row>
    <row r="532" ht="30.0" hidden="1" customHeight="1">
      <c r="G532" s="3"/>
      <c r="H532" s="10"/>
      <c r="I532" s="10"/>
      <c r="J532" s="40" t="str">
        <f t="shared" si="1"/>
        <v/>
      </c>
      <c r="M532" s="10"/>
      <c r="N532" s="40" t="str">
        <f t="shared" si="2"/>
        <v/>
      </c>
    </row>
    <row r="533" ht="30.0" hidden="1" customHeight="1">
      <c r="G533" s="3"/>
      <c r="H533" s="10"/>
      <c r="I533" s="10"/>
      <c r="J533" s="40" t="str">
        <f t="shared" si="1"/>
        <v/>
      </c>
      <c r="M533" s="10"/>
      <c r="N533" s="40" t="str">
        <f t="shared" si="2"/>
        <v/>
      </c>
    </row>
    <row r="534" ht="30.0" hidden="1" customHeight="1">
      <c r="G534" s="3"/>
      <c r="H534" s="10"/>
      <c r="I534" s="10"/>
      <c r="J534" s="40" t="str">
        <f t="shared" si="1"/>
        <v/>
      </c>
      <c r="M534" s="10"/>
      <c r="N534" s="40" t="str">
        <f t="shared" si="2"/>
        <v/>
      </c>
    </row>
    <row r="535" ht="30.0" hidden="1" customHeight="1">
      <c r="G535" s="3"/>
      <c r="H535" s="10"/>
      <c r="I535" s="10"/>
      <c r="J535" s="40" t="str">
        <f t="shared" si="1"/>
        <v/>
      </c>
      <c r="M535" s="10"/>
      <c r="N535" s="40" t="str">
        <f t="shared" si="2"/>
        <v/>
      </c>
    </row>
    <row r="536" ht="30.0" hidden="1" customHeight="1">
      <c r="G536" s="3"/>
      <c r="H536" s="10"/>
      <c r="I536" s="10"/>
      <c r="J536" s="40" t="str">
        <f t="shared" si="1"/>
        <v/>
      </c>
      <c r="M536" s="10"/>
      <c r="N536" s="40" t="str">
        <f t="shared" si="2"/>
        <v/>
      </c>
    </row>
    <row r="537" ht="30.0" hidden="1" customHeight="1">
      <c r="G537" s="3"/>
      <c r="H537" s="10"/>
      <c r="I537" s="10"/>
      <c r="J537" s="40" t="str">
        <f t="shared" si="1"/>
        <v/>
      </c>
      <c r="M537" s="10"/>
      <c r="N537" s="40" t="str">
        <f t="shared" si="2"/>
        <v/>
      </c>
    </row>
    <row r="538" ht="30.0" hidden="1" customHeight="1">
      <c r="G538" s="3"/>
      <c r="H538" s="10"/>
      <c r="I538" s="10"/>
      <c r="J538" s="40" t="str">
        <f t="shared" si="1"/>
        <v/>
      </c>
      <c r="M538" s="10"/>
      <c r="N538" s="40" t="str">
        <f t="shared" si="2"/>
        <v/>
      </c>
    </row>
    <row r="539" ht="30.0" hidden="1" customHeight="1">
      <c r="G539" s="3"/>
      <c r="H539" s="10"/>
      <c r="I539" s="10"/>
      <c r="J539" s="40" t="str">
        <f t="shared" si="1"/>
        <v/>
      </c>
      <c r="M539" s="10"/>
      <c r="N539" s="40" t="str">
        <f t="shared" si="2"/>
        <v/>
      </c>
    </row>
    <row r="540" ht="30.0" hidden="1" customHeight="1">
      <c r="G540" s="3"/>
      <c r="H540" s="10"/>
      <c r="I540" s="10"/>
      <c r="J540" s="40" t="str">
        <f t="shared" si="1"/>
        <v/>
      </c>
      <c r="M540" s="10"/>
      <c r="N540" s="40" t="str">
        <f t="shared" si="2"/>
        <v/>
      </c>
    </row>
    <row r="541" ht="30.0" hidden="1" customHeight="1">
      <c r="G541" s="3"/>
      <c r="H541" s="10"/>
      <c r="I541" s="10"/>
      <c r="J541" s="40" t="str">
        <f t="shared" si="1"/>
        <v/>
      </c>
      <c r="M541" s="10"/>
      <c r="N541" s="40" t="str">
        <f t="shared" si="2"/>
        <v/>
      </c>
    </row>
    <row r="542" ht="30.0" hidden="1" customHeight="1">
      <c r="G542" s="3"/>
      <c r="H542" s="10"/>
      <c r="I542" s="10"/>
      <c r="J542" s="40" t="str">
        <f t="shared" si="1"/>
        <v/>
      </c>
      <c r="M542" s="10"/>
      <c r="N542" s="40" t="str">
        <f t="shared" si="2"/>
        <v/>
      </c>
    </row>
    <row r="543" ht="30.0" hidden="1" customHeight="1">
      <c r="G543" s="3"/>
      <c r="H543" s="10"/>
      <c r="I543" s="10"/>
      <c r="J543" s="40" t="str">
        <f t="shared" si="1"/>
        <v/>
      </c>
      <c r="M543" s="10"/>
      <c r="N543" s="40" t="str">
        <f t="shared" si="2"/>
        <v/>
      </c>
    </row>
    <row r="544" ht="30.0" hidden="1" customHeight="1">
      <c r="G544" s="3"/>
      <c r="H544" s="10"/>
      <c r="I544" s="10"/>
      <c r="J544" s="40" t="str">
        <f t="shared" si="1"/>
        <v/>
      </c>
      <c r="M544" s="10"/>
      <c r="N544" s="40" t="str">
        <f t="shared" si="2"/>
        <v/>
      </c>
    </row>
    <row r="545" ht="30.0" hidden="1" customHeight="1">
      <c r="G545" s="3"/>
      <c r="H545" s="10"/>
      <c r="I545" s="10"/>
      <c r="J545" s="40" t="str">
        <f t="shared" si="1"/>
        <v/>
      </c>
      <c r="M545" s="10"/>
      <c r="N545" s="40" t="str">
        <f t="shared" si="2"/>
        <v/>
      </c>
    </row>
    <row r="546" ht="30.0" hidden="1" customHeight="1">
      <c r="G546" s="3"/>
      <c r="H546" s="10"/>
      <c r="I546" s="10"/>
      <c r="J546" s="40" t="str">
        <f t="shared" si="1"/>
        <v/>
      </c>
      <c r="M546" s="10"/>
      <c r="N546" s="40" t="str">
        <f t="shared" si="2"/>
        <v/>
      </c>
    </row>
    <row r="547" ht="30.0" hidden="1" customHeight="1">
      <c r="G547" s="3"/>
      <c r="H547" s="10"/>
      <c r="I547" s="10"/>
      <c r="J547" s="40" t="str">
        <f t="shared" si="1"/>
        <v/>
      </c>
      <c r="M547" s="10"/>
      <c r="N547" s="40" t="str">
        <f t="shared" si="2"/>
        <v/>
      </c>
    </row>
    <row r="548" ht="30.0" hidden="1" customHeight="1">
      <c r="G548" s="3"/>
      <c r="H548" s="10"/>
      <c r="I548" s="10"/>
      <c r="J548" s="40" t="str">
        <f t="shared" si="1"/>
        <v/>
      </c>
      <c r="M548" s="10"/>
      <c r="N548" s="40" t="str">
        <f t="shared" si="2"/>
        <v/>
      </c>
    </row>
    <row r="549" ht="30.0" hidden="1" customHeight="1">
      <c r="G549" s="3"/>
      <c r="H549" s="10"/>
      <c r="I549" s="10"/>
      <c r="J549" s="40" t="str">
        <f t="shared" si="1"/>
        <v/>
      </c>
      <c r="M549" s="10"/>
      <c r="N549" s="40" t="str">
        <f t="shared" si="2"/>
        <v/>
      </c>
    </row>
    <row r="550" ht="30.0" hidden="1" customHeight="1">
      <c r="G550" s="3"/>
      <c r="H550" s="10"/>
      <c r="I550" s="10"/>
      <c r="J550" s="40" t="str">
        <f t="shared" si="1"/>
        <v/>
      </c>
      <c r="M550" s="10"/>
      <c r="N550" s="40" t="str">
        <f t="shared" si="2"/>
        <v/>
      </c>
    </row>
    <row r="551" ht="30.0" hidden="1" customHeight="1">
      <c r="G551" s="3"/>
      <c r="H551" s="10"/>
      <c r="I551" s="10"/>
      <c r="J551" s="40" t="str">
        <f t="shared" si="1"/>
        <v/>
      </c>
      <c r="M551" s="10"/>
      <c r="N551" s="40" t="str">
        <f t="shared" si="2"/>
        <v/>
      </c>
    </row>
    <row r="552" ht="30.0" hidden="1" customHeight="1">
      <c r="G552" s="3"/>
      <c r="H552" s="10"/>
      <c r="I552" s="10"/>
      <c r="J552" s="40" t="str">
        <f t="shared" si="1"/>
        <v/>
      </c>
      <c r="M552" s="10"/>
      <c r="N552" s="40" t="str">
        <f t="shared" si="2"/>
        <v/>
      </c>
    </row>
    <row r="553" ht="30.0" hidden="1" customHeight="1">
      <c r="G553" s="3"/>
      <c r="H553" s="10"/>
      <c r="I553" s="10"/>
      <c r="J553" s="40" t="str">
        <f t="shared" si="1"/>
        <v/>
      </c>
      <c r="M553" s="10"/>
      <c r="N553" s="40" t="str">
        <f t="shared" si="2"/>
        <v/>
      </c>
    </row>
    <row r="554" ht="30.0" hidden="1" customHeight="1">
      <c r="G554" s="3"/>
      <c r="H554" s="10"/>
      <c r="I554" s="10"/>
      <c r="J554" s="40" t="str">
        <f t="shared" si="1"/>
        <v/>
      </c>
      <c r="M554" s="10"/>
      <c r="N554" s="40" t="str">
        <f t="shared" si="2"/>
        <v/>
      </c>
    </row>
    <row r="555" ht="30.0" hidden="1" customHeight="1">
      <c r="G555" s="3"/>
      <c r="H555" s="10"/>
      <c r="I555" s="10"/>
      <c r="J555" s="40" t="str">
        <f t="shared" si="1"/>
        <v/>
      </c>
      <c r="M555" s="10"/>
      <c r="N555" s="40" t="str">
        <f t="shared" si="2"/>
        <v/>
      </c>
    </row>
    <row r="556" ht="30.0" hidden="1" customHeight="1">
      <c r="G556" s="3"/>
      <c r="H556" s="10"/>
      <c r="I556" s="10"/>
      <c r="J556" s="40" t="str">
        <f t="shared" si="1"/>
        <v/>
      </c>
      <c r="M556" s="10"/>
      <c r="N556" s="40" t="str">
        <f t="shared" si="2"/>
        <v/>
      </c>
    </row>
    <row r="557" ht="30.0" hidden="1" customHeight="1">
      <c r="G557" s="3"/>
      <c r="H557" s="10"/>
      <c r="I557" s="10"/>
      <c r="J557" s="40" t="str">
        <f t="shared" si="1"/>
        <v/>
      </c>
      <c r="M557" s="10"/>
      <c r="N557" s="40" t="str">
        <f t="shared" si="2"/>
        <v/>
      </c>
    </row>
    <row r="558" ht="30.0" hidden="1" customHeight="1">
      <c r="G558" s="3"/>
      <c r="H558" s="10"/>
      <c r="I558" s="10"/>
      <c r="J558" s="40" t="str">
        <f t="shared" si="1"/>
        <v/>
      </c>
      <c r="M558" s="10"/>
      <c r="N558" s="40" t="str">
        <f t="shared" si="2"/>
        <v/>
      </c>
    </row>
    <row r="559" ht="30.0" hidden="1" customHeight="1">
      <c r="G559" s="3"/>
      <c r="H559" s="10"/>
      <c r="I559" s="10"/>
      <c r="J559" s="40" t="str">
        <f t="shared" si="1"/>
        <v/>
      </c>
      <c r="M559" s="10"/>
      <c r="N559" s="40" t="str">
        <f t="shared" si="2"/>
        <v/>
      </c>
    </row>
    <row r="560" ht="30.0" hidden="1" customHeight="1">
      <c r="G560" s="3"/>
      <c r="H560" s="10"/>
      <c r="I560" s="10"/>
      <c r="J560" s="40" t="str">
        <f t="shared" si="1"/>
        <v/>
      </c>
      <c r="M560" s="10"/>
      <c r="N560" s="40" t="str">
        <f t="shared" si="2"/>
        <v/>
      </c>
    </row>
    <row r="561" ht="30.0" hidden="1" customHeight="1">
      <c r="G561" s="3"/>
      <c r="H561" s="10"/>
      <c r="I561" s="10"/>
      <c r="J561" s="40" t="str">
        <f t="shared" si="1"/>
        <v/>
      </c>
      <c r="M561" s="10"/>
      <c r="N561" s="40" t="str">
        <f t="shared" si="2"/>
        <v/>
      </c>
    </row>
    <row r="562" ht="30.0" hidden="1" customHeight="1">
      <c r="G562" s="3"/>
      <c r="H562" s="10"/>
      <c r="I562" s="10"/>
      <c r="J562" s="40" t="str">
        <f t="shared" si="1"/>
        <v/>
      </c>
      <c r="M562" s="10"/>
      <c r="N562" s="40" t="str">
        <f t="shared" si="2"/>
        <v/>
      </c>
    </row>
    <row r="563" ht="30.0" hidden="1" customHeight="1">
      <c r="G563" s="3"/>
      <c r="H563" s="10"/>
      <c r="I563" s="10"/>
      <c r="J563" s="40" t="str">
        <f t="shared" si="1"/>
        <v/>
      </c>
      <c r="M563" s="10"/>
      <c r="N563" s="40" t="str">
        <f t="shared" si="2"/>
        <v/>
      </c>
    </row>
    <row r="564" ht="30.0" hidden="1" customHeight="1">
      <c r="G564" s="3"/>
      <c r="H564" s="10"/>
      <c r="I564" s="10"/>
      <c r="J564" s="40" t="str">
        <f t="shared" si="1"/>
        <v/>
      </c>
      <c r="M564" s="10"/>
      <c r="N564" s="40" t="str">
        <f t="shared" si="2"/>
        <v/>
      </c>
    </row>
    <row r="565" ht="30.0" hidden="1" customHeight="1">
      <c r="G565" s="3"/>
      <c r="H565" s="10"/>
      <c r="I565" s="10"/>
      <c r="J565" s="40" t="str">
        <f t="shared" si="1"/>
        <v/>
      </c>
      <c r="M565" s="10"/>
      <c r="N565" s="40" t="str">
        <f t="shared" si="2"/>
        <v/>
      </c>
    </row>
    <row r="566" ht="30.0" hidden="1" customHeight="1">
      <c r="G566" s="3"/>
      <c r="H566" s="10"/>
      <c r="I566" s="10"/>
      <c r="J566" s="40" t="str">
        <f t="shared" si="1"/>
        <v/>
      </c>
      <c r="M566" s="10"/>
      <c r="N566" s="40" t="str">
        <f t="shared" si="2"/>
        <v/>
      </c>
    </row>
    <row r="567" ht="30.0" hidden="1" customHeight="1">
      <c r="G567" s="3"/>
      <c r="H567" s="10"/>
      <c r="I567" s="10"/>
      <c r="J567" s="40" t="str">
        <f t="shared" si="1"/>
        <v/>
      </c>
      <c r="M567" s="10"/>
      <c r="N567" s="40" t="str">
        <f t="shared" si="2"/>
        <v/>
      </c>
    </row>
    <row r="568" ht="30.0" hidden="1" customHeight="1">
      <c r="G568" s="3"/>
      <c r="H568" s="10"/>
      <c r="I568" s="10"/>
      <c r="J568" s="40" t="str">
        <f t="shared" si="1"/>
        <v/>
      </c>
      <c r="M568" s="10"/>
      <c r="N568" s="40" t="str">
        <f t="shared" si="2"/>
        <v/>
      </c>
    </row>
    <row r="569" ht="30.0" hidden="1" customHeight="1">
      <c r="G569" s="3"/>
      <c r="H569" s="10"/>
      <c r="I569" s="10"/>
      <c r="J569" s="40" t="str">
        <f t="shared" si="1"/>
        <v/>
      </c>
      <c r="M569" s="10"/>
      <c r="N569" s="40" t="str">
        <f t="shared" si="2"/>
        <v/>
      </c>
    </row>
    <row r="570" ht="30.0" hidden="1" customHeight="1">
      <c r="G570" s="3"/>
      <c r="H570" s="10"/>
      <c r="I570" s="10"/>
      <c r="J570" s="40" t="str">
        <f t="shared" si="1"/>
        <v/>
      </c>
      <c r="M570" s="10"/>
      <c r="N570" s="40" t="str">
        <f t="shared" si="2"/>
        <v/>
      </c>
    </row>
    <row r="571" ht="30.0" hidden="1" customHeight="1">
      <c r="G571" s="3"/>
      <c r="H571" s="10"/>
      <c r="I571" s="10"/>
      <c r="J571" s="40" t="str">
        <f t="shared" si="1"/>
        <v/>
      </c>
      <c r="M571" s="10"/>
      <c r="N571" s="40" t="str">
        <f t="shared" si="2"/>
        <v/>
      </c>
    </row>
    <row r="572" ht="30.0" hidden="1" customHeight="1">
      <c r="G572" s="3"/>
      <c r="H572" s="10"/>
      <c r="I572" s="10"/>
      <c r="J572" s="40" t="str">
        <f t="shared" si="1"/>
        <v/>
      </c>
      <c r="M572" s="10"/>
      <c r="N572" s="40" t="str">
        <f t="shared" si="2"/>
        <v/>
      </c>
    </row>
    <row r="573" ht="30.0" hidden="1" customHeight="1">
      <c r="G573" s="3"/>
      <c r="H573" s="10"/>
      <c r="I573" s="10"/>
      <c r="J573" s="40" t="str">
        <f t="shared" si="1"/>
        <v/>
      </c>
      <c r="M573" s="10"/>
      <c r="N573" s="40" t="str">
        <f t="shared" si="2"/>
        <v/>
      </c>
    </row>
    <row r="574" ht="30.0" hidden="1" customHeight="1">
      <c r="G574" s="3"/>
      <c r="H574" s="10"/>
      <c r="I574" s="10"/>
      <c r="J574" s="40" t="str">
        <f t="shared" si="1"/>
        <v/>
      </c>
      <c r="M574" s="10"/>
      <c r="N574" s="40" t="str">
        <f t="shared" si="2"/>
        <v/>
      </c>
    </row>
    <row r="575" ht="30.0" hidden="1" customHeight="1">
      <c r="G575" s="3"/>
      <c r="H575" s="10"/>
      <c r="I575" s="10"/>
      <c r="J575" s="40" t="str">
        <f t="shared" si="1"/>
        <v/>
      </c>
      <c r="M575" s="10"/>
      <c r="N575" s="40" t="str">
        <f t="shared" si="2"/>
        <v/>
      </c>
    </row>
    <row r="576" ht="30.0" hidden="1" customHeight="1">
      <c r="G576" s="3"/>
      <c r="H576" s="10"/>
      <c r="I576" s="10"/>
      <c r="J576" s="40" t="str">
        <f t="shared" si="1"/>
        <v/>
      </c>
      <c r="M576" s="10"/>
      <c r="N576" s="40" t="str">
        <f t="shared" si="2"/>
        <v/>
      </c>
    </row>
    <row r="577" ht="30.0" hidden="1" customHeight="1">
      <c r="G577" s="3"/>
      <c r="H577" s="10"/>
      <c r="I577" s="10"/>
      <c r="J577" s="40" t="str">
        <f t="shared" si="1"/>
        <v/>
      </c>
      <c r="M577" s="10"/>
      <c r="N577" s="40" t="str">
        <f t="shared" si="2"/>
        <v/>
      </c>
    </row>
    <row r="578" ht="30.0" hidden="1" customHeight="1">
      <c r="G578" s="3"/>
      <c r="H578" s="10"/>
      <c r="I578" s="10"/>
      <c r="J578" s="40" t="str">
        <f t="shared" si="1"/>
        <v/>
      </c>
      <c r="M578" s="10"/>
      <c r="N578" s="40" t="str">
        <f t="shared" si="2"/>
        <v/>
      </c>
    </row>
    <row r="579" ht="30.0" hidden="1" customHeight="1">
      <c r="G579" s="3"/>
      <c r="H579" s="10"/>
      <c r="I579" s="10"/>
      <c r="J579" s="40" t="str">
        <f t="shared" si="1"/>
        <v/>
      </c>
      <c r="M579" s="10"/>
      <c r="N579" s="40" t="str">
        <f t="shared" si="2"/>
        <v/>
      </c>
    </row>
    <row r="580" ht="30.0" hidden="1" customHeight="1">
      <c r="G580" s="3"/>
      <c r="H580" s="10"/>
      <c r="I580" s="10"/>
      <c r="J580" s="40" t="str">
        <f t="shared" si="1"/>
        <v/>
      </c>
      <c r="M580" s="10"/>
      <c r="N580" s="40" t="str">
        <f t="shared" si="2"/>
        <v/>
      </c>
    </row>
    <row r="581" ht="30.0" hidden="1" customHeight="1">
      <c r="G581" s="3"/>
      <c r="H581" s="10"/>
      <c r="I581" s="10"/>
      <c r="J581" s="40" t="str">
        <f t="shared" si="1"/>
        <v/>
      </c>
      <c r="M581" s="10"/>
      <c r="N581" s="40" t="str">
        <f t="shared" si="2"/>
        <v/>
      </c>
    </row>
    <row r="582" ht="30.0" hidden="1" customHeight="1">
      <c r="G582" s="3"/>
      <c r="H582" s="10"/>
      <c r="I582" s="10"/>
      <c r="J582" s="40" t="str">
        <f t="shared" si="1"/>
        <v/>
      </c>
      <c r="M582" s="10"/>
      <c r="N582" s="40" t="str">
        <f t="shared" si="2"/>
        <v/>
      </c>
    </row>
    <row r="583" ht="30.0" hidden="1" customHeight="1">
      <c r="G583" s="3"/>
      <c r="H583" s="10"/>
      <c r="I583" s="10"/>
      <c r="J583" s="40" t="str">
        <f t="shared" si="1"/>
        <v/>
      </c>
      <c r="M583" s="10"/>
      <c r="N583" s="40" t="str">
        <f t="shared" si="2"/>
        <v/>
      </c>
    </row>
    <row r="584" ht="30.0" hidden="1" customHeight="1">
      <c r="G584" s="3"/>
      <c r="H584" s="10"/>
      <c r="I584" s="10"/>
      <c r="J584" s="40" t="str">
        <f t="shared" si="1"/>
        <v/>
      </c>
      <c r="M584" s="10"/>
      <c r="N584" s="40" t="str">
        <f t="shared" si="2"/>
        <v/>
      </c>
    </row>
    <row r="585" ht="30.0" hidden="1" customHeight="1">
      <c r="G585" s="3"/>
      <c r="H585" s="10"/>
      <c r="I585" s="10"/>
      <c r="J585" s="40" t="str">
        <f t="shared" si="1"/>
        <v/>
      </c>
      <c r="M585" s="10"/>
      <c r="N585" s="40" t="str">
        <f t="shared" si="2"/>
        <v/>
      </c>
    </row>
    <row r="586" ht="30.0" hidden="1" customHeight="1">
      <c r="G586" s="3"/>
      <c r="H586" s="10"/>
      <c r="I586" s="10"/>
      <c r="J586" s="40" t="str">
        <f t="shared" si="1"/>
        <v/>
      </c>
      <c r="M586" s="10"/>
      <c r="N586" s="40" t="str">
        <f t="shared" si="2"/>
        <v/>
      </c>
    </row>
    <row r="587" ht="30.0" hidden="1" customHeight="1">
      <c r="G587" s="3"/>
      <c r="H587" s="10"/>
      <c r="I587" s="10"/>
      <c r="J587" s="40" t="str">
        <f t="shared" si="1"/>
        <v/>
      </c>
      <c r="M587" s="10"/>
      <c r="N587" s="40" t="str">
        <f t="shared" si="2"/>
        <v/>
      </c>
    </row>
    <row r="588" ht="30.0" hidden="1" customHeight="1">
      <c r="G588" s="3"/>
      <c r="H588" s="10"/>
      <c r="I588" s="10"/>
      <c r="J588" s="40" t="str">
        <f t="shared" si="1"/>
        <v/>
      </c>
      <c r="M588" s="10"/>
      <c r="N588" s="40" t="str">
        <f t="shared" si="2"/>
        <v/>
      </c>
    </row>
    <row r="589" ht="30.0" hidden="1" customHeight="1">
      <c r="G589" s="3"/>
      <c r="H589" s="10"/>
      <c r="I589" s="10"/>
      <c r="J589" s="40" t="str">
        <f t="shared" si="1"/>
        <v/>
      </c>
      <c r="M589" s="10"/>
      <c r="N589" s="40" t="str">
        <f t="shared" si="2"/>
        <v/>
      </c>
    </row>
    <row r="590" ht="30.0" hidden="1" customHeight="1">
      <c r="G590" s="3"/>
      <c r="H590" s="10"/>
      <c r="I590" s="10"/>
      <c r="J590" s="40" t="str">
        <f t="shared" si="1"/>
        <v/>
      </c>
      <c r="M590" s="10"/>
      <c r="N590" s="40" t="str">
        <f t="shared" si="2"/>
        <v/>
      </c>
    </row>
    <row r="591" ht="30.0" hidden="1" customHeight="1">
      <c r="G591" s="3"/>
      <c r="H591" s="10"/>
      <c r="I591" s="10"/>
      <c r="J591" s="40" t="str">
        <f t="shared" si="1"/>
        <v/>
      </c>
      <c r="M591" s="10"/>
      <c r="N591" s="40" t="str">
        <f t="shared" si="2"/>
        <v/>
      </c>
    </row>
    <row r="592" ht="30.0" hidden="1" customHeight="1">
      <c r="G592" s="3"/>
      <c r="H592" s="10"/>
      <c r="I592" s="10"/>
      <c r="J592" s="40" t="str">
        <f t="shared" si="1"/>
        <v/>
      </c>
      <c r="M592" s="10"/>
      <c r="N592" s="40" t="str">
        <f t="shared" si="2"/>
        <v/>
      </c>
    </row>
    <row r="593" ht="30.0" hidden="1" customHeight="1">
      <c r="G593" s="3"/>
      <c r="H593" s="10"/>
      <c r="I593" s="10"/>
      <c r="J593" s="40" t="str">
        <f t="shared" si="1"/>
        <v/>
      </c>
      <c r="M593" s="10"/>
      <c r="N593" s="40" t="str">
        <f t="shared" si="2"/>
        <v/>
      </c>
    </row>
    <row r="594" ht="30.0" hidden="1" customHeight="1">
      <c r="G594" s="3"/>
      <c r="H594" s="10"/>
      <c r="I594" s="10"/>
      <c r="J594" s="40" t="str">
        <f t="shared" si="1"/>
        <v/>
      </c>
      <c r="M594" s="10"/>
      <c r="N594" s="40" t="str">
        <f t="shared" si="2"/>
        <v/>
      </c>
    </row>
    <row r="595" ht="30.0" hidden="1" customHeight="1">
      <c r="G595" s="3"/>
      <c r="H595" s="10"/>
      <c r="I595" s="10"/>
      <c r="J595" s="40" t="str">
        <f t="shared" si="1"/>
        <v/>
      </c>
      <c r="M595" s="10"/>
      <c r="N595" s="40" t="str">
        <f t="shared" si="2"/>
        <v/>
      </c>
    </row>
    <row r="596" ht="30.0" hidden="1" customHeight="1">
      <c r="G596" s="3"/>
      <c r="H596" s="10"/>
      <c r="I596" s="10"/>
      <c r="J596" s="40" t="str">
        <f t="shared" si="1"/>
        <v/>
      </c>
      <c r="M596" s="10"/>
      <c r="N596" s="40" t="str">
        <f t="shared" si="2"/>
        <v/>
      </c>
    </row>
    <row r="597" ht="30.0" hidden="1" customHeight="1">
      <c r="G597" s="3"/>
      <c r="H597" s="10"/>
      <c r="I597" s="10"/>
      <c r="J597" s="40" t="str">
        <f t="shared" si="1"/>
        <v/>
      </c>
      <c r="M597" s="10"/>
      <c r="N597" s="40" t="str">
        <f t="shared" si="2"/>
        <v/>
      </c>
    </row>
    <row r="598" ht="30.0" hidden="1" customHeight="1">
      <c r="G598" s="3"/>
      <c r="H598" s="10"/>
      <c r="I598" s="10"/>
      <c r="J598" s="40" t="str">
        <f t="shared" si="1"/>
        <v/>
      </c>
      <c r="M598" s="10"/>
      <c r="N598" s="40" t="str">
        <f t="shared" si="2"/>
        <v/>
      </c>
    </row>
    <row r="599" ht="30.0" hidden="1" customHeight="1">
      <c r="G599" s="3"/>
      <c r="H599" s="10"/>
      <c r="I599" s="10"/>
      <c r="J599" s="40" t="str">
        <f t="shared" si="1"/>
        <v/>
      </c>
      <c r="M599" s="10"/>
      <c r="N599" s="40" t="str">
        <f t="shared" si="2"/>
        <v/>
      </c>
    </row>
    <row r="600" ht="30.0" hidden="1" customHeight="1">
      <c r="G600" s="3"/>
      <c r="H600" s="10"/>
      <c r="I600" s="10"/>
      <c r="J600" s="40" t="str">
        <f t="shared" si="1"/>
        <v/>
      </c>
      <c r="M600" s="10"/>
      <c r="N600" s="40" t="str">
        <f t="shared" si="2"/>
        <v/>
      </c>
    </row>
    <row r="601" ht="30.0" hidden="1" customHeight="1">
      <c r="G601" s="3"/>
      <c r="H601" s="10"/>
      <c r="I601" s="10"/>
      <c r="J601" s="40" t="str">
        <f t="shared" si="1"/>
        <v/>
      </c>
      <c r="M601" s="10"/>
      <c r="N601" s="40" t="str">
        <f t="shared" si="2"/>
        <v/>
      </c>
    </row>
    <row r="602" ht="30.0" hidden="1" customHeight="1">
      <c r="G602" s="3"/>
      <c r="H602" s="10"/>
      <c r="I602" s="10"/>
      <c r="J602" s="40" t="str">
        <f t="shared" si="1"/>
        <v/>
      </c>
      <c r="M602" s="10"/>
      <c r="N602" s="40" t="str">
        <f t="shared" si="2"/>
        <v/>
      </c>
    </row>
    <row r="603" ht="30.0" hidden="1" customHeight="1">
      <c r="G603" s="3"/>
      <c r="H603" s="10"/>
      <c r="I603" s="10"/>
      <c r="J603" s="40" t="str">
        <f t="shared" si="1"/>
        <v/>
      </c>
      <c r="M603" s="10"/>
      <c r="N603" s="40" t="str">
        <f t="shared" si="2"/>
        <v/>
      </c>
    </row>
    <row r="604" ht="30.0" hidden="1" customHeight="1">
      <c r="G604" s="3"/>
      <c r="H604" s="10"/>
      <c r="I604" s="10"/>
      <c r="J604" s="40" t="str">
        <f t="shared" si="1"/>
        <v/>
      </c>
      <c r="M604" s="10"/>
      <c r="N604" s="40" t="str">
        <f t="shared" si="2"/>
        <v/>
      </c>
    </row>
    <row r="605" ht="30.0" hidden="1" customHeight="1">
      <c r="G605" s="3"/>
      <c r="H605" s="10"/>
      <c r="I605" s="10"/>
      <c r="J605" s="40" t="str">
        <f t="shared" si="1"/>
        <v/>
      </c>
      <c r="M605" s="10"/>
      <c r="N605" s="40" t="str">
        <f t="shared" si="2"/>
        <v/>
      </c>
    </row>
    <row r="606" ht="30.0" hidden="1" customHeight="1">
      <c r="G606" s="3"/>
      <c r="H606" s="10"/>
      <c r="I606" s="10"/>
      <c r="J606" s="40" t="str">
        <f t="shared" si="1"/>
        <v/>
      </c>
      <c r="M606" s="10"/>
      <c r="N606" s="40" t="str">
        <f t="shared" si="2"/>
        <v/>
      </c>
    </row>
    <row r="607" ht="30.0" hidden="1" customHeight="1">
      <c r="G607" s="3"/>
      <c r="H607" s="10"/>
      <c r="I607" s="10"/>
      <c r="J607" s="40" t="str">
        <f t="shared" si="1"/>
        <v/>
      </c>
      <c r="M607" s="10"/>
      <c r="N607" s="40" t="str">
        <f t="shared" si="2"/>
        <v/>
      </c>
    </row>
    <row r="608" ht="30.0" hidden="1" customHeight="1">
      <c r="G608" s="3"/>
      <c r="H608" s="10"/>
      <c r="I608" s="10"/>
      <c r="J608" s="40" t="str">
        <f t="shared" si="1"/>
        <v/>
      </c>
      <c r="M608" s="10"/>
      <c r="N608" s="40" t="str">
        <f t="shared" si="2"/>
        <v/>
      </c>
    </row>
    <row r="609" ht="30.0" hidden="1" customHeight="1">
      <c r="G609" s="3"/>
      <c r="H609" s="10"/>
      <c r="I609" s="10"/>
      <c r="J609" s="40" t="str">
        <f t="shared" si="1"/>
        <v/>
      </c>
      <c r="M609" s="10"/>
      <c r="N609" s="40" t="str">
        <f t="shared" si="2"/>
        <v/>
      </c>
    </row>
    <row r="610" ht="30.0" hidden="1" customHeight="1">
      <c r="G610" s="3"/>
      <c r="H610" s="10"/>
      <c r="I610" s="10"/>
      <c r="J610" s="40" t="str">
        <f t="shared" si="1"/>
        <v/>
      </c>
      <c r="M610" s="10"/>
      <c r="N610" s="40" t="str">
        <f t="shared" si="2"/>
        <v/>
      </c>
    </row>
    <row r="611" ht="30.0" hidden="1" customHeight="1">
      <c r="G611" s="3"/>
      <c r="H611" s="10"/>
      <c r="I611" s="10"/>
      <c r="J611" s="40" t="str">
        <f t="shared" si="1"/>
        <v/>
      </c>
      <c r="M611" s="10"/>
      <c r="N611" s="40" t="str">
        <f t="shared" si="2"/>
        <v/>
      </c>
    </row>
    <row r="612" ht="30.0" hidden="1" customHeight="1">
      <c r="G612" s="3"/>
      <c r="H612" s="10"/>
      <c r="I612" s="10"/>
      <c r="J612" s="40" t="str">
        <f t="shared" si="1"/>
        <v/>
      </c>
      <c r="M612" s="10"/>
      <c r="N612" s="40" t="str">
        <f t="shared" si="2"/>
        <v/>
      </c>
    </row>
    <row r="613" ht="30.0" hidden="1" customHeight="1">
      <c r="G613" s="3"/>
      <c r="H613" s="10"/>
      <c r="I613" s="10"/>
      <c r="J613" s="40" t="str">
        <f t="shared" si="1"/>
        <v/>
      </c>
      <c r="M613" s="10"/>
      <c r="N613" s="40" t="str">
        <f t="shared" si="2"/>
        <v/>
      </c>
    </row>
    <row r="614" ht="30.0" hidden="1" customHeight="1">
      <c r="G614" s="3"/>
      <c r="H614" s="10"/>
      <c r="I614" s="10"/>
      <c r="J614" s="40" t="str">
        <f t="shared" si="1"/>
        <v/>
      </c>
      <c r="M614" s="10"/>
      <c r="N614" s="40" t="str">
        <f t="shared" si="2"/>
        <v/>
      </c>
    </row>
    <row r="615" ht="30.0" hidden="1" customHeight="1">
      <c r="G615" s="3"/>
      <c r="H615" s="10"/>
      <c r="I615" s="10"/>
      <c r="J615" s="40" t="str">
        <f t="shared" si="1"/>
        <v/>
      </c>
      <c r="M615" s="10"/>
      <c r="N615" s="40" t="str">
        <f t="shared" si="2"/>
        <v/>
      </c>
    </row>
    <row r="616" ht="30.0" hidden="1" customHeight="1">
      <c r="G616" s="3"/>
      <c r="H616" s="10"/>
      <c r="I616" s="10"/>
      <c r="J616" s="40" t="str">
        <f t="shared" si="1"/>
        <v/>
      </c>
      <c r="M616" s="10"/>
      <c r="N616" s="40" t="str">
        <f t="shared" si="2"/>
        <v/>
      </c>
    </row>
    <row r="617" ht="30.0" hidden="1" customHeight="1">
      <c r="G617" s="3"/>
      <c r="H617" s="10"/>
      <c r="I617" s="10"/>
      <c r="J617" s="40" t="str">
        <f t="shared" si="1"/>
        <v/>
      </c>
      <c r="M617" s="10"/>
      <c r="N617" s="40" t="str">
        <f t="shared" si="2"/>
        <v/>
      </c>
    </row>
    <row r="618" ht="30.0" hidden="1" customHeight="1">
      <c r="G618" s="3"/>
      <c r="H618" s="10"/>
      <c r="I618" s="10"/>
      <c r="J618" s="40" t="str">
        <f t="shared" si="1"/>
        <v/>
      </c>
      <c r="M618" s="10"/>
      <c r="N618" s="40" t="str">
        <f t="shared" si="2"/>
        <v/>
      </c>
    </row>
    <row r="619" ht="30.0" hidden="1" customHeight="1">
      <c r="G619" s="3"/>
      <c r="H619" s="10"/>
      <c r="I619" s="10"/>
      <c r="J619" s="40" t="str">
        <f t="shared" si="1"/>
        <v/>
      </c>
      <c r="M619" s="10"/>
      <c r="N619" s="40" t="str">
        <f t="shared" si="2"/>
        <v/>
      </c>
    </row>
    <row r="620" ht="30.0" hidden="1" customHeight="1">
      <c r="G620" s="3"/>
      <c r="H620" s="10"/>
      <c r="I620" s="10"/>
      <c r="J620" s="40" t="str">
        <f t="shared" si="1"/>
        <v/>
      </c>
      <c r="M620" s="10"/>
      <c r="N620" s="40" t="str">
        <f t="shared" si="2"/>
        <v/>
      </c>
    </row>
    <row r="621" ht="30.0" hidden="1" customHeight="1">
      <c r="G621" s="3"/>
      <c r="H621" s="10"/>
      <c r="I621" s="10"/>
      <c r="J621" s="40" t="str">
        <f t="shared" si="1"/>
        <v/>
      </c>
      <c r="M621" s="10"/>
      <c r="N621" s="40" t="str">
        <f t="shared" si="2"/>
        <v/>
      </c>
    </row>
    <row r="622" ht="30.0" hidden="1" customHeight="1">
      <c r="G622" s="3"/>
      <c r="H622" s="10"/>
      <c r="I622" s="10"/>
      <c r="J622" s="40" t="str">
        <f t="shared" si="1"/>
        <v/>
      </c>
      <c r="M622" s="10"/>
      <c r="N622" s="40" t="str">
        <f t="shared" si="2"/>
        <v/>
      </c>
    </row>
    <row r="623" ht="30.0" hidden="1" customHeight="1">
      <c r="G623" s="3"/>
      <c r="H623" s="10"/>
      <c r="I623" s="10"/>
      <c r="J623" s="40" t="str">
        <f t="shared" si="1"/>
        <v/>
      </c>
      <c r="M623" s="10"/>
      <c r="N623" s="40" t="str">
        <f t="shared" si="2"/>
        <v/>
      </c>
    </row>
    <row r="624" ht="30.0" hidden="1" customHeight="1">
      <c r="G624" s="3"/>
      <c r="H624" s="10"/>
      <c r="I624" s="10"/>
      <c r="J624" s="40" t="str">
        <f t="shared" si="1"/>
        <v/>
      </c>
      <c r="M624" s="10"/>
      <c r="N624" s="40" t="str">
        <f t="shared" si="2"/>
        <v/>
      </c>
    </row>
    <row r="625" ht="30.0" hidden="1" customHeight="1">
      <c r="G625" s="3"/>
      <c r="H625" s="10"/>
      <c r="I625" s="10"/>
      <c r="J625" s="40" t="str">
        <f t="shared" si="1"/>
        <v/>
      </c>
      <c r="M625" s="10"/>
      <c r="N625" s="40" t="str">
        <f t="shared" si="2"/>
        <v/>
      </c>
    </row>
    <row r="626" ht="30.0" hidden="1" customHeight="1">
      <c r="G626" s="3"/>
      <c r="H626" s="10"/>
      <c r="I626" s="10"/>
      <c r="J626" s="40" t="str">
        <f t="shared" si="1"/>
        <v/>
      </c>
      <c r="M626" s="10"/>
      <c r="N626" s="40" t="str">
        <f t="shared" si="2"/>
        <v/>
      </c>
    </row>
    <row r="627" ht="30.0" hidden="1" customHeight="1">
      <c r="G627" s="3"/>
      <c r="H627" s="10"/>
      <c r="I627" s="10"/>
      <c r="J627" s="40" t="str">
        <f t="shared" si="1"/>
        <v/>
      </c>
      <c r="M627" s="10"/>
      <c r="N627" s="40" t="str">
        <f t="shared" si="2"/>
        <v/>
      </c>
    </row>
    <row r="628" ht="30.0" hidden="1" customHeight="1">
      <c r="G628" s="3"/>
      <c r="H628" s="10"/>
      <c r="I628" s="10"/>
      <c r="J628" s="40" t="str">
        <f t="shared" si="1"/>
        <v/>
      </c>
      <c r="M628" s="10"/>
      <c r="N628" s="40" t="str">
        <f t="shared" si="2"/>
        <v/>
      </c>
    </row>
    <row r="629" ht="30.0" hidden="1" customHeight="1">
      <c r="G629" s="3"/>
      <c r="H629" s="10"/>
      <c r="I629" s="10"/>
      <c r="J629" s="40" t="str">
        <f t="shared" si="1"/>
        <v/>
      </c>
      <c r="M629" s="10"/>
      <c r="N629" s="40" t="str">
        <f t="shared" si="2"/>
        <v/>
      </c>
    </row>
    <row r="630" ht="30.0" hidden="1" customHeight="1">
      <c r="G630" s="3"/>
      <c r="H630" s="10"/>
      <c r="I630" s="10"/>
      <c r="J630" s="40" t="str">
        <f t="shared" si="1"/>
        <v/>
      </c>
      <c r="M630" s="10"/>
      <c r="N630" s="40" t="str">
        <f t="shared" si="2"/>
        <v/>
      </c>
    </row>
    <row r="631" ht="30.0" hidden="1" customHeight="1">
      <c r="G631" s="3"/>
      <c r="H631" s="10"/>
      <c r="I631" s="10"/>
      <c r="J631" s="40" t="str">
        <f t="shared" si="1"/>
        <v/>
      </c>
      <c r="M631" s="10"/>
      <c r="N631" s="40" t="str">
        <f t="shared" si="2"/>
        <v/>
      </c>
    </row>
    <row r="632" ht="30.0" hidden="1" customHeight="1">
      <c r="G632" s="3"/>
      <c r="H632" s="10"/>
      <c r="I632" s="10"/>
      <c r="J632" s="40" t="str">
        <f t="shared" si="1"/>
        <v/>
      </c>
      <c r="M632" s="10"/>
      <c r="N632" s="40" t="str">
        <f t="shared" si="2"/>
        <v/>
      </c>
    </row>
    <row r="633" ht="30.0" hidden="1" customHeight="1">
      <c r="G633" s="3"/>
      <c r="H633" s="10"/>
      <c r="I633" s="10"/>
      <c r="J633" s="40" t="str">
        <f t="shared" si="1"/>
        <v/>
      </c>
      <c r="M633" s="10"/>
      <c r="N633" s="40" t="str">
        <f t="shared" si="2"/>
        <v/>
      </c>
    </row>
    <row r="634" ht="30.0" hidden="1" customHeight="1">
      <c r="G634" s="3"/>
      <c r="H634" s="10"/>
      <c r="I634" s="10"/>
      <c r="J634" s="40" t="str">
        <f t="shared" si="1"/>
        <v/>
      </c>
      <c r="M634" s="10"/>
      <c r="N634" s="40" t="str">
        <f t="shared" si="2"/>
        <v/>
      </c>
    </row>
    <row r="635" ht="30.0" hidden="1" customHeight="1">
      <c r="G635" s="3"/>
      <c r="H635" s="10"/>
      <c r="I635" s="10"/>
      <c r="J635" s="40" t="str">
        <f t="shared" si="1"/>
        <v/>
      </c>
      <c r="M635" s="10"/>
      <c r="N635" s="40" t="str">
        <f t="shared" si="2"/>
        <v/>
      </c>
    </row>
    <row r="636" ht="30.0" hidden="1" customHeight="1">
      <c r="G636" s="3"/>
      <c r="H636" s="10"/>
      <c r="I636" s="10"/>
      <c r="J636" s="40" t="str">
        <f t="shared" si="1"/>
        <v/>
      </c>
      <c r="M636" s="10"/>
      <c r="N636" s="40" t="str">
        <f t="shared" si="2"/>
        <v/>
      </c>
    </row>
    <row r="637" ht="30.0" hidden="1" customHeight="1">
      <c r="G637" s="3"/>
      <c r="H637" s="10"/>
      <c r="I637" s="10"/>
      <c r="J637" s="40" t="str">
        <f t="shared" si="1"/>
        <v/>
      </c>
      <c r="M637" s="10"/>
      <c r="N637" s="40" t="str">
        <f t="shared" si="2"/>
        <v/>
      </c>
    </row>
    <row r="638" ht="30.0" hidden="1" customHeight="1">
      <c r="G638" s="3"/>
      <c r="H638" s="10"/>
      <c r="I638" s="10"/>
      <c r="J638" s="40" t="str">
        <f t="shared" si="1"/>
        <v/>
      </c>
      <c r="M638" s="10"/>
      <c r="N638" s="40" t="str">
        <f t="shared" si="2"/>
        <v/>
      </c>
    </row>
    <row r="639" ht="30.0" hidden="1" customHeight="1">
      <c r="G639" s="3"/>
      <c r="H639" s="10"/>
      <c r="I639" s="10"/>
      <c r="J639" s="40" t="str">
        <f t="shared" si="1"/>
        <v/>
      </c>
      <c r="M639" s="10"/>
      <c r="N639" s="40" t="str">
        <f t="shared" si="2"/>
        <v/>
      </c>
    </row>
    <row r="640" ht="30.0" hidden="1" customHeight="1">
      <c r="G640" s="3"/>
      <c r="H640" s="10"/>
      <c r="I640" s="10"/>
      <c r="J640" s="40" t="str">
        <f t="shared" si="1"/>
        <v/>
      </c>
      <c r="M640" s="10"/>
      <c r="N640" s="40" t="str">
        <f t="shared" si="2"/>
        <v/>
      </c>
    </row>
    <row r="641" ht="30.0" hidden="1" customHeight="1">
      <c r="G641" s="3"/>
      <c r="H641" s="10"/>
      <c r="I641" s="10"/>
      <c r="J641" s="40" t="str">
        <f t="shared" si="1"/>
        <v/>
      </c>
      <c r="M641" s="10"/>
      <c r="N641" s="40" t="str">
        <f t="shared" si="2"/>
        <v/>
      </c>
    </row>
    <row r="642" ht="30.0" hidden="1" customHeight="1">
      <c r="G642" s="3"/>
      <c r="H642" s="10"/>
      <c r="I642" s="10"/>
      <c r="J642" s="40" t="str">
        <f t="shared" si="1"/>
        <v/>
      </c>
      <c r="M642" s="10"/>
      <c r="N642" s="40" t="str">
        <f t="shared" si="2"/>
        <v/>
      </c>
    </row>
    <row r="643" ht="30.0" hidden="1" customHeight="1">
      <c r="G643" s="3"/>
      <c r="H643" s="10"/>
      <c r="I643" s="10"/>
      <c r="J643" s="40" t="str">
        <f t="shared" si="1"/>
        <v/>
      </c>
      <c r="M643" s="10"/>
      <c r="N643" s="40" t="str">
        <f t="shared" si="2"/>
        <v/>
      </c>
    </row>
    <row r="644" ht="30.0" hidden="1" customHeight="1">
      <c r="G644" s="3"/>
      <c r="H644" s="10"/>
      <c r="I644" s="10"/>
      <c r="J644" s="40" t="str">
        <f t="shared" si="1"/>
        <v/>
      </c>
      <c r="M644" s="10"/>
      <c r="N644" s="40" t="str">
        <f t="shared" si="2"/>
        <v/>
      </c>
    </row>
    <row r="645" ht="30.0" hidden="1" customHeight="1">
      <c r="G645" s="3"/>
      <c r="H645" s="10"/>
      <c r="I645" s="10"/>
      <c r="J645" s="40" t="str">
        <f t="shared" si="1"/>
        <v/>
      </c>
      <c r="M645" s="10"/>
      <c r="N645" s="40" t="str">
        <f t="shared" si="2"/>
        <v/>
      </c>
    </row>
    <row r="646" ht="30.0" hidden="1" customHeight="1">
      <c r="G646" s="3"/>
      <c r="H646" s="10"/>
      <c r="I646" s="10"/>
      <c r="J646" s="40" t="str">
        <f t="shared" si="1"/>
        <v/>
      </c>
      <c r="M646" s="10"/>
      <c r="N646" s="40" t="str">
        <f t="shared" si="2"/>
        <v/>
      </c>
    </row>
    <row r="647" ht="30.0" hidden="1" customHeight="1">
      <c r="G647" s="3"/>
      <c r="H647" s="10"/>
      <c r="I647" s="10"/>
      <c r="J647" s="40" t="str">
        <f t="shared" si="1"/>
        <v/>
      </c>
      <c r="M647" s="10"/>
      <c r="N647" s="40" t="str">
        <f t="shared" si="2"/>
        <v/>
      </c>
    </row>
    <row r="648" ht="30.0" hidden="1" customHeight="1">
      <c r="G648" s="3"/>
      <c r="H648" s="10"/>
      <c r="I648" s="10"/>
      <c r="J648" s="40" t="str">
        <f t="shared" si="1"/>
        <v/>
      </c>
      <c r="M648" s="10"/>
      <c r="N648" s="40" t="str">
        <f t="shared" si="2"/>
        <v/>
      </c>
    </row>
    <row r="649" ht="30.0" hidden="1" customHeight="1">
      <c r="G649" s="3"/>
      <c r="H649" s="10"/>
      <c r="I649" s="10"/>
      <c r="J649" s="40" t="str">
        <f t="shared" si="1"/>
        <v/>
      </c>
      <c r="M649" s="10"/>
      <c r="N649" s="40" t="str">
        <f t="shared" si="2"/>
        <v/>
      </c>
    </row>
    <row r="650" ht="30.0" hidden="1" customHeight="1">
      <c r="G650" s="3"/>
      <c r="H650" s="10"/>
      <c r="I650" s="10"/>
      <c r="J650" s="40" t="str">
        <f t="shared" si="1"/>
        <v/>
      </c>
      <c r="M650" s="10"/>
      <c r="N650" s="40" t="str">
        <f t="shared" si="2"/>
        <v/>
      </c>
    </row>
    <row r="651" ht="30.0" hidden="1" customHeight="1">
      <c r="G651" s="3"/>
      <c r="H651" s="10"/>
      <c r="I651" s="10"/>
      <c r="J651" s="40" t="str">
        <f t="shared" si="1"/>
        <v/>
      </c>
      <c r="M651" s="10"/>
      <c r="N651" s="40" t="str">
        <f t="shared" si="2"/>
        <v/>
      </c>
    </row>
    <row r="652" ht="30.0" hidden="1" customHeight="1">
      <c r="G652" s="3"/>
      <c r="H652" s="10"/>
      <c r="I652" s="10"/>
      <c r="J652" s="40" t="str">
        <f t="shared" si="1"/>
        <v/>
      </c>
      <c r="M652" s="10"/>
      <c r="N652" s="40" t="str">
        <f t="shared" si="2"/>
        <v/>
      </c>
    </row>
    <row r="653" ht="30.0" hidden="1" customHeight="1">
      <c r="G653" s="3"/>
      <c r="H653" s="10"/>
      <c r="I653" s="10"/>
      <c r="J653" s="40" t="str">
        <f t="shared" si="1"/>
        <v/>
      </c>
      <c r="M653" s="10"/>
      <c r="N653" s="40" t="str">
        <f t="shared" si="2"/>
        <v/>
      </c>
    </row>
    <row r="654" ht="30.0" hidden="1" customHeight="1">
      <c r="G654" s="3"/>
      <c r="H654" s="10"/>
      <c r="I654" s="10"/>
      <c r="J654" s="40" t="str">
        <f t="shared" si="1"/>
        <v/>
      </c>
      <c r="M654" s="10"/>
      <c r="N654" s="40" t="str">
        <f t="shared" si="2"/>
        <v/>
      </c>
    </row>
    <row r="655" ht="30.0" hidden="1" customHeight="1">
      <c r="G655" s="3"/>
      <c r="H655" s="10"/>
      <c r="I655" s="10"/>
      <c r="J655" s="40" t="str">
        <f t="shared" si="1"/>
        <v/>
      </c>
      <c r="M655" s="10"/>
      <c r="N655" s="40" t="str">
        <f t="shared" si="2"/>
        <v/>
      </c>
    </row>
    <row r="656" ht="30.0" hidden="1" customHeight="1">
      <c r="G656" s="3"/>
      <c r="H656" s="10"/>
      <c r="I656" s="10"/>
      <c r="J656" s="40" t="str">
        <f t="shared" si="1"/>
        <v/>
      </c>
      <c r="M656" s="10"/>
      <c r="N656" s="40" t="str">
        <f t="shared" si="2"/>
        <v/>
      </c>
    </row>
    <row r="657" ht="30.0" hidden="1" customHeight="1">
      <c r="G657" s="3"/>
      <c r="H657" s="10"/>
      <c r="I657" s="10"/>
      <c r="J657" s="40" t="str">
        <f t="shared" si="1"/>
        <v/>
      </c>
      <c r="M657" s="10"/>
      <c r="N657" s="40" t="str">
        <f t="shared" si="2"/>
        <v/>
      </c>
    </row>
    <row r="658" ht="30.0" hidden="1" customHeight="1">
      <c r="G658" s="3"/>
      <c r="H658" s="10"/>
      <c r="I658" s="10"/>
      <c r="J658" s="40" t="str">
        <f t="shared" si="1"/>
        <v/>
      </c>
      <c r="M658" s="10"/>
      <c r="N658" s="40" t="str">
        <f t="shared" si="2"/>
        <v/>
      </c>
    </row>
    <row r="659" ht="30.0" hidden="1" customHeight="1">
      <c r="G659" s="3"/>
      <c r="H659" s="10"/>
      <c r="I659" s="10"/>
      <c r="J659" s="40" t="str">
        <f t="shared" si="1"/>
        <v/>
      </c>
      <c r="M659" s="10"/>
      <c r="N659" s="40" t="str">
        <f t="shared" si="2"/>
        <v/>
      </c>
    </row>
    <row r="660" ht="30.0" hidden="1" customHeight="1">
      <c r="G660" s="3"/>
      <c r="H660" s="10"/>
      <c r="I660" s="10"/>
      <c r="J660" s="40" t="str">
        <f t="shared" si="1"/>
        <v/>
      </c>
      <c r="M660" s="10"/>
      <c r="N660" s="40" t="str">
        <f t="shared" si="2"/>
        <v/>
      </c>
    </row>
    <row r="661" ht="30.0" hidden="1" customHeight="1">
      <c r="G661" s="3"/>
      <c r="H661" s="10"/>
      <c r="I661" s="10"/>
      <c r="J661" s="40" t="str">
        <f t="shared" si="1"/>
        <v/>
      </c>
      <c r="M661" s="10"/>
      <c r="N661" s="40" t="str">
        <f t="shared" si="2"/>
        <v/>
      </c>
    </row>
    <row r="662" ht="30.0" hidden="1" customHeight="1">
      <c r="G662" s="3"/>
      <c r="H662" s="10"/>
      <c r="I662" s="10"/>
      <c r="J662" s="40" t="str">
        <f t="shared" si="1"/>
        <v/>
      </c>
      <c r="M662" s="10"/>
      <c r="N662" s="40" t="str">
        <f t="shared" si="2"/>
        <v/>
      </c>
    </row>
    <row r="663" ht="30.0" hidden="1" customHeight="1">
      <c r="G663" s="3"/>
      <c r="H663" s="10"/>
      <c r="I663" s="10"/>
      <c r="J663" s="40" t="str">
        <f t="shared" si="1"/>
        <v/>
      </c>
      <c r="M663" s="10"/>
      <c r="N663" s="40" t="str">
        <f t="shared" si="2"/>
        <v/>
      </c>
    </row>
    <row r="664" ht="30.0" hidden="1" customHeight="1">
      <c r="G664" s="3"/>
      <c r="H664" s="10"/>
      <c r="I664" s="10"/>
      <c r="J664" s="40" t="str">
        <f t="shared" si="1"/>
        <v/>
      </c>
      <c r="M664" s="10"/>
      <c r="N664" s="40" t="str">
        <f t="shared" si="2"/>
        <v/>
      </c>
    </row>
    <row r="665" ht="30.0" hidden="1" customHeight="1">
      <c r="G665" s="3"/>
      <c r="H665" s="10"/>
      <c r="I665" s="10"/>
      <c r="J665" s="40" t="str">
        <f t="shared" si="1"/>
        <v/>
      </c>
      <c r="M665" s="10"/>
      <c r="N665" s="40" t="str">
        <f t="shared" si="2"/>
        <v/>
      </c>
    </row>
    <row r="666" ht="30.0" hidden="1" customHeight="1">
      <c r="G666" s="3"/>
      <c r="H666" s="10"/>
      <c r="I666" s="10"/>
      <c r="J666" s="40" t="str">
        <f t="shared" si="1"/>
        <v/>
      </c>
      <c r="M666" s="10"/>
      <c r="N666" s="40" t="str">
        <f t="shared" si="2"/>
        <v/>
      </c>
    </row>
    <row r="667" ht="30.0" hidden="1" customHeight="1">
      <c r="G667" s="3"/>
      <c r="H667" s="10"/>
      <c r="I667" s="10"/>
      <c r="J667" s="40" t="str">
        <f t="shared" si="1"/>
        <v/>
      </c>
      <c r="M667" s="10"/>
      <c r="N667" s="40" t="str">
        <f t="shared" si="2"/>
        <v/>
      </c>
    </row>
    <row r="668" ht="30.0" hidden="1" customHeight="1">
      <c r="G668" s="3"/>
      <c r="H668" s="10"/>
      <c r="I668" s="10"/>
      <c r="J668" s="40" t="str">
        <f t="shared" si="1"/>
        <v/>
      </c>
      <c r="M668" s="10"/>
      <c r="N668" s="40" t="str">
        <f t="shared" si="2"/>
        <v/>
      </c>
    </row>
    <row r="669" ht="30.0" hidden="1" customHeight="1">
      <c r="G669" s="3"/>
      <c r="H669" s="10"/>
      <c r="I669" s="10"/>
      <c r="J669" s="40" t="str">
        <f t="shared" si="1"/>
        <v/>
      </c>
      <c r="M669" s="10"/>
      <c r="N669" s="40" t="str">
        <f t="shared" si="2"/>
        <v/>
      </c>
    </row>
    <row r="670" ht="30.0" hidden="1" customHeight="1">
      <c r="G670" s="3"/>
      <c r="H670" s="10"/>
      <c r="I670" s="10"/>
      <c r="J670" s="40" t="str">
        <f t="shared" si="1"/>
        <v/>
      </c>
      <c r="M670" s="10"/>
      <c r="N670" s="40" t="str">
        <f t="shared" si="2"/>
        <v/>
      </c>
    </row>
    <row r="671" ht="30.0" hidden="1" customHeight="1">
      <c r="G671" s="3"/>
      <c r="H671" s="10"/>
      <c r="I671" s="10"/>
      <c r="J671" s="40" t="str">
        <f t="shared" si="1"/>
        <v/>
      </c>
      <c r="M671" s="10"/>
      <c r="N671" s="40" t="str">
        <f t="shared" si="2"/>
        <v/>
      </c>
    </row>
    <row r="672" ht="30.0" hidden="1" customHeight="1">
      <c r="G672" s="3"/>
      <c r="H672" s="10"/>
      <c r="I672" s="10"/>
      <c r="J672" s="40" t="str">
        <f t="shared" si="1"/>
        <v/>
      </c>
      <c r="M672" s="10"/>
      <c r="N672" s="40" t="str">
        <f t="shared" si="2"/>
        <v/>
      </c>
    </row>
    <row r="673" ht="30.0" hidden="1" customHeight="1">
      <c r="G673" s="3"/>
      <c r="H673" s="10"/>
      <c r="I673" s="10"/>
      <c r="J673" s="40" t="str">
        <f t="shared" si="1"/>
        <v/>
      </c>
      <c r="M673" s="10"/>
      <c r="N673" s="40" t="str">
        <f t="shared" si="2"/>
        <v/>
      </c>
    </row>
    <row r="674" ht="30.0" hidden="1" customHeight="1">
      <c r="G674" s="3"/>
      <c r="H674" s="10"/>
      <c r="I674" s="10"/>
      <c r="J674" s="40" t="str">
        <f t="shared" si="1"/>
        <v/>
      </c>
      <c r="M674" s="10"/>
      <c r="N674" s="40" t="str">
        <f t="shared" si="2"/>
        <v/>
      </c>
    </row>
    <row r="675" ht="30.0" hidden="1" customHeight="1">
      <c r="G675" s="3"/>
      <c r="H675" s="10"/>
      <c r="I675" s="10"/>
      <c r="J675" s="40" t="str">
        <f t="shared" si="1"/>
        <v/>
      </c>
      <c r="M675" s="10"/>
      <c r="N675" s="40" t="str">
        <f t="shared" si="2"/>
        <v/>
      </c>
    </row>
    <row r="676" ht="30.0" hidden="1" customHeight="1">
      <c r="G676" s="3"/>
      <c r="H676" s="10"/>
      <c r="I676" s="10"/>
      <c r="J676" s="40" t="str">
        <f t="shared" si="1"/>
        <v/>
      </c>
      <c r="M676" s="10"/>
      <c r="N676" s="40" t="str">
        <f t="shared" si="2"/>
        <v/>
      </c>
    </row>
    <row r="677" ht="30.0" hidden="1" customHeight="1">
      <c r="G677" s="3"/>
      <c r="H677" s="10"/>
      <c r="I677" s="10"/>
      <c r="J677" s="40" t="str">
        <f t="shared" si="1"/>
        <v/>
      </c>
      <c r="M677" s="10"/>
      <c r="N677" s="40" t="str">
        <f t="shared" si="2"/>
        <v/>
      </c>
    </row>
    <row r="678" ht="30.0" hidden="1" customHeight="1">
      <c r="G678" s="3"/>
      <c r="H678" s="10"/>
      <c r="I678" s="10"/>
      <c r="J678" s="40" t="str">
        <f t="shared" si="1"/>
        <v/>
      </c>
      <c r="M678" s="10"/>
      <c r="N678" s="40" t="str">
        <f t="shared" si="2"/>
        <v/>
      </c>
    </row>
    <row r="679" ht="30.0" hidden="1" customHeight="1">
      <c r="G679" s="3"/>
      <c r="H679" s="10"/>
      <c r="I679" s="10"/>
      <c r="J679" s="40" t="str">
        <f t="shared" si="1"/>
        <v/>
      </c>
      <c r="M679" s="10"/>
      <c r="N679" s="40" t="str">
        <f t="shared" si="2"/>
        <v/>
      </c>
    </row>
    <row r="680" ht="30.0" hidden="1" customHeight="1">
      <c r="G680" s="3"/>
      <c r="H680" s="10"/>
      <c r="I680" s="10"/>
      <c r="J680" s="40" t="str">
        <f t="shared" si="1"/>
        <v/>
      </c>
      <c r="M680" s="10"/>
      <c r="N680" s="40" t="str">
        <f t="shared" si="2"/>
        <v/>
      </c>
    </row>
    <row r="681" ht="30.0" hidden="1" customHeight="1">
      <c r="G681" s="3"/>
      <c r="H681" s="10"/>
      <c r="I681" s="10"/>
      <c r="J681" s="40" t="str">
        <f t="shared" si="1"/>
        <v/>
      </c>
      <c r="M681" s="10"/>
      <c r="N681" s="40" t="str">
        <f t="shared" si="2"/>
        <v/>
      </c>
    </row>
    <row r="682" ht="30.0" hidden="1" customHeight="1">
      <c r="G682" s="3"/>
      <c r="H682" s="10"/>
      <c r="I682" s="10"/>
      <c r="J682" s="40" t="str">
        <f t="shared" si="1"/>
        <v/>
      </c>
      <c r="M682" s="10"/>
      <c r="N682" s="40" t="str">
        <f t="shared" si="2"/>
        <v/>
      </c>
    </row>
    <row r="683" ht="30.0" hidden="1" customHeight="1">
      <c r="G683" s="3"/>
      <c r="H683" s="10"/>
      <c r="I683" s="10"/>
      <c r="J683" s="40" t="str">
        <f t="shared" si="1"/>
        <v/>
      </c>
      <c r="M683" s="10"/>
      <c r="N683" s="40" t="str">
        <f t="shared" si="2"/>
        <v/>
      </c>
    </row>
    <row r="684" ht="30.0" hidden="1" customHeight="1">
      <c r="G684" s="3"/>
      <c r="H684" s="10"/>
      <c r="I684" s="10"/>
      <c r="J684" s="40" t="str">
        <f t="shared" si="1"/>
        <v/>
      </c>
      <c r="M684" s="10"/>
      <c r="N684" s="40" t="str">
        <f t="shared" si="2"/>
        <v/>
      </c>
    </row>
    <row r="685" ht="30.0" hidden="1" customHeight="1">
      <c r="G685" s="3"/>
      <c r="H685" s="10"/>
      <c r="I685" s="10"/>
      <c r="J685" s="40" t="str">
        <f t="shared" si="1"/>
        <v/>
      </c>
      <c r="M685" s="10"/>
      <c r="N685" s="40" t="str">
        <f t="shared" si="2"/>
        <v/>
      </c>
    </row>
    <row r="686" ht="30.0" hidden="1" customHeight="1">
      <c r="G686" s="3"/>
      <c r="H686" s="10"/>
      <c r="I686" s="10"/>
      <c r="J686" s="40" t="str">
        <f t="shared" si="1"/>
        <v/>
      </c>
      <c r="M686" s="10"/>
      <c r="N686" s="40" t="str">
        <f t="shared" si="2"/>
        <v/>
      </c>
    </row>
    <row r="687" ht="30.0" hidden="1" customHeight="1">
      <c r="G687" s="3"/>
      <c r="H687" s="10"/>
      <c r="I687" s="10"/>
      <c r="J687" s="40" t="str">
        <f t="shared" si="1"/>
        <v/>
      </c>
      <c r="M687" s="10"/>
      <c r="N687" s="40" t="str">
        <f t="shared" si="2"/>
        <v/>
      </c>
    </row>
    <row r="688" ht="30.0" hidden="1" customHeight="1">
      <c r="G688" s="3"/>
      <c r="H688" s="10"/>
      <c r="I688" s="10"/>
      <c r="J688" s="40" t="str">
        <f t="shared" si="1"/>
        <v/>
      </c>
      <c r="M688" s="10"/>
      <c r="N688" s="40" t="str">
        <f t="shared" si="2"/>
        <v/>
      </c>
    </row>
    <row r="689" ht="30.0" hidden="1" customHeight="1">
      <c r="G689" s="3"/>
      <c r="H689" s="10"/>
      <c r="I689" s="10"/>
      <c r="J689" s="40" t="str">
        <f t="shared" si="1"/>
        <v/>
      </c>
      <c r="M689" s="10"/>
      <c r="N689" s="40" t="str">
        <f t="shared" si="2"/>
        <v/>
      </c>
    </row>
    <row r="690" ht="30.0" hidden="1" customHeight="1">
      <c r="G690" s="3"/>
      <c r="H690" s="10"/>
      <c r="I690" s="10"/>
      <c r="J690" s="40" t="str">
        <f t="shared" si="1"/>
        <v/>
      </c>
      <c r="M690" s="10"/>
      <c r="N690" s="40" t="str">
        <f t="shared" si="2"/>
        <v/>
      </c>
    </row>
    <row r="691" ht="30.0" hidden="1" customHeight="1">
      <c r="G691" s="3"/>
      <c r="H691" s="10"/>
      <c r="I691" s="10"/>
      <c r="J691" s="40" t="str">
        <f t="shared" si="1"/>
        <v/>
      </c>
      <c r="M691" s="10"/>
      <c r="N691" s="40" t="str">
        <f t="shared" si="2"/>
        <v/>
      </c>
    </row>
    <row r="692" ht="30.0" hidden="1" customHeight="1">
      <c r="G692" s="3"/>
      <c r="H692" s="10"/>
      <c r="I692" s="10"/>
      <c r="J692" s="40" t="str">
        <f t="shared" si="1"/>
        <v/>
      </c>
      <c r="M692" s="10"/>
      <c r="N692" s="40" t="str">
        <f t="shared" si="2"/>
        <v/>
      </c>
    </row>
    <row r="693" ht="30.0" hidden="1" customHeight="1">
      <c r="G693" s="3"/>
      <c r="H693" s="10"/>
      <c r="I693" s="10"/>
      <c r="J693" s="40" t="str">
        <f t="shared" si="1"/>
        <v/>
      </c>
      <c r="M693" s="10"/>
      <c r="N693" s="40" t="str">
        <f t="shared" si="2"/>
        <v/>
      </c>
    </row>
    <row r="694" ht="30.0" hidden="1" customHeight="1">
      <c r="G694" s="3"/>
      <c r="H694" s="10"/>
      <c r="I694" s="10"/>
      <c r="J694" s="40" t="str">
        <f t="shared" si="1"/>
        <v/>
      </c>
      <c r="M694" s="10"/>
      <c r="N694" s="40" t="str">
        <f t="shared" si="2"/>
        <v/>
      </c>
    </row>
    <row r="695" ht="30.0" hidden="1" customHeight="1">
      <c r="G695" s="3"/>
      <c r="H695" s="10"/>
      <c r="I695" s="10"/>
      <c r="J695" s="40" t="str">
        <f t="shared" si="1"/>
        <v/>
      </c>
      <c r="M695" s="10"/>
      <c r="N695" s="40" t="str">
        <f t="shared" si="2"/>
        <v/>
      </c>
    </row>
    <row r="696" ht="30.0" hidden="1" customHeight="1">
      <c r="G696" s="3"/>
      <c r="H696" s="10"/>
      <c r="I696" s="10"/>
      <c r="J696" s="40" t="str">
        <f t="shared" si="1"/>
        <v/>
      </c>
      <c r="M696" s="10"/>
      <c r="N696" s="40" t="str">
        <f t="shared" si="2"/>
        <v/>
      </c>
    </row>
    <row r="697" ht="30.0" hidden="1" customHeight="1">
      <c r="G697" s="3"/>
      <c r="H697" s="10"/>
      <c r="I697" s="10"/>
      <c r="J697" s="40" t="str">
        <f t="shared" si="1"/>
        <v/>
      </c>
      <c r="M697" s="10"/>
      <c r="N697" s="40" t="str">
        <f t="shared" si="2"/>
        <v/>
      </c>
    </row>
    <row r="698" ht="30.0" hidden="1" customHeight="1">
      <c r="G698" s="3"/>
      <c r="H698" s="10"/>
      <c r="I698" s="10"/>
      <c r="J698" s="40" t="str">
        <f t="shared" si="1"/>
        <v/>
      </c>
      <c r="M698" s="10"/>
      <c r="N698" s="40" t="str">
        <f t="shared" si="2"/>
        <v/>
      </c>
    </row>
    <row r="699" ht="30.0" hidden="1" customHeight="1">
      <c r="G699" s="3"/>
      <c r="H699" s="10"/>
      <c r="I699" s="10"/>
      <c r="J699" s="40" t="str">
        <f t="shared" si="1"/>
        <v/>
      </c>
      <c r="M699" s="10"/>
      <c r="N699" s="40" t="str">
        <f t="shared" si="2"/>
        <v/>
      </c>
    </row>
    <row r="700" ht="30.0" hidden="1" customHeight="1">
      <c r="G700" s="3"/>
      <c r="H700" s="10"/>
      <c r="I700" s="10"/>
      <c r="J700" s="40" t="str">
        <f t="shared" si="1"/>
        <v/>
      </c>
      <c r="M700" s="10"/>
      <c r="N700" s="40" t="str">
        <f t="shared" si="2"/>
        <v/>
      </c>
    </row>
    <row r="701" ht="30.0" hidden="1" customHeight="1">
      <c r="G701" s="3"/>
      <c r="H701" s="10"/>
      <c r="I701" s="10"/>
      <c r="J701" s="40" t="str">
        <f t="shared" si="1"/>
        <v/>
      </c>
      <c r="M701" s="10"/>
      <c r="N701" s="40" t="str">
        <f t="shared" si="2"/>
        <v/>
      </c>
    </row>
    <row r="702" ht="30.0" hidden="1" customHeight="1">
      <c r="G702" s="3"/>
      <c r="H702" s="10"/>
      <c r="I702" s="10"/>
      <c r="J702" s="40" t="str">
        <f t="shared" si="1"/>
        <v/>
      </c>
      <c r="M702" s="10"/>
      <c r="N702" s="40" t="str">
        <f t="shared" si="2"/>
        <v/>
      </c>
    </row>
    <row r="703" ht="30.0" hidden="1" customHeight="1">
      <c r="G703" s="3"/>
      <c r="H703" s="10"/>
      <c r="I703" s="10"/>
      <c r="J703" s="40" t="str">
        <f t="shared" si="1"/>
        <v/>
      </c>
      <c r="M703" s="10"/>
      <c r="N703" s="40" t="str">
        <f t="shared" si="2"/>
        <v/>
      </c>
    </row>
    <row r="704" ht="30.0" hidden="1" customHeight="1">
      <c r="G704" s="3"/>
      <c r="H704" s="10"/>
      <c r="I704" s="10"/>
      <c r="J704" s="40" t="str">
        <f t="shared" si="1"/>
        <v/>
      </c>
      <c r="M704" s="10"/>
      <c r="N704" s="40" t="str">
        <f t="shared" si="2"/>
        <v/>
      </c>
    </row>
    <row r="705" ht="30.0" hidden="1" customHeight="1">
      <c r="G705" s="3"/>
      <c r="H705" s="10"/>
      <c r="I705" s="10"/>
      <c r="J705" s="40" t="str">
        <f t="shared" si="1"/>
        <v/>
      </c>
      <c r="M705" s="10"/>
      <c r="N705" s="40" t="str">
        <f t="shared" si="2"/>
        <v/>
      </c>
    </row>
    <row r="706" ht="30.0" hidden="1" customHeight="1">
      <c r="G706" s="3"/>
      <c r="H706" s="10"/>
      <c r="I706" s="10"/>
      <c r="J706" s="40" t="str">
        <f t="shared" si="1"/>
        <v/>
      </c>
      <c r="M706" s="10"/>
      <c r="N706" s="40" t="str">
        <f t="shared" si="2"/>
        <v/>
      </c>
    </row>
    <row r="707" ht="30.0" hidden="1" customHeight="1">
      <c r="G707" s="3"/>
      <c r="H707" s="10"/>
      <c r="I707" s="10"/>
      <c r="J707" s="40" t="str">
        <f t="shared" si="1"/>
        <v/>
      </c>
      <c r="M707" s="10"/>
      <c r="N707" s="40" t="str">
        <f t="shared" si="2"/>
        <v/>
      </c>
    </row>
    <row r="708" ht="30.0" hidden="1" customHeight="1">
      <c r="G708" s="3"/>
      <c r="H708" s="10"/>
      <c r="I708" s="10"/>
      <c r="J708" s="40" t="str">
        <f t="shared" si="1"/>
        <v/>
      </c>
      <c r="M708" s="10"/>
      <c r="N708" s="40" t="str">
        <f t="shared" si="2"/>
        <v/>
      </c>
    </row>
    <row r="709" ht="30.0" hidden="1" customHeight="1">
      <c r="G709" s="3"/>
      <c r="H709" s="10"/>
      <c r="I709" s="10"/>
      <c r="J709" s="40" t="str">
        <f t="shared" si="1"/>
        <v/>
      </c>
      <c r="M709" s="10"/>
      <c r="N709" s="40" t="str">
        <f t="shared" si="2"/>
        <v/>
      </c>
    </row>
    <row r="710" ht="30.0" hidden="1" customHeight="1">
      <c r="G710" s="3"/>
      <c r="H710" s="10"/>
      <c r="I710" s="10"/>
      <c r="J710" s="40" t="str">
        <f t="shared" si="1"/>
        <v/>
      </c>
      <c r="M710" s="10"/>
      <c r="N710" s="40" t="str">
        <f t="shared" si="2"/>
        <v/>
      </c>
    </row>
    <row r="711" ht="30.0" hidden="1" customHeight="1">
      <c r="G711" s="3"/>
      <c r="H711" s="10"/>
      <c r="I711" s="10"/>
      <c r="J711" s="40" t="str">
        <f t="shared" si="1"/>
        <v/>
      </c>
      <c r="M711" s="10"/>
      <c r="N711" s="40" t="str">
        <f t="shared" si="2"/>
        <v/>
      </c>
    </row>
    <row r="712" ht="30.0" hidden="1" customHeight="1">
      <c r="G712" s="3"/>
      <c r="H712" s="10"/>
      <c r="I712" s="10"/>
      <c r="J712" s="40" t="str">
        <f t="shared" si="1"/>
        <v/>
      </c>
      <c r="M712" s="10"/>
      <c r="N712" s="40" t="str">
        <f t="shared" si="2"/>
        <v/>
      </c>
    </row>
    <row r="713" ht="30.0" hidden="1" customHeight="1">
      <c r="G713" s="3"/>
      <c r="H713" s="10"/>
      <c r="I713" s="10"/>
      <c r="J713" s="40" t="str">
        <f t="shared" si="1"/>
        <v/>
      </c>
      <c r="M713" s="10"/>
      <c r="N713" s="40" t="str">
        <f t="shared" si="2"/>
        <v/>
      </c>
    </row>
    <row r="714" ht="30.0" hidden="1" customHeight="1">
      <c r="G714" s="3"/>
      <c r="H714" s="10"/>
      <c r="I714" s="10"/>
      <c r="J714" s="40" t="str">
        <f t="shared" si="1"/>
        <v/>
      </c>
      <c r="M714" s="10"/>
      <c r="N714" s="40" t="str">
        <f t="shared" si="2"/>
        <v/>
      </c>
    </row>
    <row r="715" ht="30.0" hidden="1" customHeight="1">
      <c r="G715" s="3"/>
      <c r="H715" s="10"/>
      <c r="I715" s="10"/>
      <c r="J715" s="40" t="str">
        <f t="shared" si="1"/>
        <v/>
      </c>
      <c r="M715" s="10"/>
      <c r="N715" s="40" t="str">
        <f t="shared" si="2"/>
        <v/>
      </c>
    </row>
    <row r="716" ht="30.0" hidden="1" customHeight="1">
      <c r="G716" s="3"/>
      <c r="H716" s="10"/>
      <c r="I716" s="10"/>
      <c r="J716" s="40" t="str">
        <f t="shared" si="1"/>
        <v/>
      </c>
      <c r="M716" s="10"/>
      <c r="N716" s="40" t="str">
        <f t="shared" si="2"/>
        <v/>
      </c>
    </row>
    <row r="717" ht="30.0" hidden="1" customHeight="1">
      <c r="G717" s="3"/>
      <c r="H717" s="10"/>
      <c r="I717" s="10"/>
      <c r="J717" s="40" t="str">
        <f t="shared" si="1"/>
        <v/>
      </c>
      <c r="M717" s="10"/>
      <c r="N717" s="40" t="str">
        <f t="shared" si="2"/>
        <v/>
      </c>
    </row>
    <row r="718" ht="30.0" hidden="1" customHeight="1">
      <c r="G718" s="3"/>
      <c r="H718" s="10"/>
      <c r="I718" s="10"/>
      <c r="J718" s="40" t="str">
        <f t="shared" si="1"/>
        <v/>
      </c>
      <c r="M718" s="10"/>
      <c r="N718" s="40" t="str">
        <f t="shared" si="2"/>
        <v/>
      </c>
    </row>
    <row r="719" ht="30.0" hidden="1" customHeight="1">
      <c r="G719" s="3"/>
      <c r="H719" s="10"/>
      <c r="I719" s="10"/>
      <c r="J719" s="40" t="str">
        <f t="shared" si="1"/>
        <v/>
      </c>
      <c r="M719" s="10"/>
      <c r="N719" s="40" t="str">
        <f t="shared" si="2"/>
        <v/>
      </c>
    </row>
    <row r="720" ht="30.0" hidden="1" customHeight="1">
      <c r="G720" s="3"/>
      <c r="H720" s="10"/>
      <c r="I720" s="10"/>
      <c r="J720" s="40" t="str">
        <f t="shared" si="1"/>
        <v/>
      </c>
      <c r="M720" s="10"/>
      <c r="N720" s="40" t="str">
        <f t="shared" si="2"/>
        <v/>
      </c>
    </row>
    <row r="721" ht="30.0" hidden="1" customHeight="1">
      <c r="G721" s="3"/>
      <c r="H721" s="10"/>
      <c r="I721" s="10"/>
      <c r="J721" s="40" t="str">
        <f t="shared" si="1"/>
        <v/>
      </c>
      <c r="M721" s="10"/>
      <c r="N721" s="40" t="str">
        <f t="shared" si="2"/>
        <v/>
      </c>
    </row>
    <row r="722" ht="30.0" hidden="1" customHeight="1">
      <c r="G722" s="3"/>
      <c r="H722" s="10"/>
      <c r="I722" s="10"/>
      <c r="J722" s="40" t="str">
        <f t="shared" si="1"/>
        <v/>
      </c>
      <c r="M722" s="10"/>
      <c r="N722" s="40" t="str">
        <f t="shared" si="2"/>
        <v/>
      </c>
    </row>
    <row r="723" ht="30.0" hidden="1" customHeight="1">
      <c r="G723" s="3"/>
      <c r="H723" s="10"/>
      <c r="I723" s="10"/>
      <c r="J723" s="40" t="str">
        <f t="shared" si="1"/>
        <v/>
      </c>
      <c r="M723" s="10"/>
      <c r="N723" s="40" t="str">
        <f t="shared" si="2"/>
        <v/>
      </c>
    </row>
    <row r="724" ht="30.0" hidden="1" customHeight="1">
      <c r="G724" s="3"/>
      <c r="H724" s="10"/>
      <c r="I724" s="10"/>
      <c r="J724" s="40" t="str">
        <f t="shared" si="1"/>
        <v/>
      </c>
      <c r="M724" s="10"/>
      <c r="N724" s="40" t="str">
        <f t="shared" si="2"/>
        <v/>
      </c>
    </row>
    <row r="725" ht="30.0" hidden="1" customHeight="1">
      <c r="G725" s="3"/>
      <c r="H725" s="10"/>
      <c r="I725" s="10"/>
      <c r="J725" s="40" t="str">
        <f t="shared" si="1"/>
        <v/>
      </c>
      <c r="M725" s="10"/>
      <c r="N725" s="40" t="str">
        <f t="shared" si="2"/>
        <v/>
      </c>
    </row>
    <row r="726" ht="30.0" hidden="1" customHeight="1">
      <c r="G726" s="3"/>
      <c r="H726" s="10"/>
      <c r="I726" s="10"/>
      <c r="J726" s="40" t="str">
        <f t="shared" si="1"/>
        <v/>
      </c>
      <c r="M726" s="10"/>
      <c r="N726" s="40" t="str">
        <f t="shared" si="2"/>
        <v/>
      </c>
    </row>
    <row r="727" ht="30.0" hidden="1" customHeight="1">
      <c r="G727" s="3"/>
      <c r="H727" s="10"/>
      <c r="I727" s="10"/>
      <c r="J727" s="40" t="str">
        <f t="shared" si="1"/>
        <v/>
      </c>
      <c r="M727" s="10"/>
      <c r="N727" s="40" t="str">
        <f t="shared" si="2"/>
        <v/>
      </c>
    </row>
    <row r="728" ht="30.0" hidden="1" customHeight="1">
      <c r="G728" s="3"/>
      <c r="H728" s="10"/>
      <c r="I728" s="10"/>
      <c r="J728" s="40" t="str">
        <f t="shared" si="1"/>
        <v/>
      </c>
      <c r="M728" s="10"/>
      <c r="N728" s="40" t="str">
        <f t="shared" si="2"/>
        <v/>
      </c>
    </row>
    <row r="729" ht="30.0" hidden="1" customHeight="1">
      <c r="G729" s="3"/>
      <c r="H729" s="10"/>
      <c r="I729" s="10"/>
      <c r="J729" s="40" t="str">
        <f t="shared" si="1"/>
        <v/>
      </c>
      <c r="M729" s="10"/>
      <c r="N729" s="40" t="str">
        <f t="shared" si="2"/>
        <v/>
      </c>
    </row>
    <row r="730" ht="30.0" hidden="1" customHeight="1">
      <c r="G730" s="3"/>
      <c r="H730" s="10"/>
      <c r="I730" s="10"/>
      <c r="J730" s="40" t="str">
        <f t="shared" si="1"/>
        <v/>
      </c>
      <c r="M730" s="10"/>
      <c r="N730" s="40" t="str">
        <f t="shared" si="2"/>
        <v/>
      </c>
    </row>
    <row r="731" ht="30.0" hidden="1" customHeight="1">
      <c r="G731" s="3"/>
      <c r="H731" s="10"/>
      <c r="I731" s="10"/>
      <c r="J731" s="40" t="str">
        <f t="shared" si="1"/>
        <v/>
      </c>
      <c r="M731" s="10"/>
      <c r="N731" s="40" t="str">
        <f t="shared" si="2"/>
        <v/>
      </c>
    </row>
    <row r="732" ht="30.0" hidden="1" customHeight="1">
      <c r="G732" s="3"/>
      <c r="H732" s="10"/>
      <c r="I732" s="10"/>
      <c r="J732" s="40" t="str">
        <f t="shared" si="1"/>
        <v/>
      </c>
      <c r="M732" s="10"/>
      <c r="N732" s="40" t="str">
        <f t="shared" si="2"/>
        <v/>
      </c>
    </row>
    <row r="733" ht="30.0" hidden="1" customHeight="1">
      <c r="G733" s="3"/>
      <c r="H733" s="10"/>
      <c r="I733" s="10"/>
      <c r="J733" s="40" t="str">
        <f t="shared" si="1"/>
        <v/>
      </c>
      <c r="M733" s="10"/>
      <c r="N733" s="40" t="str">
        <f t="shared" si="2"/>
        <v/>
      </c>
    </row>
    <row r="734" ht="30.0" hidden="1" customHeight="1">
      <c r="G734" s="3"/>
      <c r="H734" s="10"/>
      <c r="I734" s="10"/>
      <c r="J734" s="40" t="str">
        <f t="shared" si="1"/>
        <v/>
      </c>
      <c r="M734" s="10"/>
      <c r="N734" s="40" t="str">
        <f t="shared" si="2"/>
        <v/>
      </c>
    </row>
    <row r="735" ht="30.0" hidden="1" customHeight="1">
      <c r="G735" s="3"/>
      <c r="H735" s="10"/>
      <c r="I735" s="10"/>
      <c r="J735" s="40" t="str">
        <f t="shared" si="1"/>
        <v/>
      </c>
      <c r="M735" s="10"/>
      <c r="N735" s="40" t="str">
        <f t="shared" si="2"/>
        <v/>
      </c>
    </row>
    <row r="736" ht="30.0" hidden="1" customHeight="1">
      <c r="G736" s="3"/>
      <c r="H736" s="10"/>
      <c r="I736" s="10"/>
      <c r="J736" s="40" t="str">
        <f t="shared" si="1"/>
        <v/>
      </c>
      <c r="M736" s="10"/>
      <c r="N736" s="40" t="str">
        <f t="shared" si="2"/>
        <v/>
      </c>
    </row>
    <row r="737" ht="30.0" hidden="1" customHeight="1">
      <c r="G737" s="3"/>
      <c r="H737" s="10"/>
      <c r="I737" s="10"/>
      <c r="J737" s="40" t="str">
        <f t="shared" si="1"/>
        <v/>
      </c>
      <c r="M737" s="10"/>
      <c r="N737" s="40" t="str">
        <f t="shared" si="2"/>
        <v/>
      </c>
    </row>
    <row r="738" ht="30.0" hidden="1" customHeight="1">
      <c r="G738" s="3"/>
      <c r="H738" s="10"/>
      <c r="I738" s="10"/>
      <c r="J738" s="40" t="str">
        <f t="shared" si="1"/>
        <v/>
      </c>
      <c r="M738" s="10"/>
      <c r="N738" s="40" t="str">
        <f t="shared" si="2"/>
        <v/>
      </c>
    </row>
    <row r="739" ht="30.0" hidden="1" customHeight="1">
      <c r="G739" s="3"/>
      <c r="H739" s="10"/>
      <c r="I739" s="10"/>
      <c r="J739" s="40" t="str">
        <f t="shared" si="1"/>
        <v/>
      </c>
      <c r="M739" s="10"/>
      <c r="N739" s="40" t="str">
        <f t="shared" si="2"/>
        <v/>
      </c>
    </row>
    <row r="740" ht="30.0" hidden="1" customHeight="1">
      <c r="G740" s="3"/>
      <c r="H740" s="10"/>
      <c r="I740" s="10"/>
      <c r="J740" s="40" t="str">
        <f t="shared" si="1"/>
        <v/>
      </c>
      <c r="M740" s="10"/>
      <c r="N740" s="40" t="str">
        <f t="shared" si="2"/>
        <v/>
      </c>
    </row>
    <row r="741" ht="30.0" hidden="1" customHeight="1">
      <c r="G741" s="3"/>
      <c r="H741" s="10"/>
      <c r="I741" s="10"/>
      <c r="J741" s="40" t="str">
        <f t="shared" si="1"/>
        <v/>
      </c>
      <c r="M741" s="10"/>
      <c r="N741" s="40" t="str">
        <f t="shared" si="2"/>
        <v/>
      </c>
    </row>
    <row r="742" ht="30.0" hidden="1" customHeight="1">
      <c r="G742" s="3"/>
      <c r="H742" s="10"/>
      <c r="I742" s="10"/>
      <c r="J742" s="40" t="str">
        <f t="shared" si="1"/>
        <v/>
      </c>
      <c r="M742" s="10"/>
      <c r="N742" s="40" t="str">
        <f t="shared" si="2"/>
        <v/>
      </c>
    </row>
    <row r="743" ht="30.0" hidden="1" customHeight="1">
      <c r="G743" s="3"/>
      <c r="H743" s="10"/>
      <c r="I743" s="10"/>
      <c r="J743" s="40" t="str">
        <f t="shared" si="1"/>
        <v/>
      </c>
      <c r="M743" s="10"/>
      <c r="N743" s="40" t="str">
        <f t="shared" si="2"/>
        <v/>
      </c>
    </row>
    <row r="744" ht="30.0" hidden="1" customHeight="1">
      <c r="G744" s="3"/>
      <c r="H744" s="10"/>
      <c r="I744" s="10"/>
      <c r="J744" s="40" t="str">
        <f t="shared" si="1"/>
        <v/>
      </c>
      <c r="M744" s="10"/>
      <c r="N744" s="40" t="str">
        <f t="shared" si="2"/>
        <v/>
      </c>
    </row>
    <row r="745" ht="30.0" hidden="1" customHeight="1">
      <c r="G745" s="3"/>
      <c r="H745" s="10"/>
      <c r="I745" s="10"/>
      <c r="J745" s="40" t="str">
        <f t="shared" si="1"/>
        <v/>
      </c>
      <c r="M745" s="10"/>
      <c r="N745" s="40" t="str">
        <f t="shared" si="2"/>
        <v/>
      </c>
    </row>
    <row r="746" ht="30.0" hidden="1" customHeight="1">
      <c r="G746" s="3"/>
      <c r="H746" s="10"/>
      <c r="I746" s="10"/>
      <c r="J746" s="40" t="str">
        <f t="shared" si="1"/>
        <v/>
      </c>
      <c r="M746" s="10"/>
      <c r="N746" s="40" t="str">
        <f t="shared" si="2"/>
        <v/>
      </c>
    </row>
    <row r="747" ht="30.0" hidden="1" customHeight="1">
      <c r="G747" s="3"/>
      <c r="H747" s="10"/>
      <c r="I747" s="10"/>
      <c r="J747" s="40" t="str">
        <f t="shared" si="1"/>
        <v/>
      </c>
      <c r="M747" s="10"/>
      <c r="N747" s="40" t="str">
        <f t="shared" si="2"/>
        <v/>
      </c>
    </row>
    <row r="748" ht="30.0" hidden="1" customHeight="1">
      <c r="G748" s="3"/>
      <c r="H748" s="10"/>
      <c r="I748" s="10"/>
      <c r="J748" s="40" t="str">
        <f t="shared" si="1"/>
        <v/>
      </c>
      <c r="M748" s="10"/>
      <c r="N748" s="40" t="str">
        <f t="shared" si="2"/>
        <v/>
      </c>
    </row>
    <row r="749" ht="30.0" hidden="1" customHeight="1">
      <c r="G749" s="3"/>
      <c r="H749" s="10"/>
      <c r="I749" s="10"/>
      <c r="J749" s="40" t="str">
        <f t="shared" si="1"/>
        <v/>
      </c>
      <c r="M749" s="10"/>
      <c r="N749" s="40" t="str">
        <f t="shared" si="2"/>
        <v/>
      </c>
    </row>
    <row r="750" ht="30.0" hidden="1" customHeight="1">
      <c r="G750" s="3"/>
      <c r="H750" s="10"/>
      <c r="I750" s="10"/>
      <c r="J750" s="40" t="str">
        <f t="shared" si="1"/>
        <v/>
      </c>
      <c r="M750" s="10"/>
      <c r="N750" s="40" t="str">
        <f t="shared" si="2"/>
        <v/>
      </c>
    </row>
    <row r="751" ht="30.0" hidden="1" customHeight="1">
      <c r="G751" s="3"/>
      <c r="H751" s="10"/>
      <c r="I751" s="10"/>
      <c r="J751" s="40" t="str">
        <f t="shared" si="1"/>
        <v/>
      </c>
      <c r="M751" s="10"/>
      <c r="N751" s="40" t="str">
        <f t="shared" si="2"/>
        <v/>
      </c>
    </row>
    <row r="752" ht="30.0" hidden="1" customHeight="1">
      <c r="G752" s="3"/>
      <c r="H752" s="10"/>
      <c r="I752" s="10"/>
      <c r="J752" s="40" t="str">
        <f t="shared" si="1"/>
        <v/>
      </c>
      <c r="M752" s="10"/>
      <c r="N752" s="40" t="str">
        <f t="shared" si="2"/>
        <v/>
      </c>
    </row>
    <row r="753" ht="30.0" hidden="1" customHeight="1">
      <c r="G753" s="3"/>
      <c r="H753" s="10"/>
      <c r="I753" s="10"/>
      <c r="J753" s="40" t="str">
        <f t="shared" si="1"/>
        <v/>
      </c>
      <c r="M753" s="10"/>
      <c r="N753" s="40" t="str">
        <f t="shared" si="2"/>
        <v/>
      </c>
    </row>
    <row r="754" ht="30.0" hidden="1" customHeight="1">
      <c r="G754" s="3"/>
      <c r="H754" s="10"/>
      <c r="I754" s="10"/>
      <c r="J754" s="40" t="str">
        <f t="shared" si="1"/>
        <v/>
      </c>
      <c r="M754" s="10"/>
      <c r="N754" s="40" t="str">
        <f t="shared" si="2"/>
        <v/>
      </c>
    </row>
    <row r="755" ht="30.0" hidden="1" customHeight="1">
      <c r="G755" s="3"/>
      <c r="H755" s="10"/>
      <c r="I755" s="10"/>
      <c r="J755" s="40" t="str">
        <f t="shared" si="1"/>
        <v/>
      </c>
      <c r="M755" s="10"/>
      <c r="N755" s="40" t="str">
        <f t="shared" si="2"/>
        <v/>
      </c>
    </row>
    <row r="756" ht="30.0" hidden="1" customHeight="1">
      <c r="G756" s="3"/>
      <c r="H756" s="10"/>
      <c r="I756" s="10"/>
      <c r="J756" s="40" t="str">
        <f t="shared" si="1"/>
        <v/>
      </c>
      <c r="M756" s="10"/>
      <c r="N756" s="40" t="str">
        <f t="shared" si="2"/>
        <v/>
      </c>
    </row>
    <row r="757" ht="30.0" hidden="1" customHeight="1">
      <c r="G757" s="3"/>
      <c r="H757" s="10"/>
      <c r="I757" s="10"/>
      <c r="J757" s="40" t="str">
        <f t="shared" si="1"/>
        <v/>
      </c>
      <c r="M757" s="10"/>
      <c r="N757" s="40" t="str">
        <f t="shared" si="2"/>
        <v/>
      </c>
    </row>
    <row r="758" ht="30.0" hidden="1" customHeight="1">
      <c r="G758" s="3"/>
      <c r="H758" s="10"/>
      <c r="I758" s="10"/>
      <c r="J758" s="40" t="str">
        <f t="shared" si="1"/>
        <v/>
      </c>
      <c r="M758" s="10"/>
      <c r="N758" s="40" t="str">
        <f t="shared" si="2"/>
        <v/>
      </c>
    </row>
    <row r="759" ht="30.0" hidden="1" customHeight="1">
      <c r="G759" s="3"/>
      <c r="H759" s="10"/>
      <c r="I759" s="10"/>
      <c r="J759" s="40" t="str">
        <f t="shared" si="1"/>
        <v/>
      </c>
      <c r="M759" s="10"/>
      <c r="N759" s="40" t="str">
        <f t="shared" si="2"/>
        <v/>
      </c>
    </row>
    <row r="760" ht="30.0" hidden="1" customHeight="1">
      <c r="G760" s="3"/>
      <c r="H760" s="10"/>
      <c r="I760" s="10"/>
      <c r="J760" s="40" t="str">
        <f t="shared" si="1"/>
        <v/>
      </c>
      <c r="M760" s="10"/>
      <c r="N760" s="40" t="str">
        <f t="shared" si="2"/>
        <v/>
      </c>
    </row>
    <row r="761" ht="30.0" hidden="1" customHeight="1">
      <c r="G761" s="3"/>
      <c r="H761" s="10"/>
      <c r="I761" s="10"/>
      <c r="J761" s="40" t="str">
        <f t="shared" si="1"/>
        <v/>
      </c>
      <c r="M761" s="10"/>
      <c r="N761" s="40" t="str">
        <f t="shared" si="2"/>
        <v/>
      </c>
    </row>
    <row r="762" ht="30.0" hidden="1" customHeight="1">
      <c r="G762" s="3"/>
      <c r="H762" s="10"/>
      <c r="I762" s="10"/>
      <c r="J762" s="40" t="str">
        <f t="shared" si="1"/>
        <v/>
      </c>
      <c r="M762" s="10"/>
      <c r="N762" s="40" t="str">
        <f t="shared" si="2"/>
        <v/>
      </c>
    </row>
    <row r="763" ht="30.0" hidden="1" customHeight="1">
      <c r="G763" s="3"/>
      <c r="H763" s="10"/>
      <c r="I763" s="10"/>
      <c r="J763" s="40" t="str">
        <f t="shared" si="1"/>
        <v/>
      </c>
      <c r="M763" s="10"/>
      <c r="N763" s="40" t="str">
        <f t="shared" si="2"/>
        <v/>
      </c>
    </row>
    <row r="764" ht="30.0" hidden="1" customHeight="1">
      <c r="G764" s="3"/>
      <c r="H764" s="10"/>
      <c r="I764" s="10"/>
      <c r="J764" s="40" t="str">
        <f t="shared" si="1"/>
        <v/>
      </c>
      <c r="M764" s="10"/>
      <c r="N764" s="40" t="str">
        <f t="shared" si="2"/>
        <v/>
      </c>
    </row>
    <row r="765" ht="30.0" hidden="1" customHeight="1">
      <c r="G765" s="3"/>
      <c r="H765" s="10"/>
      <c r="I765" s="10"/>
      <c r="J765" s="40" t="str">
        <f t="shared" si="1"/>
        <v/>
      </c>
      <c r="M765" s="10"/>
      <c r="N765" s="40" t="str">
        <f t="shared" si="2"/>
        <v/>
      </c>
    </row>
    <row r="766" ht="30.0" hidden="1" customHeight="1">
      <c r="G766" s="3"/>
      <c r="H766" s="10"/>
      <c r="I766" s="10"/>
      <c r="J766" s="40" t="str">
        <f t="shared" si="1"/>
        <v/>
      </c>
      <c r="M766" s="10"/>
      <c r="N766" s="40" t="str">
        <f t="shared" si="2"/>
        <v/>
      </c>
    </row>
    <row r="767" ht="30.0" hidden="1" customHeight="1">
      <c r="G767" s="3"/>
      <c r="H767" s="10"/>
      <c r="I767" s="10"/>
      <c r="J767" s="40" t="str">
        <f t="shared" si="1"/>
        <v/>
      </c>
      <c r="M767" s="10"/>
      <c r="N767" s="40" t="str">
        <f t="shared" si="2"/>
        <v/>
      </c>
    </row>
    <row r="768" ht="30.0" hidden="1" customHeight="1">
      <c r="G768" s="3"/>
      <c r="H768" s="10"/>
      <c r="I768" s="10"/>
      <c r="J768" s="40" t="str">
        <f t="shared" si="1"/>
        <v/>
      </c>
      <c r="M768" s="10"/>
      <c r="N768" s="40" t="str">
        <f t="shared" si="2"/>
        <v/>
      </c>
    </row>
    <row r="769" ht="30.0" hidden="1" customHeight="1">
      <c r="G769" s="3"/>
      <c r="H769" s="10"/>
      <c r="I769" s="10"/>
      <c r="J769" s="40" t="str">
        <f t="shared" si="1"/>
        <v/>
      </c>
      <c r="M769" s="10"/>
      <c r="N769" s="40" t="str">
        <f t="shared" si="2"/>
        <v/>
      </c>
    </row>
    <row r="770" ht="30.0" hidden="1" customHeight="1">
      <c r="G770" s="3"/>
      <c r="H770" s="10"/>
      <c r="I770" s="10"/>
      <c r="J770" s="40" t="str">
        <f t="shared" si="1"/>
        <v/>
      </c>
      <c r="M770" s="10"/>
      <c r="N770" s="40" t="str">
        <f t="shared" si="2"/>
        <v/>
      </c>
    </row>
    <row r="771" ht="30.0" hidden="1" customHeight="1">
      <c r="G771" s="3"/>
      <c r="H771" s="10"/>
      <c r="I771" s="10"/>
      <c r="J771" s="40" t="str">
        <f t="shared" si="1"/>
        <v/>
      </c>
      <c r="M771" s="10"/>
      <c r="N771" s="40" t="str">
        <f t="shared" si="2"/>
        <v/>
      </c>
    </row>
    <row r="772" ht="30.0" hidden="1" customHeight="1">
      <c r="G772" s="3"/>
      <c r="H772" s="10"/>
      <c r="I772" s="10"/>
      <c r="J772" s="40" t="str">
        <f t="shared" si="1"/>
        <v/>
      </c>
      <c r="M772" s="10"/>
      <c r="N772" s="40" t="str">
        <f t="shared" si="2"/>
        <v/>
      </c>
    </row>
    <row r="773" ht="30.0" hidden="1" customHeight="1">
      <c r="G773" s="3"/>
      <c r="H773" s="10"/>
      <c r="I773" s="10"/>
      <c r="J773" s="40" t="str">
        <f t="shared" si="1"/>
        <v/>
      </c>
      <c r="M773" s="10"/>
      <c r="N773" s="40" t="str">
        <f t="shared" si="2"/>
        <v/>
      </c>
    </row>
    <row r="774" ht="30.0" hidden="1" customHeight="1">
      <c r="G774" s="3"/>
      <c r="H774" s="10"/>
      <c r="I774" s="10"/>
      <c r="J774" s="40" t="str">
        <f t="shared" si="1"/>
        <v/>
      </c>
      <c r="M774" s="10"/>
      <c r="N774" s="40" t="str">
        <f t="shared" si="2"/>
        <v/>
      </c>
    </row>
    <row r="775" ht="30.0" hidden="1" customHeight="1">
      <c r="G775" s="3"/>
      <c r="H775" s="10"/>
      <c r="I775" s="10"/>
      <c r="J775" s="40" t="str">
        <f t="shared" si="1"/>
        <v/>
      </c>
      <c r="M775" s="10"/>
      <c r="N775" s="40" t="str">
        <f t="shared" si="2"/>
        <v/>
      </c>
    </row>
    <row r="776" ht="30.0" hidden="1" customHeight="1">
      <c r="G776" s="3"/>
      <c r="H776" s="10"/>
      <c r="I776" s="10"/>
      <c r="J776" s="40" t="str">
        <f t="shared" si="1"/>
        <v/>
      </c>
      <c r="M776" s="10"/>
      <c r="N776" s="40" t="str">
        <f t="shared" si="2"/>
        <v/>
      </c>
    </row>
    <row r="777" ht="30.0" hidden="1" customHeight="1">
      <c r="G777" s="3"/>
      <c r="H777" s="10"/>
      <c r="I777" s="10"/>
      <c r="J777" s="40" t="str">
        <f t="shared" si="1"/>
        <v/>
      </c>
      <c r="M777" s="10"/>
      <c r="N777" s="40" t="str">
        <f t="shared" si="2"/>
        <v/>
      </c>
    </row>
    <row r="778" ht="30.0" hidden="1" customHeight="1">
      <c r="G778" s="3"/>
      <c r="H778" s="10"/>
      <c r="I778" s="10"/>
      <c r="J778" s="40" t="str">
        <f t="shared" si="1"/>
        <v/>
      </c>
      <c r="M778" s="10"/>
      <c r="N778" s="40" t="str">
        <f t="shared" si="2"/>
        <v/>
      </c>
    </row>
    <row r="779" ht="30.0" hidden="1" customHeight="1">
      <c r="G779" s="3"/>
      <c r="H779" s="10"/>
      <c r="I779" s="10"/>
      <c r="J779" s="40" t="str">
        <f t="shared" si="1"/>
        <v/>
      </c>
      <c r="M779" s="10"/>
      <c r="N779" s="40" t="str">
        <f t="shared" si="2"/>
        <v/>
      </c>
    </row>
    <row r="780" ht="30.0" hidden="1" customHeight="1">
      <c r="G780" s="3"/>
      <c r="H780" s="10"/>
      <c r="I780" s="10"/>
      <c r="J780" s="40" t="str">
        <f t="shared" si="1"/>
        <v/>
      </c>
      <c r="M780" s="10"/>
      <c r="N780" s="40" t="str">
        <f t="shared" si="2"/>
        <v/>
      </c>
    </row>
    <row r="781" ht="30.0" hidden="1" customHeight="1">
      <c r="G781" s="3"/>
      <c r="H781" s="10"/>
      <c r="I781" s="10"/>
      <c r="J781" s="40" t="str">
        <f t="shared" si="1"/>
        <v/>
      </c>
      <c r="M781" s="10"/>
      <c r="N781" s="40" t="str">
        <f t="shared" si="2"/>
        <v/>
      </c>
    </row>
    <row r="782" ht="30.0" hidden="1" customHeight="1">
      <c r="G782" s="3"/>
      <c r="H782" s="10"/>
      <c r="I782" s="10"/>
      <c r="J782" s="40" t="str">
        <f t="shared" si="1"/>
        <v/>
      </c>
      <c r="M782" s="10"/>
      <c r="N782" s="40" t="str">
        <f t="shared" si="2"/>
        <v/>
      </c>
    </row>
    <row r="783" ht="30.0" hidden="1" customHeight="1">
      <c r="G783" s="3"/>
      <c r="H783" s="10"/>
      <c r="I783" s="10"/>
      <c r="J783" s="40" t="str">
        <f t="shared" si="1"/>
        <v/>
      </c>
      <c r="M783" s="10"/>
      <c r="N783" s="40" t="str">
        <f t="shared" si="2"/>
        <v/>
      </c>
    </row>
    <row r="784" ht="30.0" hidden="1" customHeight="1">
      <c r="G784" s="3"/>
      <c r="H784" s="10"/>
      <c r="I784" s="10"/>
      <c r="J784" s="40" t="str">
        <f t="shared" si="1"/>
        <v/>
      </c>
      <c r="M784" s="10"/>
      <c r="N784" s="40" t="str">
        <f t="shared" si="2"/>
        <v/>
      </c>
    </row>
    <row r="785" ht="30.0" hidden="1" customHeight="1">
      <c r="G785" s="3"/>
      <c r="H785" s="10"/>
      <c r="I785" s="10"/>
      <c r="J785" s="40" t="str">
        <f t="shared" si="1"/>
        <v/>
      </c>
      <c r="M785" s="10"/>
      <c r="N785" s="40" t="str">
        <f t="shared" si="2"/>
        <v/>
      </c>
    </row>
    <row r="786" ht="30.0" hidden="1" customHeight="1">
      <c r="G786" s="3"/>
      <c r="H786" s="10"/>
      <c r="I786" s="10"/>
      <c r="J786" s="40" t="str">
        <f t="shared" si="1"/>
        <v/>
      </c>
      <c r="M786" s="10"/>
      <c r="N786" s="40" t="str">
        <f t="shared" si="2"/>
        <v/>
      </c>
    </row>
    <row r="787" ht="30.0" hidden="1" customHeight="1">
      <c r="G787" s="3"/>
      <c r="H787" s="10"/>
      <c r="I787" s="10"/>
      <c r="J787" s="40" t="str">
        <f t="shared" si="1"/>
        <v/>
      </c>
      <c r="M787" s="10"/>
      <c r="N787" s="40" t="str">
        <f t="shared" si="2"/>
        <v/>
      </c>
    </row>
    <row r="788" ht="30.0" hidden="1" customHeight="1">
      <c r="G788" s="3"/>
      <c r="H788" s="10"/>
      <c r="I788" s="10"/>
      <c r="J788" s="40" t="str">
        <f t="shared" si="1"/>
        <v/>
      </c>
      <c r="M788" s="10"/>
      <c r="N788" s="40" t="str">
        <f t="shared" si="2"/>
        <v/>
      </c>
    </row>
    <row r="789" ht="30.0" hidden="1" customHeight="1">
      <c r="G789" s="3"/>
      <c r="H789" s="10"/>
      <c r="I789" s="10"/>
      <c r="J789" s="40" t="str">
        <f t="shared" si="1"/>
        <v/>
      </c>
      <c r="M789" s="10"/>
      <c r="N789" s="40" t="str">
        <f t="shared" si="2"/>
        <v/>
      </c>
    </row>
    <row r="790" ht="30.0" hidden="1" customHeight="1">
      <c r="G790" s="3"/>
      <c r="H790" s="10"/>
      <c r="I790" s="10"/>
      <c r="J790" s="40" t="str">
        <f t="shared" si="1"/>
        <v/>
      </c>
      <c r="M790" s="10"/>
      <c r="N790" s="40" t="str">
        <f t="shared" si="2"/>
        <v/>
      </c>
    </row>
    <row r="791" ht="30.0" hidden="1" customHeight="1">
      <c r="G791" s="3"/>
      <c r="H791" s="10"/>
      <c r="I791" s="10"/>
      <c r="J791" s="40" t="str">
        <f t="shared" si="1"/>
        <v/>
      </c>
      <c r="M791" s="10"/>
      <c r="N791" s="40" t="str">
        <f t="shared" si="2"/>
        <v/>
      </c>
    </row>
    <row r="792" ht="30.0" hidden="1" customHeight="1">
      <c r="G792" s="3"/>
      <c r="H792" s="10"/>
      <c r="I792" s="10"/>
      <c r="J792" s="40" t="str">
        <f t="shared" si="1"/>
        <v/>
      </c>
      <c r="M792" s="10"/>
      <c r="N792" s="40" t="str">
        <f t="shared" si="2"/>
        <v/>
      </c>
    </row>
    <row r="793" ht="30.0" hidden="1" customHeight="1">
      <c r="G793" s="3"/>
      <c r="H793" s="10"/>
      <c r="I793" s="10"/>
      <c r="J793" s="40" t="str">
        <f t="shared" si="1"/>
        <v/>
      </c>
      <c r="M793" s="10"/>
      <c r="N793" s="40" t="str">
        <f t="shared" si="2"/>
        <v/>
      </c>
    </row>
    <row r="794" ht="30.0" hidden="1" customHeight="1">
      <c r="G794" s="3"/>
      <c r="H794" s="10"/>
      <c r="I794" s="10"/>
      <c r="J794" s="40" t="str">
        <f t="shared" si="1"/>
        <v/>
      </c>
      <c r="M794" s="10"/>
      <c r="N794" s="40" t="str">
        <f t="shared" si="2"/>
        <v/>
      </c>
    </row>
    <row r="795" ht="30.0" hidden="1" customHeight="1">
      <c r="G795" s="3"/>
      <c r="H795" s="10"/>
      <c r="I795" s="10"/>
      <c r="J795" s="40" t="str">
        <f t="shared" si="1"/>
        <v/>
      </c>
      <c r="M795" s="10"/>
      <c r="N795" s="40" t="str">
        <f t="shared" si="2"/>
        <v/>
      </c>
    </row>
    <row r="796" ht="30.0" hidden="1" customHeight="1">
      <c r="G796" s="3"/>
      <c r="H796" s="10"/>
      <c r="I796" s="10"/>
      <c r="J796" s="40" t="str">
        <f t="shared" si="1"/>
        <v/>
      </c>
      <c r="M796" s="10"/>
      <c r="N796" s="40" t="str">
        <f t="shared" si="2"/>
        <v/>
      </c>
    </row>
    <row r="797" ht="30.0" hidden="1" customHeight="1">
      <c r="G797" s="3"/>
      <c r="H797" s="10"/>
      <c r="I797" s="10"/>
      <c r="J797" s="40" t="str">
        <f t="shared" si="1"/>
        <v/>
      </c>
      <c r="M797" s="10"/>
      <c r="N797" s="40" t="str">
        <f t="shared" si="2"/>
        <v/>
      </c>
    </row>
    <row r="798" ht="30.0" hidden="1" customHeight="1">
      <c r="G798" s="3"/>
      <c r="H798" s="10"/>
      <c r="I798" s="10"/>
      <c r="J798" s="40" t="str">
        <f t="shared" si="1"/>
        <v/>
      </c>
      <c r="M798" s="10"/>
      <c r="N798" s="40" t="str">
        <f t="shared" si="2"/>
        <v/>
      </c>
    </row>
    <row r="799" ht="30.0" hidden="1" customHeight="1">
      <c r="G799" s="3"/>
      <c r="H799" s="10"/>
      <c r="I799" s="10"/>
      <c r="J799" s="40" t="str">
        <f t="shared" si="1"/>
        <v/>
      </c>
      <c r="M799" s="10"/>
      <c r="N799" s="40" t="str">
        <f t="shared" si="2"/>
        <v/>
      </c>
    </row>
    <row r="800" ht="30.0" hidden="1" customHeight="1">
      <c r="G800" s="3"/>
      <c r="H800" s="10"/>
      <c r="I800" s="10"/>
      <c r="J800" s="40" t="str">
        <f t="shared" si="1"/>
        <v/>
      </c>
      <c r="M800" s="10"/>
      <c r="N800" s="40" t="str">
        <f t="shared" si="2"/>
        <v/>
      </c>
    </row>
    <row r="801" ht="30.0" hidden="1" customHeight="1">
      <c r="G801" s="3"/>
      <c r="H801" s="10"/>
      <c r="I801" s="10"/>
      <c r="J801" s="40" t="str">
        <f t="shared" si="1"/>
        <v/>
      </c>
      <c r="M801" s="10"/>
      <c r="N801" s="40" t="str">
        <f t="shared" si="2"/>
        <v/>
      </c>
    </row>
    <row r="802" ht="30.0" hidden="1" customHeight="1">
      <c r="G802" s="3"/>
      <c r="H802" s="10"/>
      <c r="I802" s="10"/>
      <c r="J802" s="40" t="str">
        <f t="shared" si="1"/>
        <v/>
      </c>
      <c r="M802" s="10"/>
      <c r="N802" s="40" t="str">
        <f t="shared" si="2"/>
        <v/>
      </c>
    </row>
    <row r="803" ht="30.0" hidden="1" customHeight="1">
      <c r="G803" s="3"/>
      <c r="H803" s="10"/>
      <c r="I803" s="10"/>
      <c r="J803" s="40" t="str">
        <f t="shared" si="1"/>
        <v/>
      </c>
      <c r="M803" s="10"/>
      <c r="N803" s="40" t="str">
        <f t="shared" si="2"/>
        <v/>
      </c>
    </row>
    <row r="804" ht="30.0" hidden="1" customHeight="1">
      <c r="G804" s="3"/>
      <c r="H804" s="10"/>
      <c r="I804" s="10"/>
      <c r="J804" s="40" t="str">
        <f t="shared" si="1"/>
        <v/>
      </c>
      <c r="M804" s="10"/>
      <c r="N804" s="40" t="str">
        <f t="shared" si="2"/>
        <v/>
      </c>
    </row>
    <row r="805" ht="30.0" hidden="1" customHeight="1">
      <c r="G805" s="3"/>
      <c r="H805" s="10"/>
      <c r="I805" s="10"/>
      <c r="J805" s="40" t="str">
        <f t="shared" si="1"/>
        <v/>
      </c>
      <c r="M805" s="10"/>
      <c r="N805" s="40" t="str">
        <f t="shared" si="2"/>
        <v/>
      </c>
    </row>
    <row r="806" ht="30.0" hidden="1" customHeight="1">
      <c r="G806" s="3"/>
      <c r="H806" s="10"/>
      <c r="I806" s="10"/>
      <c r="J806" s="40" t="str">
        <f t="shared" si="1"/>
        <v/>
      </c>
      <c r="M806" s="10"/>
      <c r="N806" s="40" t="str">
        <f t="shared" si="2"/>
        <v/>
      </c>
    </row>
    <row r="807" ht="30.0" hidden="1" customHeight="1">
      <c r="G807" s="3"/>
      <c r="H807" s="10"/>
      <c r="I807" s="10"/>
      <c r="J807" s="40" t="str">
        <f t="shared" si="1"/>
        <v/>
      </c>
      <c r="M807" s="10"/>
      <c r="N807" s="40" t="str">
        <f t="shared" si="2"/>
        <v/>
      </c>
    </row>
    <row r="808" ht="30.0" hidden="1" customHeight="1">
      <c r="G808" s="3"/>
      <c r="H808" s="10"/>
      <c r="I808" s="10"/>
      <c r="J808" s="40" t="str">
        <f t="shared" si="1"/>
        <v/>
      </c>
      <c r="M808" s="10"/>
      <c r="N808" s="40" t="str">
        <f t="shared" si="2"/>
        <v/>
      </c>
    </row>
    <row r="809" ht="30.0" hidden="1" customHeight="1">
      <c r="G809" s="3"/>
      <c r="H809" s="10"/>
      <c r="I809" s="10"/>
      <c r="J809" s="40" t="str">
        <f t="shared" si="1"/>
        <v/>
      </c>
      <c r="M809" s="10"/>
      <c r="N809" s="40" t="str">
        <f t="shared" si="2"/>
        <v/>
      </c>
    </row>
    <row r="810" ht="30.0" hidden="1" customHeight="1">
      <c r="G810" s="3"/>
      <c r="H810" s="10"/>
      <c r="I810" s="10"/>
      <c r="J810" s="40" t="str">
        <f t="shared" si="1"/>
        <v/>
      </c>
      <c r="M810" s="10"/>
      <c r="N810" s="40" t="str">
        <f t="shared" si="2"/>
        <v/>
      </c>
    </row>
    <row r="811" ht="30.0" hidden="1" customHeight="1">
      <c r="G811" s="3"/>
      <c r="H811" s="10"/>
      <c r="I811" s="10"/>
      <c r="J811" s="40" t="str">
        <f t="shared" si="1"/>
        <v/>
      </c>
      <c r="M811" s="10"/>
      <c r="N811" s="40" t="str">
        <f t="shared" si="2"/>
        <v/>
      </c>
    </row>
    <row r="812" ht="30.0" hidden="1" customHeight="1">
      <c r="G812" s="3"/>
      <c r="H812" s="10"/>
      <c r="I812" s="10"/>
      <c r="J812" s="40" t="str">
        <f t="shared" si="1"/>
        <v/>
      </c>
      <c r="M812" s="10"/>
      <c r="N812" s="40" t="str">
        <f t="shared" si="2"/>
        <v/>
      </c>
    </row>
    <row r="813" ht="30.0" hidden="1" customHeight="1">
      <c r="G813" s="3"/>
      <c r="H813" s="10"/>
      <c r="I813" s="10"/>
      <c r="J813" s="40" t="str">
        <f t="shared" si="1"/>
        <v/>
      </c>
      <c r="M813" s="10"/>
      <c r="N813" s="40" t="str">
        <f t="shared" si="2"/>
        <v/>
      </c>
    </row>
    <row r="814" ht="30.0" hidden="1" customHeight="1">
      <c r="G814" s="3"/>
      <c r="H814" s="10"/>
      <c r="I814" s="10"/>
      <c r="J814" s="40" t="str">
        <f t="shared" si="1"/>
        <v/>
      </c>
      <c r="M814" s="10"/>
      <c r="N814" s="40" t="str">
        <f t="shared" si="2"/>
        <v/>
      </c>
    </row>
    <row r="815" ht="30.0" hidden="1" customHeight="1">
      <c r="G815" s="3"/>
      <c r="H815" s="10"/>
      <c r="I815" s="10"/>
      <c r="J815" s="40" t="str">
        <f t="shared" si="1"/>
        <v/>
      </c>
      <c r="M815" s="10"/>
      <c r="N815" s="40" t="str">
        <f t="shared" si="2"/>
        <v/>
      </c>
    </row>
    <row r="816" ht="30.0" hidden="1" customHeight="1">
      <c r="G816" s="3"/>
      <c r="H816" s="10"/>
      <c r="I816" s="10"/>
      <c r="J816" s="40" t="str">
        <f t="shared" si="1"/>
        <v/>
      </c>
      <c r="M816" s="10"/>
      <c r="N816" s="40" t="str">
        <f t="shared" si="2"/>
        <v/>
      </c>
    </row>
    <row r="817" ht="30.0" hidden="1" customHeight="1">
      <c r="G817" s="3"/>
      <c r="H817" s="10"/>
      <c r="I817" s="10"/>
      <c r="J817" s="40" t="str">
        <f t="shared" si="1"/>
        <v/>
      </c>
      <c r="M817" s="10"/>
      <c r="N817" s="40" t="str">
        <f t="shared" si="2"/>
        <v/>
      </c>
    </row>
    <row r="818" ht="30.0" hidden="1" customHeight="1">
      <c r="G818" s="3"/>
      <c r="H818" s="10"/>
      <c r="I818" s="10"/>
      <c r="J818" s="40" t="str">
        <f t="shared" si="1"/>
        <v/>
      </c>
      <c r="M818" s="10"/>
      <c r="N818" s="40" t="str">
        <f t="shared" si="2"/>
        <v/>
      </c>
    </row>
    <row r="819" ht="30.0" hidden="1" customHeight="1">
      <c r="G819" s="3"/>
      <c r="H819" s="10"/>
      <c r="I819" s="10"/>
      <c r="J819" s="40" t="str">
        <f t="shared" si="1"/>
        <v/>
      </c>
      <c r="M819" s="10"/>
      <c r="N819" s="40" t="str">
        <f t="shared" si="2"/>
        <v/>
      </c>
    </row>
    <row r="820" ht="30.0" hidden="1" customHeight="1">
      <c r="G820" s="3"/>
      <c r="H820" s="10"/>
      <c r="I820" s="10"/>
      <c r="J820" s="40" t="str">
        <f t="shared" si="1"/>
        <v/>
      </c>
      <c r="M820" s="10"/>
      <c r="N820" s="40" t="str">
        <f t="shared" si="2"/>
        <v/>
      </c>
    </row>
    <row r="821" ht="30.0" hidden="1" customHeight="1">
      <c r="G821" s="3"/>
      <c r="H821" s="10"/>
      <c r="I821" s="10"/>
      <c r="J821" s="40" t="str">
        <f t="shared" si="1"/>
        <v/>
      </c>
      <c r="M821" s="10"/>
      <c r="N821" s="40" t="str">
        <f t="shared" si="2"/>
        <v/>
      </c>
    </row>
    <row r="822" ht="30.0" hidden="1" customHeight="1">
      <c r="G822" s="3"/>
      <c r="H822" s="10"/>
      <c r="I822" s="10"/>
      <c r="J822" s="40" t="str">
        <f t="shared" si="1"/>
        <v/>
      </c>
      <c r="M822" s="10"/>
      <c r="N822" s="40" t="str">
        <f t="shared" si="2"/>
        <v/>
      </c>
    </row>
    <row r="823" ht="30.0" hidden="1" customHeight="1">
      <c r="G823" s="3"/>
      <c r="H823" s="10"/>
      <c r="I823" s="10"/>
      <c r="J823" s="40" t="str">
        <f t="shared" si="1"/>
        <v/>
      </c>
      <c r="M823" s="10"/>
      <c r="N823" s="40" t="str">
        <f t="shared" si="2"/>
        <v/>
      </c>
    </row>
    <row r="824" ht="30.0" hidden="1" customHeight="1">
      <c r="G824" s="3"/>
      <c r="H824" s="10"/>
      <c r="I824" s="10"/>
      <c r="J824" s="40" t="str">
        <f t="shared" si="1"/>
        <v/>
      </c>
      <c r="M824" s="10"/>
      <c r="N824" s="40" t="str">
        <f t="shared" si="2"/>
        <v/>
      </c>
    </row>
    <row r="825" ht="30.0" hidden="1" customHeight="1">
      <c r="G825" s="3"/>
      <c r="H825" s="10"/>
      <c r="I825" s="10"/>
      <c r="J825" s="40" t="str">
        <f t="shared" si="1"/>
        <v/>
      </c>
      <c r="M825" s="10"/>
      <c r="N825" s="40" t="str">
        <f t="shared" si="2"/>
        <v/>
      </c>
    </row>
    <row r="826" ht="30.0" hidden="1" customHeight="1">
      <c r="G826" s="3"/>
      <c r="H826" s="10"/>
      <c r="I826" s="10"/>
      <c r="J826" s="40" t="str">
        <f t="shared" si="1"/>
        <v/>
      </c>
      <c r="M826" s="10"/>
      <c r="N826" s="40" t="str">
        <f t="shared" si="2"/>
        <v/>
      </c>
    </row>
    <row r="827" ht="30.0" hidden="1" customHeight="1">
      <c r="G827" s="3"/>
      <c r="H827" s="10"/>
      <c r="I827" s="10"/>
      <c r="J827" s="40" t="str">
        <f t="shared" si="1"/>
        <v/>
      </c>
      <c r="M827" s="10"/>
      <c r="N827" s="40" t="str">
        <f t="shared" si="2"/>
        <v/>
      </c>
    </row>
    <row r="828" ht="30.0" hidden="1" customHeight="1">
      <c r="G828" s="3"/>
      <c r="H828" s="10"/>
      <c r="I828" s="10"/>
      <c r="J828" s="40" t="str">
        <f t="shared" si="1"/>
        <v/>
      </c>
      <c r="M828" s="10"/>
      <c r="N828" s="40" t="str">
        <f t="shared" si="2"/>
        <v/>
      </c>
    </row>
    <row r="829" ht="30.0" hidden="1" customHeight="1">
      <c r="G829" s="3"/>
      <c r="H829" s="10"/>
      <c r="I829" s="10"/>
      <c r="J829" s="40" t="str">
        <f t="shared" si="1"/>
        <v/>
      </c>
      <c r="M829" s="10"/>
      <c r="N829" s="40" t="str">
        <f t="shared" si="2"/>
        <v/>
      </c>
    </row>
    <row r="830" ht="30.0" hidden="1" customHeight="1">
      <c r="G830" s="3"/>
      <c r="H830" s="10"/>
      <c r="I830" s="10"/>
      <c r="J830" s="40" t="str">
        <f t="shared" si="1"/>
        <v/>
      </c>
      <c r="M830" s="10"/>
      <c r="N830" s="40" t="str">
        <f t="shared" si="2"/>
        <v/>
      </c>
    </row>
    <row r="831" ht="30.0" hidden="1" customHeight="1">
      <c r="G831" s="3"/>
      <c r="H831" s="10"/>
      <c r="I831" s="10"/>
      <c r="J831" s="40" t="str">
        <f t="shared" si="1"/>
        <v/>
      </c>
      <c r="M831" s="10"/>
      <c r="N831" s="40" t="str">
        <f t="shared" si="2"/>
        <v/>
      </c>
    </row>
    <row r="832" ht="30.0" hidden="1" customHeight="1">
      <c r="G832" s="3"/>
      <c r="H832" s="10"/>
      <c r="I832" s="10"/>
      <c r="J832" s="40" t="str">
        <f t="shared" si="1"/>
        <v/>
      </c>
      <c r="M832" s="10"/>
      <c r="N832" s="40" t="str">
        <f t="shared" si="2"/>
        <v/>
      </c>
    </row>
    <row r="833" ht="30.0" hidden="1" customHeight="1">
      <c r="G833" s="3"/>
      <c r="H833" s="10"/>
      <c r="I833" s="10"/>
      <c r="J833" s="40" t="str">
        <f t="shared" si="1"/>
        <v/>
      </c>
      <c r="M833" s="10"/>
      <c r="N833" s="40" t="str">
        <f t="shared" si="2"/>
        <v/>
      </c>
    </row>
    <row r="834" ht="30.0" hidden="1" customHeight="1">
      <c r="G834" s="3"/>
      <c r="H834" s="10"/>
      <c r="I834" s="10"/>
      <c r="J834" s="40" t="str">
        <f t="shared" si="1"/>
        <v/>
      </c>
      <c r="M834" s="10"/>
      <c r="N834" s="40" t="str">
        <f t="shared" si="2"/>
        <v/>
      </c>
    </row>
    <row r="835" ht="30.0" hidden="1" customHeight="1">
      <c r="G835" s="3"/>
      <c r="H835" s="10"/>
      <c r="I835" s="10"/>
      <c r="J835" s="40" t="str">
        <f t="shared" si="1"/>
        <v/>
      </c>
      <c r="M835" s="10"/>
      <c r="N835" s="40" t="str">
        <f t="shared" si="2"/>
        <v/>
      </c>
    </row>
    <row r="836" ht="30.0" hidden="1" customHeight="1">
      <c r="G836" s="3"/>
      <c r="H836" s="10"/>
      <c r="I836" s="10"/>
      <c r="J836" s="40" t="str">
        <f t="shared" si="1"/>
        <v/>
      </c>
      <c r="M836" s="10"/>
      <c r="N836" s="40" t="str">
        <f t="shared" si="2"/>
        <v/>
      </c>
    </row>
    <row r="837" ht="30.0" hidden="1" customHeight="1">
      <c r="G837" s="3"/>
      <c r="H837" s="10"/>
      <c r="I837" s="10"/>
      <c r="J837" s="40" t="str">
        <f t="shared" si="1"/>
        <v/>
      </c>
      <c r="M837" s="10"/>
      <c r="N837" s="40" t="str">
        <f t="shared" si="2"/>
        <v/>
      </c>
    </row>
    <row r="838" ht="30.0" hidden="1" customHeight="1">
      <c r="G838" s="3"/>
      <c r="H838" s="10"/>
      <c r="I838" s="10"/>
      <c r="J838" s="40" t="str">
        <f t="shared" si="1"/>
        <v/>
      </c>
      <c r="M838" s="10"/>
      <c r="N838" s="40" t="str">
        <f t="shared" si="2"/>
        <v/>
      </c>
    </row>
    <row r="839" ht="30.0" hidden="1" customHeight="1">
      <c r="G839" s="3"/>
      <c r="H839" s="10"/>
      <c r="I839" s="10"/>
      <c r="J839" s="40" t="str">
        <f t="shared" si="1"/>
        <v/>
      </c>
      <c r="M839" s="10"/>
      <c r="N839" s="40" t="str">
        <f t="shared" si="2"/>
        <v/>
      </c>
    </row>
    <row r="840" ht="30.0" hidden="1" customHeight="1">
      <c r="G840" s="3"/>
      <c r="H840" s="10"/>
      <c r="I840" s="10"/>
      <c r="J840" s="40" t="str">
        <f t="shared" si="1"/>
        <v/>
      </c>
      <c r="M840" s="10"/>
      <c r="N840" s="40" t="str">
        <f t="shared" si="2"/>
        <v/>
      </c>
    </row>
    <row r="841" ht="30.0" hidden="1" customHeight="1">
      <c r="G841" s="3"/>
      <c r="H841" s="10"/>
      <c r="I841" s="10"/>
      <c r="J841" s="40" t="str">
        <f t="shared" si="1"/>
        <v/>
      </c>
      <c r="M841" s="10"/>
      <c r="N841" s="40" t="str">
        <f t="shared" si="2"/>
        <v/>
      </c>
    </row>
    <row r="842" ht="30.0" hidden="1" customHeight="1">
      <c r="G842" s="3"/>
      <c r="H842" s="10"/>
      <c r="I842" s="10"/>
      <c r="J842" s="40" t="str">
        <f t="shared" si="1"/>
        <v/>
      </c>
      <c r="M842" s="10"/>
      <c r="N842" s="40" t="str">
        <f t="shared" si="2"/>
        <v/>
      </c>
    </row>
    <row r="843" ht="30.0" hidden="1" customHeight="1">
      <c r="G843" s="3"/>
      <c r="H843" s="10"/>
      <c r="I843" s="10"/>
      <c r="J843" s="40" t="str">
        <f t="shared" si="1"/>
        <v/>
      </c>
      <c r="M843" s="10"/>
      <c r="N843" s="40" t="str">
        <f t="shared" si="2"/>
        <v/>
      </c>
    </row>
    <row r="844" ht="30.0" hidden="1" customHeight="1">
      <c r="G844" s="3"/>
      <c r="H844" s="10"/>
      <c r="I844" s="10"/>
      <c r="J844" s="40" t="str">
        <f t="shared" si="1"/>
        <v/>
      </c>
      <c r="M844" s="10"/>
      <c r="N844" s="40" t="str">
        <f t="shared" si="2"/>
        <v/>
      </c>
    </row>
    <row r="845" ht="30.0" hidden="1" customHeight="1">
      <c r="G845" s="3"/>
      <c r="H845" s="10"/>
      <c r="I845" s="10"/>
      <c r="J845" s="40" t="str">
        <f t="shared" si="1"/>
        <v/>
      </c>
      <c r="M845" s="10"/>
      <c r="N845" s="40" t="str">
        <f t="shared" si="2"/>
        <v/>
      </c>
    </row>
    <row r="846" ht="30.0" hidden="1" customHeight="1">
      <c r="G846" s="3"/>
      <c r="H846" s="10"/>
      <c r="I846" s="10"/>
      <c r="J846" s="40" t="str">
        <f t="shared" si="1"/>
        <v/>
      </c>
      <c r="M846" s="10"/>
      <c r="N846" s="40" t="str">
        <f t="shared" si="2"/>
        <v/>
      </c>
    </row>
    <row r="847" ht="30.0" hidden="1" customHeight="1">
      <c r="G847" s="3"/>
      <c r="H847" s="10"/>
      <c r="I847" s="10"/>
      <c r="J847" s="40" t="str">
        <f t="shared" si="1"/>
        <v/>
      </c>
      <c r="M847" s="10"/>
      <c r="N847" s="40" t="str">
        <f t="shared" si="2"/>
        <v/>
      </c>
    </row>
    <row r="848" ht="30.0" hidden="1" customHeight="1">
      <c r="G848" s="3"/>
      <c r="H848" s="10"/>
      <c r="I848" s="10"/>
      <c r="J848" s="40" t="str">
        <f t="shared" si="1"/>
        <v/>
      </c>
      <c r="M848" s="10"/>
      <c r="N848" s="40" t="str">
        <f t="shared" si="2"/>
        <v/>
      </c>
    </row>
    <row r="849" ht="30.0" hidden="1" customHeight="1">
      <c r="G849" s="3"/>
      <c r="H849" s="10"/>
      <c r="I849" s="10"/>
      <c r="J849" s="40" t="str">
        <f t="shared" si="1"/>
        <v/>
      </c>
      <c r="M849" s="10"/>
      <c r="N849" s="40" t="str">
        <f t="shared" si="2"/>
        <v/>
      </c>
    </row>
    <row r="850" ht="30.0" hidden="1" customHeight="1">
      <c r="G850" s="3"/>
      <c r="H850" s="10"/>
      <c r="I850" s="10"/>
      <c r="J850" s="40" t="str">
        <f t="shared" si="1"/>
        <v/>
      </c>
      <c r="M850" s="10"/>
      <c r="N850" s="40" t="str">
        <f t="shared" si="2"/>
        <v/>
      </c>
    </row>
    <row r="851" ht="30.0" hidden="1" customHeight="1">
      <c r="G851" s="3"/>
      <c r="H851" s="10"/>
      <c r="I851" s="10"/>
      <c r="J851" s="40" t="str">
        <f t="shared" si="1"/>
        <v/>
      </c>
      <c r="M851" s="10"/>
      <c r="N851" s="40" t="str">
        <f t="shared" si="2"/>
        <v/>
      </c>
    </row>
    <row r="852" ht="30.0" hidden="1" customHeight="1">
      <c r="G852" s="3"/>
      <c r="H852" s="10"/>
      <c r="I852" s="10"/>
      <c r="J852" s="40" t="str">
        <f t="shared" si="1"/>
        <v/>
      </c>
      <c r="M852" s="10"/>
      <c r="N852" s="40" t="str">
        <f t="shared" si="2"/>
        <v/>
      </c>
    </row>
    <row r="853" ht="30.0" hidden="1" customHeight="1">
      <c r="G853" s="3"/>
      <c r="H853" s="10"/>
      <c r="I853" s="10"/>
      <c r="J853" s="40" t="str">
        <f t="shared" si="1"/>
        <v/>
      </c>
      <c r="M853" s="10"/>
      <c r="N853" s="40" t="str">
        <f t="shared" si="2"/>
        <v/>
      </c>
    </row>
    <row r="854" ht="30.0" hidden="1" customHeight="1">
      <c r="G854" s="3"/>
      <c r="H854" s="10"/>
      <c r="I854" s="10"/>
      <c r="J854" s="40" t="str">
        <f t="shared" si="1"/>
        <v/>
      </c>
      <c r="M854" s="10"/>
      <c r="N854" s="40" t="str">
        <f t="shared" si="2"/>
        <v/>
      </c>
    </row>
    <row r="855" ht="30.0" hidden="1" customHeight="1">
      <c r="G855" s="3"/>
      <c r="H855" s="10"/>
      <c r="I855" s="10"/>
      <c r="J855" s="40" t="str">
        <f t="shared" si="1"/>
        <v/>
      </c>
      <c r="M855" s="10"/>
      <c r="N855" s="40" t="str">
        <f t="shared" si="2"/>
        <v/>
      </c>
    </row>
    <row r="856" ht="30.0" hidden="1" customHeight="1">
      <c r="G856" s="3"/>
      <c r="H856" s="10"/>
      <c r="I856" s="10"/>
      <c r="J856" s="40" t="str">
        <f t="shared" si="1"/>
        <v/>
      </c>
      <c r="M856" s="10"/>
      <c r="N856" s="40" t="str">
        <f t="shared" si="2"/>
        <v/>
      </c>
    </row>
    <row r="857" ht="30.0" hidden="1" customHeight="1">
      <c r="G857" s="3"/>
      <c r="H857" s="10"/>
      <c r="I857" s="10"/>
      <c r="J857" s="40" t="str">
        <f t="shared" si="1"/>
        <v/>
      </c>
      <c r="M857" s="10"/>
      <c r="N857" s="40" t="str">
        <f t="shared" si="2"/>
        <v/>
      </c>
    </row>
    <row r="858" ht="30.0" hidden="1" customHeight="1">
      <c r="G858" s="3"/>
      <c r="H858" s="10"/>
      <c r="I858" s="10"/>
      <c r="J858" s="40" t="str">
        <f t="shared" si="1"/>
        <v/>
      </c>
      <c r="M858" s="10"/>
      <c r="N858" s="40" t="str">
        <f t="shared" si="2"/>
        <v/>
      </c>
    </row>
    <row r="859" ht="30.0" hidden="1" customHeight="1">
      <c r="G859" s="3"/>
      <c r="H859" s="10"/>
      <c r="I859" s="10"/>
      <c r="J859" s="40" t="str">
        <f t="shared" si="1"/>
        <v/>
      </c>
      <c r="M859" s="10"/>
      <c r="N859" s="40" t="str">
        <f t="shared" si="2"/>
        <v/>
      </c>
    </row>
    <row r="860" ht="30.0" hidden="1" customHeight="1">
      <c r="G860" s="3"/>
      <c r="H860" s="10"/>
      <c r="I860" s="10"/>
      <c r="J860" s="40" t="str">
        <f t="shared" si="1"/>
        <v/>
      </c>
      <c r="M860" s="10"/>
      <c r="N860" s="40" t="str">
        <f t="shared" si="2"/>
        <v/>
      </c>
    </row>
    <row r="861" ht="30.0" hidden="1" customHeight="1">
      <c r="G861" s="3"/>
      <c r="H861" s="10"/>
      <c r="I861" s="10"/>
      <c r="J861" s="40" t="str">
        <f t="shared" si="1"/>
        <v/>
      </c>
      <c r="M861" s="10"/>
      <c r="N861" s="40" t="str">
        <f t="shared" si="2"/>
        <v/>
      </c>
    </row>
    <row r="862" ht="30.0" hidden="1" customHeight="1">
      <c r="G862" s="3"/>
      <c r="H862" s="10"/>
      <c r="I862" s="10"/>
      <c r="J862" s="40" t="str">
        <f t="shared" si="1"/>
        <v/>
      </c>
      <c r="M862" s="10"/>
      <c r="N862" s="40" t="str">
        <f t="shared" si="2"/>
        <v/>
      </c>
    </row>
    <row r="863" ht="30.0" hidden="1" customHeight="1">
      <c r="G863" s="3"/>
      <c r="H863" s="10"/>
      <c r="I863" s="10"/>
      <c r="J863" s="40" t="str">
        <f t="shared" si="1"/>
        <v/>
      </c>
      <c r="M863" s="10"/>
      <c r="N863" s="40" t="str">
        <f t="shared" si="2"/>
        <v/>
      </c>
    </row>
    <row r="864" ht="30.0" hidden="1" customHeight="1">
      <c r="G864" s="3"/>
      <c r="H864" s="10"/>
      <c r="I864" s="10"/>
      <c r="J864" s="40" t="str">
        <f t="shared" si="1"/>
        <v/>
      </c>
      <c r="M864" s="10"/>
      <c r="N864" s="40" t="str">
        <f t="shared" si="2"/>
        <v/>
      </c>
    </row>
    <row r="865" ht="30.0" hidden="1" customHeight="1">
      <c r="G865" s="3"/>
      <c r="H865" s="10"/>
      <c r="I865" s="10"/>
      <c r="J865" s="40" t="str">
        <f t="shared" si="1"/>
        <v/>
      </c>
      <c r="M865" s="10"/>
      <c r="N865" s="40" t="str">
        <f t="shared" si="2"/>
        <v/>
      </c>
    </row>
    <row r="866" ht="30.0" hidden="1" customHeight="1">
      <c r="G866" s="3"/>
      <c r="H866" s="10"/>
      <c r="I866" s="10"/>
      <c r="J866" s="40" t="str">
        <f t="shared" si="1"/>
        <v/>
      </c>
      <c r="M866" s="10"/>
      <c r="N866" s="40" t="str">
        <f t="shared" si="2"/>
        <v/>
      </c>
    </row>
    <row r="867" ht="30.0" hidden="1" customHeight="1">
      <c r="G867" s="3"/>
      <c r="H867" s="10"/>
      <c r="I867" s="10"/>
      <c r="J867" s="40" t="str">
        <f t="shared" si="1"/>
        <v/>
      </c>
      <c r="M867" s="10"/>
      <c r="N867" s="40" t="str">
        <f t="shared" si="2"/>
        <v/>
      </c>
    </row>
    <row r="868" ht="30.0" hidden="1" customHeight="1">
      <c r="G868" s="3"/>
      <c r="H868" s="10"/>
      <c r="I868" s="10"/>
      <c r="J868" s="40" t="str">
        <f t="shared" si="1"/>
        <v/>
      </c>
      <c r="M868" s="10"/>
      <c r="N868" s="40" t="str">
        <f t="shared" si="2"/>
        <v/>
      </c>
    </row>
    <row r="869" ht="30.0" hidden="1" customHeight="1">
      <c r="G869" s="3"/>
      <c r="H869" s="10"/>
      <c r="I869" s="10"/>
      <c r="J869" s="40" t="str">
        <f t="shared" si="1"/>
        <v/>
      </c>
      <c r="M869" s="10"/>
      <c r="N869" s="40" t="str">
        <f t="shared" si="2"/>
        <v/>
      </c>
    </row>
    <row r="870" ht="30.0" hidden="1" customHeight="1">
      <c r="G870" s="3"/>
      <c r="H870" s="10"/>
      <c r="I870" s="10"/>
      <c r="J870" s="40" t="str">
        <f t="shared" si="1"/>
        <v/>
      </c>
      <c r="M870" s="10"/>
      <c r="N870" s="40" t="str">
        <f t="shared" si="2"/>
        <v/>
      </c>
    </row>
    <row r="871" ht="30.0" hidden="1" customHeight="1">
      <c r="G871" s="3"/>
      <c r="H871" s="10"/>
      <c r="I871" s="10"/>
      <c r="J871" s="40" t="str">
        <f t="shared" si="1"/>
        <v/>
      </c>
      <c r="M871" s="10"/>
      <c r="N871" s="40" t="str">
        <f t="shared" si="2"/>
        <v/>
      </c>
    </row>
    <row r="872" ht="30.0" hidden="1" customHeight="1">
      <c r="G872" s="3"/>
      <c r="H872" s="10"/>
      <c r="I872" s="10"/>
      <c r="J872" s="40" t="str">
        <f t="shared" si="1"/>
        <v/>
      </c>
      <c r="M872" s="10"/>
      <c r="N872" s="40" t="str">
        <f t="shared" si="2"/>
        <v/>
      </c>
    </row>
    <row r="873" ht="30.0" hidden="1" customHeight="1">
      <c r="G873" s="3"/>
      <c r="H873" s="10"/>
      <c r="I873" s="10"/>
      <c r="J873" s="40" t="str">
        <f t="shared" si="1"/>
        <v/>
      </c>
      <c r="M873" s="10"/>
      <c r="N873" s="40" t="str">
        <f t="shared" si="2"/>
        <v/>
      </c>
    </row>
    <row r="874" ht="30.0" hidden="1" customHeight="1">
      <c r="G874" s="3"/>
      <c r="H874" s="10"/>
      <c r="I874" s="10"/>
      <c r="J874" s="40" t="str">
        <f t="shared" si="1"/>
        <v/>
      </c>
      <c r="M874" s="10"/>
      <c r="N874" s="40" t="str">
        <f t="shared" si="2"/>
        <v/>
      </c>
    </row>
    <row r="875" ht="30.0" hidden="1" customHeight="1">
      <c r="G875" s="3"/>
      <c r="H875" s="10"/>
      <c r="I875" s="10"/>
      <c r="J875" s="40" t="str">
        <f t="shared" si="1"/>
        <v/>
      </c>
      <c r="M875" s="10"/>
      <c r="N875" s="40" t="str">
        <f t="shared" si="2"/>
        <v/>
      </c>
    </row>
    <row r="876" ht="30.0" hidden="1" customHeight="1">
      <c r="G876" s="3"/>
      <c r="H876" s="10"/>
      <c r="I876" s="10"/>
      <c r="J876" s="40" t="str">
        <f t="shared" si="1"/>
        <v/>
      </c>
      <c r="M876" s="10"/>
      <c r="N876" s="40" t="str">
        <f t="shared" si="2"/>
        <v/>
      </c>
    </row>
    <row r="877" ht="30.0" hidden="1" customHeight="1">
      <c r="G877" s="3"/>
      <c r="H877" s="10"/>
      <c r="I877" s="10"/>
      <c r="J877" s="40" t="str">
        <f t="shared" si="1"/>
        <v/>
      </c>
      <c r="M877" s="10"/>
      <c r="N877" s="40" t="str">
        <f t="shared" si="2"/>
        <v/>
      </c>
    </row>
    <row r="878" ht="30.0" hidden="1" customHeight="1">
      <c r="G878" s="3"/>
      <c r="H878" s="10"/>
      <c r="I878" s="10"/>
      <c r="J878" s="40" t="str">
        <f t="shared" si="1"/>
        <v/>
      </c>
      <c r="M878" s="10"/>
      <c r="N878" s="40" t="str">
        <f t="shared" si="2"/>
        <v/>
      </c>
    </row>
    <row r="879" ht="30.0" hidden="1" customHeight="1">
      <c r="G879" s="3"/>
      <c r="H879" s="10"/>
      <c r="I879" s="10"/>
      <c r="J879" s="40" t="str">
        <f t="shared" si="1"/>
        <v/>
      </c>
      <c r="M879" s="10"/>
      <c r="N879" s="40" t="str">
        <f t="shared" si="2"/>
        <v/>
      </c>
    </row>
    <row r="880" ht="30.0" hidden="1" customHeight="1">
      <c r="G880" s="3"/>
      <c r="H880" s="10"/>
      <c r="I880" s="10"/>
      <c r="J880" s="40" t="str">
        <f t="shared" si="1"/>
        <v/>
      </c>
      <c r="M880" s="10"/>
      <c r="N880" s="40" t="str">
        <f t="shared" si="2"/>
        <v/>
      </c>
    </row>
    <row r="881" ht="30.0" hidden="1" customHeight="1">
      <c r="G881" s="3"/>
      <c r="H881" s="10"/>
      <c r="I881" s="10"/>
      <c r="J881" s="40" t="str">
        <f t="shared" si="1"/>
        <v/>
      </c>
      <c r="M881" s="10"/>
      <c r="N881" s="40" t="str">
        <f t="shared" si="2"/>
        <v/>
      </c>
    </row>
    <row r="882" ht="30.0" hidden="1" customHeight="1">
      <c r="G882" s="3"/>
      <c r="H882" s="10"/>
      <c r="I882" s="10"/>
      <c r="J882" s="40" t="str">
        <f t="shared" si="1"/>
        <v/>
      </c>
      <c r="M882" s="10"/>
      <c r="N882" s="40" t="str">
        <f t="shared" si="2"/>
        <v/>
      </c>
    </row>
    <row r="883" ht="30.0" hidden="1" customHeight="1">
      <c r="G883" s="3"/>
      <c r="H883" s="10"/>
      <c r="I883" s="10"/>
      <c r="J883" s="40" t="str">
        <f t="shared" si="1"/>
        <v/>
      </c>
      <c r="M883" s="10"/>
      <c r="N883" s="40" t="str">
        <f t="shared" si="2"/>
        <v/>
      </c>
    </row>
    <row r="884" ht="30.0" hidden="1" customHeight="1">
      <c r="G884" s="3"/>
      <c r="H884" s="10"/>
      <c r="I884" s="10"/>
      <c r="J884" s="40" t="str">
        <f t="shared" si="1"/>
        <v/>
      </c>
      <c r="M884" s="10"/>
      <c r="N884" s="40" t="str">
        <f t="shared" si="2"/>
        <v/>
      </c>
    </row>
    <row r="885" ht="30.0" hidden="1" customHeight="1">
      <c r="G885" s="3"/>
      <c r="H885" s="10"/>
      <c r="I885" s="10"/>
      <c r="J885" s="40" t="str">
        <f t="shared" si="1"/>
        <v/>
      </c>
      <c r="M885" s="10"/>
      <c r="N885" s="40" t="str">
        <f t="shared" si="2"/>
        <v/>
      </c>
    </row>
    <row r="886" ht="30.0" hidden="1" customHeight="1">
      <c r="G886" s="3"/>
      <c r="H886" s="10"/>
      <c r="I886" s="10"/>
      <c r="J886" s="40" t="str">
        <f t="shared" si="1"/>
        <v/>
      </c>
      <c r="M886" s="10"/>
      <c r="N886" s="40" t="str">
        <f t="shared" si="2"/>
        <v/>
      </c>
    </row>
    <row r="887" ht="30.0" hidden="1" customHeight="1">
      <c r="G887" s="3"/>
      <c r="H887" s="10"/>
      <c r="I887" s="10"/>
      <c r="J887" s="40" t="str">
        <f t="shared" si="1"/>
        <v/>
      </c>
      <c r="M887" s="10"/>
      <c r="N887" s="40" t="str">
        <f t="shared" si="2"/>
        <v/>
      </c>
    </row>
    <row r="888" ht="30.0" hidden="1" customHeight="1">
      <c r="G888" s="3"/>
      <c r="H888" s="10"/>
      <c r="I888" s="10"/>
      <c r="J888" s="40" t="str">
        <f t="shared" si="1"/>
        <v/>
      </c>
      <c r="M888" s="10"/>
      <c r="N888" s="40" t="str">
        <f t="shared" si="2"/>
        <v/>
      </c>
    </row>
    <row r="889" ht="30.0" hidden="1" customHeight="1">
      <c r="G889" s="3"/>
      <c r="H889" s="10"/>
      <c r="I889" s="10"/>
      <c r="J889" s="40" t="str">
        <f t="shared" si="1"/>
        <v/>
      </c>
      <c r="M889" s="10"/>
      <c r="N889" s="40" t="str">
        <f t="shared" si="2"/>
        <v/>
      </c>
    </row>
    <row r="890" ht="30.0" hidden="1" customHeight="1">
      <c r="G890" s="3"/>
      <c r="H890" s="10"/>
      <c r="I890" s="10"/>
      <c r="J890" s="40" t="str">
        <f t="shared" si="1"/>
        <v/>
      </c>
      <c r="M890" s="10"/>
      <c r="N890" s="40" t="str">
        <f t="shared" si="2"/>
        <v/>
      </c>
    </row>
    <row r="891" ht="30.0" hidden="1" customHeight="1">
      <c r="G891" s="3"/>
      <c r="H891" s="10"/>
      <c r="I891" s="10"/>
      <c r="J891" s="40" t="str">
        <f t="shared" si="1"/>
        <v/>
      </c>
      <c r="M891" s="10"/>
      <c r="N891" s="40" t="str">
        <f t="shared" si="2"/>
        <v/>
      </c>
    </row>
    <row r="892" ht="30.0" hidden="1" customHeight="1">
      <c r="G892" s="3"/>
      <c r="H892" s="10"/>
      <c r="I892" s="10"/>
      <c r="J892" s="40" t="str">
        <f t="shared" si="1"/>
        <v/>
      </c>
      <c r="M892" s="10"/>
      <c r="N892" s="40" t="str">
        <f t="shared" si="2"/>
        <v/>
      </c>
    </row>
    <row r="893" ht="30.0" hidden="1" customHeight="1">
      <c r="G893" s="3"/>
      <c r="H893" s="10"/>
      <c r="I893" s="10"/>
      <c r="J893" s="40" t="str">
        <f t="shared" si="1"/>
        <v/>
      </c>
      <c r="M893" s="10"/>
      <c r="N893" s="40" t="str">
        <f t="shared" si="2"/>
        <v/>
      </c>
    </row>
    <row r="894" ht="30.0" hidden="1" customHeight="1">
      <c r="G894" s="3"/>
      <c r="H894" s="10"/>
      <c r="I894" s="10"/>
      <c r="J894" s="40" t="str">
        <f t="shared" si="1"/>
        <v/>
      </c>
      <c r="M894" s="10"/>
      <c r="N894" s="40" t="str">
        <f t="shared" si="2"/>
        <v/>
      </c>
    </row>
    <row r="895" ht="30.0" hidden="1" customHeight="1">
      <c r="G895" s="3"/>
      <c r="H895" s="10"/>
      <c r="I895" s="10"/>
      <c r="J895" s="40" t="str">
        <f t="shared" si="1"/>
        <v/>
      </c>
      <c r="M895" s="10"/>
      <c r="N895" s="40" t="str">
        <f t="shared" si="2"/>
        <v/>
      </c>
    </row>
    <row r="896" ht="30.0" hidden="1" customHeight="1">
      <c r="G896" s="3"/>
      <c r="H896" s="10"/>
      <c r="I896" s="10"/>
      <c r="J896" s="40" t="str">
        <f t="shared" si="1"/>
        <v/>
      </c>
      <c r="M896" s="10"/>
      <c r="N896" s="40" t="str">
        <f t="shared" si="2"/>
        <v/>
      </c>
    </row>
    <row r="897" ht="30.0" hidden="1" customHeight="1">
      <c r="G897" s="3"/>
      <c r="H897" s="10"/>
      <c r="I897" s="10"/>
      <c r="J897" s="40" t="str">
        <f t="shared" si="1"/>
        <v/>
      </c>
      <c r="M897" s="10"/>
      <c r="N897" s="40" t="str">
        <f t="shared" si="2"/>
        <v/>
      </c>
    </row>
    <row r="898" ht="30.0" hidden="1" customHeight="1">
      <c r="G898" s="3"/>
      <c r="H898" s="10"/>
      <c r="I898" s="10"/>
      <c r="J898" s="40" t="str">
        <f t="shared" si="1"/>
        <v/>
      </c>
      <c r="M898" s="10"/>
      <c r="N898" s="40" t="str">
        <f t="shared" si="2"/>
        <v/>
      </c>
    </row>
    <row r="899" ht="30.0" hidden="1" customHeight="1">
      <c r="G899" s="3"/>
      <c r="H899" s="10"/>
      <c r="I899" s="10"/>
      <c r="J899" s="40" t="str">
        <f t="shared" si="1"/>
        <v/>
      </c>
      <c r="M899" s="10"/>
      <c r="N899" s="40" t="str">
        <f t="shared" si="2"/>
        <v/>
      </c>
    </row>
    <row r="900" ht="30.0" hidden="1" customHeight="1">
      <c r="G900" s="3"/>
      <c r="H900" s="10"/>
      <c r="I900" s="10"/>
      <c r="J900" s="40" t="str">
        <f t="shared" si="1"/>
        <v/>
      </c>
      <c r="M900" s="10"/>
      <c r="N900" s="40" t="str">
        <f t="shared" si="2"/>
        <v/>
      </c>
    </row>
    <row r="901" ht="30.0" hidden="1" customHeight="1">
      <c r="G901" s="3"/>
      <c r="H901" s="10"/>
      <c r="I901" s="10"/>
      <c r="J901" s="40" t="str">
        <f t="shared" si="1"/>
        <v/>
      </c>
      <c r="M901" s="10"/>
      <c r="N901" s="40" t="str">
        <f t="shared" si="2"/>
        <v/>
      </c>
    </row>
    <row r="902" ht="30.0" hidden="1" customHeight="1">
      <c r="G902" s="3"/>
      <c r="H902" s="10"/>
      <c r="I902" s="10"/>
      <c r="J902" s="40" t="str">
        <f t="shared" si="1"/>
        <v/>
      </c>
      <c r="M902" s="10"/>
      <c r="N902" s="40" t="str">
        <f t="shared" si="2"/>
        <v/>
      </c>
    </row>
    <row r="903" ht="30.0" hidden="1" customHeight="1">
      <c r="G903" s="3"/>
      <c r="H903" s="10"/>
      <c r="I903" s="10"/>
      <c r="J903" s="40" t="str">
        <f t="shared" si="1"/>
        <v/>
      </c>
      <c r="M903" s="10"/>
      <c r="N903" s="40" t="str">
        <f t="shared" si="2"/>
        <v/>
      </c>
    </row>
    <row r="904" ht="30.0" hidden="1" customHeight="1">
      <c r="G904" s="3"/>
      <c r="H904" s="10"/>
      <c r="I904" s="10"/>
      <c r="J904" s="40" t="str">
        <f t="shared" si="1"/>
        <v/>
      </c>
      <c r="M904" s="10"/>
      <c r="N904" s="40" t="str">
        <f t="shared" si="2"/>
        <v/>
      </c>
    </row>
    <row r="905" ht="30.0" hidden="1" customHeight="1">
      <c r="G905" s="3"/>
      <c r="H905" s="10"/>
      <c r="I905" s="10"/>
      <c r="J905" s="40" t="str">
        <f t="shared" si="1"/>
        <v/>
      </c>
      <c r="M905" s="10"/>
      <c r="N905" s="40" t="str">
        <f t="shared" si="2"/>
        <v/>
      </c>
    </row>
    <row r="906" ht="30.0" hidden="1" customHeight="1">
      <c r="G906" s="3"/>
      <c r="H906" s="10"/>
      <c r="I906" s="10"/>
      <c r="J906" s="40" t="str">
        <f t="shared" si="1"/>
        <v/>
      </c>
      <c r="M906" s="10"/>
      <c r="N906" s="40" t="str">
        <f t="shared" si="2"/>
        <v/>
      </c>
    </row>
    <row r="907" ht="30.0" hidden="1" customHeight="1">
      <c r="G907" s="3"/>
      <c r="H907" s="10"/>
      <c r="I907" s="10"/>
      <c r="J907" s="40" t="str">
        <f t="shared" si="1"/>
        <v/>
      </c>
      <c r="M907" s="10"/>
      <c r="N907" s="40" t="str">
        <f t="shared" si="2"/>
        <v/>
      </c>
    </row>
    <row r="908" ht="30.0" hidden="1" customHeight="1">
      <c r="G908" s="3"/>
      <c r="H908" s="10"/>
      <c r="I908" s="10"/>
      <c r="J908" s="40" t="str">
        <f t="shared" si="1"/>
        <v/>
      </c>
      <c r="M908" s="10"/>
      <c r="N908" s="40" t="str">
        <f t="shared" si="2"/>
        <v/>
      </c>
    </row>
    <row r="909" ht="30.0" hidden="1" customHeight="1">
      <c r="G909" s="3"/>
      <c r="H909" s="10"/>
      <c r="I909" s="10"/>
      <c r="J909" s="40" t="str">
        <f t="shared" si="1"/>
        <v/>
      </c>
      <c r="M909" s="10"/>
      <c r="N909" s="40" t="str">
        <f t="shared" si="2"/>
        <v/>
      </c>
    </row>
    <row r="910" ht="30.0" hidden="1" customHeight="1">
      <c r="G910" s="3"/>
      <c r="H910" s="10"/>
      <c r="I910" s="10"/>
      <c r="J910" s="40" t="str">
        <f t="shared" si="1"/>
        <v/>
      </c>
      <c r="M910" s="10"/>
      <c r="N910" s="40" t="str">
        <f t="shared" si="2"/>
        <v/>
      </c>
    </row>
    <row r="911" ht="30.0" hidden="1" customHeight="1">
      <c r="G911" s="3"/>
      <c r="H911" s="10"/>
      <c r="I911" s="10"/>
      <c r="J911" s="40" t="str">
        <f t="shared" si="1"/>
        <v/>
      </c>
      <c r="M911" s="10"/>
      <c r="N911" s="40" t="str">
        <f t="shared" si="2"/>
        <v/>
      </c>
    </row>
    <row r="912" ht="30.0" hidden="1" customHeight="1">
      <c r="G912" s="3"/>
      <c r="H912" s="10"/>
      <c r="I912" s="10"/>
      <c r="J912" s="40" t="str">
        <f t="shared" si="1"/>
        <v/>
      </c>
      <c r="M912" s="10"/>
      <c r="N912" s="40" t="str">
        <f t="shared" si="2"/>
        <v/>
      </c>
    </row>
    <row r="913" ht="30.0" hidden="1" customHeight="1">
      <c r="G913" s="3"/>
      <c r="H913" s="10"/>
      <c r="I913" s="10"/>
      <c r="J913" s="40" t="str">
        <f t="shared" si="1"/>
        <v/>
      </c>
      <c r="M913" s="10"/>
      <c r="N913" s="40" t="str">
        <f t="shared" si="2"/>
        <v/>
      </c>
    </row>
    <row r="914" ht="30.0" hidden="1" customHeight="1">
      <c r="G914" s="3"/>
      <c r="H914" s="10"/>
      <c r="I914" s="10"/>
      <c r="J914" s="40" t="str">
        <f t="shared" si="1"/>
        <v/>
      </c>
      <c r="M914" s="10"/>
      <c r="N914" s="40" t="str">
        <f t="shared" si="2"/>
        <v/>
      </c>
    </row>
    <row r="915" ht="30.0" hidden="1" customHeight="1">
      <c r="G915" s="3"/>
      <c r="H915" s="10"/>
      <c r="I915" s="10"/>
      <c r="J915" s="40" t="str">
        <f t="shared" si="1"/>
        <v/>
      </c>
      <c r="M915" s="10"/>
      <c r="N915" s="40" t="str">
        <f t="shared" si="2"/>
        <v/>
      </c>
    </row>
    <row r="916" ht="30.0" hidden="1" customHeight="1">
      <c r="G916" s="3"/>
      <c r="H916" s="10"/>
      <c r="I916" s="10"/>
      <c r="J916" s="40" t="str">
        <f t="shared" si="1"/>
        <v/>
      </c>
      <c r="M916" s="10"/>
      <c r="N916" s="40" t="str">
        <f t="shared" si="2"/>
        <v/>
      </c>
    </row>
    <row r="917" ht="30.0" hidden="1" customHeight="1">
      <c r="G917" s="3"/>
      <c r="H917" s="10"/>
      <c r="I917" s="10"/>
      <c r="J917" s="40" t="str">
        <f t="shared" si="1"/>
        <v/>
      </c>
      <c r="M917" s="10"/>
      <c r="N917" s="40" t="str">
        <f t="shared" si="2"/>
        <v/>
      </c>
    </row>
    <row r="918" ht="30.0" hidden="1" customHeight="1">
      <c r="G918" s="3"/>
      <c r="H918" s="10"/>
      <c r="I918" s="10"/>
      <c r="J918" s="40" t="str">
        <f t="shared" si="1"/>
        <v/>
      </c>
      <c r="M918" s="10"/>
      <c r="N918" s="40" t="str">
        <f t="shared" si="2"/>
        <v/>
      </c>
    </row>
    <row r="919" ht="30.0" hidden="1" customHeight="1">
      <c r="G919" s="3"/>
      <c r="H919" s="10"/>
      <c r="I919" s="10"/>
      <c r="J919" s="40" t="str">
        <f t="shared" si="1"/>
        <v/>
      </c>
      <c r="M919" s="10"/>
      <c r="N919" s="40" t="str">
        <f t="shared" si="2"/>
        <v/>
      </c>
    </row>
    <row r="920" ht="30.0" hidden="1" customHeight="1">
      <c r="G920" s="3"/>
      <c r="H920" s="10"/>
      <c r="I920" s="10"/>
      <c r="J920" s="40" t="str">
        <f t="shared" si="1"/>
        <v/>
      </c>
      <c r="M920" s="10"/>
      <c r="N920" s="40" t="str">
        <f t="shared" si="2"/>
        <v/>
      </c>
    </row>
    <row r="921" ht="30.0" hidden="1" customHeight="1">
      <c r="G921" s="3"/>
      <c r="H921" s="10"/>
      <c r="I921" s="10"/>
      <c r="J921" s="40" t="str">
        <f t="shared" si="1"/>
        <v/>
      </c>
      <c r="M921" s="10"/>
      <c r="N921" s="40" t="str">
        <f t="shared" si="2"/>
        <v/>
      </c>
    </row>
    <row r="922" ht="30.0" hidden="1" customHeight="1">
      <c r="G922" s="3"/>
      <c r="H922" s="10"/>
      <c r="I922" s="10"/>
      <c r="J922" s="40" t="str">
        <f t="shared" si="1"/>
        <v/>
      </c>
      <c r="M922" s="10"/>
      <c r="N922" s="40" t="str">
        <f t="shared" si="2"/>
        <v/>
      </c>
    </row>
    <row r="923" ht="30.0" hidden="1" customHeight="1">
      <c r="G923" s="3"/>
      <c r="H923" s="10"/>
      <c r="I923" s="10"/>
      <c r="J923" s="40" t="str">
        <f t="shared" si="1"/>
        <v/>
      </c>
      <c r="M923" s="10"/>
      <c r="N923" s="40" t="str">
        <f t="shared" si="2"/>
        <v/>
      </c>
    </row>
    <row r="924" ht="30.0" hidden="1" customHeight="1">
      <c r="G924" s="3"/>
      <c r="H924" s="10"/>
      <c r="I924" s="10"/>
      <c r="J924" s="40" t="str">
        <f t="shared" si="1"/>
        <v/>
      </c>
      <c r="M924" s="10"/>
      <c r="N924" s="40" t="str">
        <f t="shared" si="2"/>
        <v/>
      </c>
    </row>
    <row r="925" ht="30.0" hidden="1" customHeight="1">
      <c r="G925" s="3"/>
      <c r="H925" s="10"/>
      <c r="I925" s="10"/>
      <c r="J925" s="40" t="str">
        <f t="shared" si="1"/>
        <v/>
      </c>
      <c r="M925" s="10"/>
      <c r="N925" s="40" t="str">
        <f t="shared" si="2"/>
        <v/>
      </c>
    </row>
    <row r="926" ht="30.0" hidden="1" customHeight="1">
      <c r="G926" s="3"/>
      <c r="H926" s="10"/>
      <c r="I926" s="10"/>
      <c r="J926" s="40" t="str">
        <f t="shared" si="1"/>
        <v/>
      </c>
      <c r="M926" s="10"/>
      <c r="N926" s="40" t="str">
        <f t="shared" si="2"/>
        <v/>
      </c>
    </row>
    <row r="927" ht="30.0" hidden="1" customHeight="1">
      <c r="G927" s="3"/>
      <c r="H927" s="10"/>
      <c r="I927" s="10"/>
      <c r="J927" s="40" t="str">
        <f t="shared" si="1"/>
        <v/>
      </c>
      <c r="M927" s="10"/>
      <c r="N927" s="40" t="str">
        <f t="shared" si="2"/>
        <v/>
      </c>
    </row>
    <row r="928" ht="30.0" hidden="1" customHeight="1">
      <c r="G928" s="3"/>
      <c r="H928" s="10"/>
      <c r="I928" s="10"/>
      <c r="J928" s="40" t="str">
        <f t="shared" si="1"/>
        <v/>
      </c>
      <c r="M928" s="10"/>
      <c r="N928" s="40" t="str">
        <f t="shared" si="2"/>
        <v/>
      </c>
    </row>
    <row r="929" ht="30.0" hidden="1" customHeight="1">
      <c r="G929" s="3"/>
      <c r="H929" s="10"/>
      <c r="I929" s="10"/>
      <c r="J929" s="40" t="str">
        <f t="shared" si="1"/>
        <v/>
      </c>
      <c r="M929" s="10"/>
      <c r="N929" s="40" t="str">
        <f t="shared" si="2"/>
        <v/>
      </c>
    </row>
    <row r="930" ht="30.0" hidden="1" customHeight="1">
      <c r="G930" s="3"/>
      <c r="H930" s="10"/>
      <c r="I930" s="10"/>
      <c r="J930" s="40" t="str">
        <f t="shared" si="1"/>
        <v/>
      </c>
      <c r="M930" s="10"/>
      <c r="N930" s="40" t="str">
        <f t="shared" si="2"/>
        <v/>
      </c>
    </row>
    <row r="931" ht="30.0" hidden="1" customHeight="1">
      <c r="G931" s="3"/>
      <c r="H931" s="10"/>
      <c r="I931" s="10"/>
      <c r="J931" s="40" t="str">
        <f t="shared" si="1"/>
        <v/>
      </c>
      <c r="M931" s="10"/>
      <c r="N931" s="40" t="str">
        <f t="shared" si="2"/>
        <v/>
      </c>
    </row>
    <row r="932" ht="30.0" hidden="1" customHeight="1">
      <c r="G932" s="3"/>
      <c r="H932" s="10"/>
      <c r="I932" s="10"/>
      <c r="J932" s="40" t="str">
        <f t="shared" si="1"/>
        <v/>
      </c>
      <c r="M932" s="10"/>
      <c r="N932" s="40" t="str">
        <f t="shared" si="2"/>
        <v/>
      </c>
    </row>
    <row r="933" ht="30.0" hidden="1" customHeight="1">
      <c r="G933" s="3"/>
      <c r="H933" s="10"/>
      <c r="I933" s="10"/>
      <c r="J933" s="40" t="str">
        <f t="shared" si="1"/>
        <v/>
      </c>
      <c r="M933" s="10"/>
      <c r="N933" s="40" t="str">
        <f t="shared" si="2"/>
        <v/>
      </c>
    </row>
    <row r="934" ht="30.0" hidden="1" customHeight="1">
      <c r="G934" s="3"/>
      <c r="H934" s="10"/>
      <c r="I934" s="10"/>
      <c r="J934" s="40" t="str">
        <f t="shared" si="1"/>
        <v/>
      </c>
      <c r="M934" s="10"/>
      <c r="N934" s="40" t="str">
        <f t="shared" si="2"/>
        <v/>
      </c>
    </row>
    <row r="935" ht="30.0" hidden="1" customHeight="1">
      <c r="G935" s="3"/>
      <c r="H935" s="10"/>
      <c r="I935" s="10"/>
      <c r="J935" s="40" t="str">
        <f t="shared" si="1"/>
        <v/>
      </c>
      <c r="M935" s="10"/>
      <c r="N935" s="40" t="str">
        <f t="shared" si="2"/>
        <v/>
      </c>
    </row>
    <row r="936" ht="30.0" hidden="1" customHeight="1">
      <c r="G936" s="3"/>
      <c r="H936" s="10"/>
      <c r="I936" s="10"/>
      <c r="J936" s="40" t="str">
        <f t="shared" si="1"/>
        <v/>
      </c>
      <c r="M936" s="10"/>
      <c r="N936" s="40" t="str">
        <f t="shared" si="2"/>
        <v/>
      </c>
    </row>
    <row r="937" ht="30.0" hidden="1" customHeight="1">
      <c r="G937" s="3"/>
      <c r="H937" s="10"/>
      <c r="I937" s="10"/>
      <c r="J937" s="40" t="str">
        <f t="shared" si="1"/>
        <v/>
      </c>
      <c r="M937" s="10"/>
      <c r="N937" s="40" t="str">
        <f t="shared" si="2"/>
        <v/>
      </c>
    </row>
    <row r="938" ht="30.0" hidden="1" customHeight="1">
      <c r="G938" s="3"/>
      <c r="H938" s="10"/>
      <c r="I938" s="10"/>
      <c r="J938" s="40" t="str">
        <f t="shared" si="1"/>
        <v/>
      </c>
      <c r="M938" s="10"/>
      <c r="N938" s="40" t="str">
        <f t="shared" si="2"/>
        <v/>
      </c>
    </row>
    <row r="939" ht="30.0" hidden="1" customHeight="1">
      <c r="G939" s="3"/>
      <c r="H939" s="10"/>
      <c r="I939" s="10"/>
      <c r="J939" s="40" t="str">
        <f t="shared" si="1"/>
        <v/>
      </c>
      <c r="M939" s="10"/>
      <c r="N939" s="40" t="str">
        <f t="shared" si="2"/>
        <v/>
      </c>
    </row>
    <row r="940" ht="30.0" hidden="1" customHeight="1">
      <c r="G940" s="3"/>
      <c r="H940" s="10"/>
      <c r="I940" s="10"/>
      <c r="J940" s="40" t="str">
        <f t="shared" si="1"/>
        <v/>
      </c>
      <c r="M940" s="10"/>
      <c r="N940" s="40" t="str">
        <f t="shared" si="2"/>
        <v/>
      </c>
    </row>
    <row r="941" ht="30.0" hidden="1" customHeight="1">
      <c r="G941" s="3"/>
      <c r="H941" s="10"/>
      <c r="I941" s="10"/>
      <c r="J941" s="40" t="str">
        <f t="shared" si="1"/>
        <v/>
      </c>
      <c r="M941" s="10"/>
      <c r="N941" s="40" t="str">
        <f t="shared" si="2"/>
        <v/>
      </c>
    </row>
    <row r="942" ht="30.0" hidden="1" customHeight="1">
      <c r="G942" s="3"/>
      <c r="H942" s="10"/>
      <c r="I942" s="10"/>
      <c r="J942" s="40" t="str">
        <f t="shared" si="1"/>
        <v/>
      </c>
      <c r="M942" s="10"/>
      <c r="N942" s="40" t="str">
        <f t="shared" si="2"/>
        <v/>
      </c>
    </row>
    <row r="943" ht="30.0" hidden="1" customHeight="1">
      <c r="G943" s="3"/>
      <c r="H943" s="10"/>
      <c r="I943" s="10"/>
      <c r="J943" s="40" t="str">
        <f t="shared" si="1"/>
        <v/>
      </c>
      <c r="M943" s="10"/>
      <c r="N943" s="40" t="str">
        <f t="shared" si="2"/>
        <v/>
      </c>
    </row>
    <row r="944" ht="30.0" hidden="1" customHeight="1">
      <c r="G944" s="3"/>
      <c r="H944" s="10"/>
      <c r="I944" s="10"/>
      <c r="J944" s="40" t="str">
        <f t="shared" si="1"/>
        <v/>
      </c>
      <c r="M944" s="10"/>
      <c r="N944" s="40" t="str">
        <f t="shared" si="2"/>
        <v/>
      </c>
    </row>
    <row r="945" ht="30.0" hidden="1" customHeight="1">
      <c r="G945" s="3"/>
      <c r="H945" s="10"/>
      <c r="I945" s="10"/>
      <c r="J945" s="40" t="str">
        <f t="shared" si="1"/>
        <v/>
      </c>
      <c r="M945" s="10"/>
      <c r="N945" s="40" t="str">
        <f t="shared" si="2"/>
        <v/>
      </c>
    </row>
    <row r="946" ht="30.0" hidden="1" customHeight="1">
      <c r="G946" s="3"/>
      <c r="H946" s="10"/>
      <c r="I946" s="10"/>
      <c r="J946" s="40" t="str">
        <f t="shared" si="1"/>
        <v/>
      </c>
      <c r="M946" s="10"/>
      <c r="N946" s="40" t="str">
        <f t="shared" si="2"/>
        <v/>
      </c>
    </row>
    <row r="947" ht="30.0" hidden="1" customHeight="1">
      <c r="G947" s="3"/>
      <c r="H947" s="10"/>
      <c r="I947" s="10"/>
      <c r="J947" s="40" t="str">
        <f t="shared" si="1"/>
        <v/>
      </c>
      <c r="M947" s="10"/>
      <c r="N947" s="40" t="str">
        <f t="shared" si="2"/>
        <v/>
      </c>
    </row>
    <row r="948" ht="30.0" hidden="1" customHeight="1">
      <c r="G948" s="3"/>
      <c r="H948" s="10"/>
      <c r="I948" s="10"/>
      <c r="J948" s="40" t="str">
        <f t="shared" si="1"/>
        <v/>
      </c>
      <c r="M948" s="10"/>
      <c r="N948" s="40" t="str">
        <f t="shared" si="2"/>
        <v/>
      </c>
    </row>
    <row r="949" ht="30.0" hidden="1" customHeight="1">
      <c r="G949" s="3"/>
      <c r="H949" s="10"/>
      <c r="I949" s="10"/>
      <c r="J949" s="40" t="str">
        <f t="shared" si="1"/>
        <v/>
      </c>
      <c r="M949" s="10"/>
      <c r="N949" s="40" t="str">
        <f t="shared" si="2"/>
        <v/>
      </c>
    </row>
    <row r="950" ht="30.0" hidden="1" customHeight="1">
      <c r="G950" s="3"/>
      <c r="H950" s="10"/>
      <c r="I950" s="10"/>
      <c r="J950" s="40" t="str">
        <f t="shared" si="1"/>
        <v/>
      </c>
      <c r="M950" s="10"/>
      <c r="N950" s="40" t="str">
        <f t="shared" si="2"/>
        <v/>
      </c>
    </row>
    <row r="951" ht="30.0" hidden="1" customHeight="1">
      <c r="G951" s="3"/>
      <c r="H951" s="10"/>
      <c r="I951" s="10"/>
      <c r="J951" s="40" t="str">
        <f t="shared" si="1"/>
        <v/>
      </c>
      <c r="M951" s="10"/>
      <c r="N951" s="40" t="str">
        <f t="shared" si="2"/>
        <v/>
      </c>
    </row>
    <row r="952" ht="30.0" hidden="1" customHeight="1">
      <c r="G952" s="3"/>
      <c r="H952" s="10"/>
      <c r="I952" s="10"/>
      <c r="J952" s="40" t="str">
        <f t="shared" si="1"/>
        <v/>
      </c>
      <c r="M952" s="10"/>
      <c r="N952" s="40" t="str">
        <f t="shared" si="2"/>
        <v/>
      </c>
    </row>
    <row r="953" ht="30.0" hidden="1" customHeight="1">
      <c r="G953" s="3"/>
      <c r="H953" s="10"/>
      <c r="I953" s="10"/>
      <c r="J953" s="40" t="str">
        <f t="shared" si="1"/>
        <v/>
      </c>
      <c r="M953" s="10"/>
      <c r="N953" s="40" t="str">
        <f t="shared" si="2"/>
        <v/>
      </c>
    </row>
    <row r="954" ht="30.0" hidden="1" customHeight="1">
      <c r="G954" s="3"/>
      <c r="H954" s="10"/>
      <c r="I954" s="10"/>
      <c r="J954" s="40" t="str">
        <f t="shared" si="1"/>
        <v/>
      </c>
      <c r="M954" s="10"/>
      <c r="N954" s="40" t="str">
        <f t="shared" si="2"/>
        <v/>
      </c>
    </row>
    <row r="955" ht="30.0" hidden="1" customHeight="1">
      <c r="G955" s="3"/>
      <c r="H955" s="10"/>
      <c r="I955" s="10"/>
      <c r="J955" s="40" t="str">
        <f t="shared" si="1"/>
        <v/>
      </c>
      <c r="M955" s="10"/>
      <c r="N955" s="40" t="str">
        <f t="shared" si="2"/>
        <v/>
      </c>
    </row>
    <row r="956" ht="30.0" hidden="1" customHeight="1">
      <c r="G956" s="3"/>
      <c r="H956" s="10"/>
      <c r="I956" s="10"/>
      <c r="J956" s="40" t="str">
        <f t="shared" si="1"/>
        <v/>
      </c>
      <c r="M956" s="10"/>
      <c r="N956" s="40" t="str">
        <f t="shared" si="2"/>
        <v/>
      </c>
    </row>
    <row r="957" ht="30.0" hidden="1" customHeight="1">
      <c r="G957" s="3"/>
      <c r="H957" s="10"/>
      <c r="I957" s="10"/>
      <c r="J957" s="40" t="str">
        <f t="shared" si="1"/>
        <v/>
      </c>
      <c r="M957" s="10"/>
      <c r="N957" s="40" t="str">
        <f t="shared" si="2"/>
        <v/>
      </c>
    </row>
    <row r="958" ht="30.0" hidden="1" customHeight="1">
      <c r="G958" s="3"/>
      <c r="H958" s="10"/>
      <c r="I958" s="10"/>
      <c r="J958" s="40" t="str">
        <f t="shared" si="1"/>
        <v/>
      </c>
      <c r="M958" s="10"/>
      <c r="N958" s="40" t="str">
        <f t="shared" si="2"/>
        <v/>
      </c>
    </row>
    <row r="959" ht="30.0" hidden="1" customHeight="1">
      <c r="G959" s="3"/>
      <c r="H959" s="10"/>
      <c r="I959" s="10"/>
      <c r="J959" s="40" t="str">
        <f t="shared" si="1"/>
        <v/>
      </c>
      <c r="M959" s="10"/>
      <c r="N959" s="40" t="str">
        <f t="shared" si="2"/>
        <v/>
      </c>
    </row>
    <row r="960" ht="30.0" hidden="1" customHeight="1">
      <c r="G960" s="3"/>
      <c r="H960" s="10"/>
      <c r="I960" s="10"/>
      <c r="J960" s="40" t="str">
        <f t="shared" si="1"/>
        <v/>
      </c>
      <c r="M960" s="10"/>
      <c r="N960" s="40" t="str">
        <f t="shared" si="2"/>
        <v/>
      </c>
    </row>
    <row r="961" ht="30.0" hidden="1" customHeight="1">
      <c r="G961" s="3"/>
      <c r="H961" s="10"/>
      <c r="I961" s="10"/>
      <c r="J961" s="40" t="str">
        <f t="shared" si="1"/>
        <v/>
      </c>
      <c r="M961" s="10"/>
      <c r="N961" s="40" t="str">
        <f t="shared" si="2"/>
        <v/>
      </c>
    </row>
    <row r="962" ht="30.0" hidden="1" customHeight="1">
      <c r="G962" s="3"/>
      <c r="H962" s="10"/>
      <c r="I962" s="10"/>
      <c r="J962" s="40" t="str">
        <f t="shared" si="1"/>
        <v/>
      </c>
      <c r="M962" s="10"/>
      <c r="N962" s="40" t="str">
        <f t="shared" si="2"/>
        <v/>
      </c>
    </row>
    <row r="963" ht="30.0" hidden="1" customHeight="1">
      <c r="G963" s="3"/>
      <c r="H963" s="10"/>
      <c r="I963" s="10"/>
      <c r="J963" s="40" t="str">
        <f t="shared" si="1"/>
        <v/>
      </c>
      <c r="M963" s="10"/>
      <c r="N963" s="40" t="str">
        <f t="shared" si="2"/>
        <v/>
      </c>
    </row>
    <row r="964" ht="30.0" hidden="1" customHeight="1">
      <c r="G964" s="3"/>
      <c r="H964" s="10"/>
      <c r="I964" s="10"/>
      <c r="J964" s="40" t="str">
        <f t="shared" si="1"/>
        <v/>
      </c>
      <c r="M964" s="10"/>
      <c r="N964" s="40" t="str">
        <f t="shared" si="2"/>
        <v/>
      </c>
    </row>
    <row r="965" ht="30.0" hidden="1" customHeight="1">
      <c r="G965" s="3"/>
      <c r="H965" s="10"/>
      <c r="I965" s="10"/>
      <c r="J965" s="40" t="str">
        <f t="shared" si="1"/>
        <v/>
      </c>
      <c r="M965" s="10"/>
      <c r="N965" s="40" t="str">
        <f t="shared" si="2"/>
        <v/>
      </c>
    </row>
    <row r="966" ht="30.0" hidden="1" customHeight="1">
      <c r="G966" s="3"/>
      <c r="H966" s="10"/>
      <c r="I966" s="10"/>
      <c r="J966" s="40" t="str">
        <f t="shared" si="1"/>
        <v/>
      </c>
      <c r="M966" s="10"/>
      <c r="N966" s="40" t="str">
        <f t="shared" si="2"/>
        <v/>
      </c>
    </row>
    <row r="967" ht="30.0" hidden="1" customHeight="1">
      <c r="G967" s="3"/>
      <c r="H967" s="10"/>
      <c r="I967" s="10"/>
      <c r="J967" s="40" t="str">
        <f t="shared" si="1"/>
        <v/>
      </c>
      <c r="M967" s="10"/>
      <c r="N967" s="40" t="str">
        <f t="shared" si="2"/>
        <v/>
      </c>
    </row>
    <row r="968" ht="30.0" hidden="1" customHeight="1">
      <c r="G968" s="3"/>
      <c r="H968" s="10"/>
      <c r="I968" s="10"/>
      <c r="J968" s="40" t="str">
        <f t="shared" si="1"/>
        <v/>
      </c>
      <c r="M968" s="10"/>
      <c r="N968" s="40" t="str">
        <f t="shared" si="2"/>
        <v/>
      </c>
    </row>
    <row r="969" ht="30.0" hidden="1" customHeight="1">
      <c r="G969" s="3"/>
      <c r="H969" s="10"/>
      <c r="I969" s="10"/>
      <c r="J969" s="40" t="str">
        <f t="shared" si="1"/>
        <v/>
      </c>
      <c r="M969" s="10"/>
      <c r="N969" s="40" t="str">
        <f t="shared" si="2"/>
        <v/>
      </c>
    </row>
    <row r="970" ht="30.0" hidden="1" customHeight="1">
      <c r="G970" s="3"/>
      <c r="H970" s="10"/>
      <c r="I970" s="10"/>
      <c r="J970" s="40" t="str">
        <f t="shared" si="1"/>
        <v/>
      </c>
      <c r="M970" s="10"/>
      <c r="N970" s="40" t="str">
        <f t="shared" si="2"/>
        <v/>
      </c>
    </row>
    <row r="971" ht="30.0" hidden="1" customHeight="1">
      <c r="G971" s="3"/>
      <c r="H971" s="10"/>
      <c r="I971" s="10"/>
      <c r="J971" s="40" t="str">
        <f t="shared" si="1"/>
        <v/>
      </c>
      <c r="M971" s="10"/>
      <c r="N971" s="40" t="str">
        <f t="shared" si="2"/>
        <v/>
      </c>
    </row>
    <row r="972" ht="30.0" hidden="1" customHeight="1">
      <c r="G972" s="3"/>
      <c r="H972" s="10"/>
      <c r="I972" s="10"/>
      <c r="J972" s="40" t="str">
        <f t="shared" si="1"/>
        <v/>
      </c>
      <c r="M972" s="10"/>
      <c r="N972" s="40" t="str">
        <f t="shared" si="2"/>
        <v/>
      </c>
    </row>
    <row r="973" ht="30.0" hidden="1" customHeight="1">
      <c r="G973" s="3"/>
      <c r="H973" s="10"/>
      <c r="I973" s="10"/>
      <c r="J973" s="40" t="str">
        <f t="shared" si="1"/>
        <v/>
      </c>
      <c r="M973" s="10"/>
      <c r="N973" s="40" t="str">
        <f t="shared" si="2"/>
        <v/>
      </c>
    </row>
    <row r="974" ht="30.0" hidden="1" customHeight="1">
      <c r="G974" s="3"/>
      <c r="H974" s="10"/>
      <c r="I974" s="10"/>
      <c r="J974" s="40" t="str">
        <f t="shared" si="1"/>
        <v/>
      </c>
      <c r="M974" s="10"/>
      <c r="N974" s="40" t="str">
        <f t="shared" si="2"/>
        <v/>
      </c>
    </row>
    <row r="975" ht="30.0" hidden="1" customHeight="1">
      <c r="G975" s="3"/>
      <c r="H975" s="10"/>
      <c r="I975" s="10"/>
      <c r="J975" s="40" t="str">
        <f t="shared" si="1"/>
        <v/>
      </c>
      <c r="M975" s="10"/>
      <c r="N975" s="40" t="str">
        <f t="shared" si="2"/>
        <v/>
      </c>
    </row>
    <row r="976" ht="30.0" hidden="1" customHeight="1">
      <c r="G976" s="3"/>
      <c r="H976" s="10"/>
      <c r="I976" s="10"/>
      <c r="J976" s="40" t="str">
        <f t="shared" si="1"/>
        <v/>
      </c>
      <c r="M976" s="10"/>
      <c r="N976" s="40" t="str">
        <f t="shared" si="2"/>
        <v/>
      </c>
    </row>
    <row r="977" ht="30.0" hidden="1" customHeight="1">
      <c r="G977" s="3"/>
      <c r="H977" s="10"/>
      <c r="I977" s="10"/>
      <c r="J977" s="40" t="str">
        <f t="shared" si="1"/>
        <v/>
      </c>
      <c r="M977" s="10"/>
      <c r="N977" s="40" t="str">
        <f t="shared" si="2"/>
        <v/>
      </c>
    </row>
    <row r="978" ht="30.0" hidden="1" customHeight="1">
      <c r="G978" s="3"/>
      <c r="H978" s="10"/>
      <c r="I978" s="10"/>
      <c r="J978" s="40" t="str">
        <f t="shared" si="1"/>
        <v/>
      </c>
      <c r="M978" s="10"/>
      <c r="N978" s="40" t="str">
        <f t="shared" si="2"/>
        <v/>
      </c>
    </row>
    <row r="979" ht="30.0" hidden="1" customHeight="1">
      <c r="G979" s="3"/>
      <c r="H979" s="10"/>
      <c r="I979" s="10"/>
      <c r="J979" s="40" t="str">
        <f t="shared" si="1"/>
        <v/>
      </c>
      <c r="M979" s="10"/>
      <c r="N979" s="40" t="str">
        <f t="shared" si="2"/>
        <v/>
      </c>
    </row>
    <row r="980" ht="30.0" hidden="1" customHeight="1">
      <c r="G980" s="3"/>
      <c r="H980" s="10"/>
      <c r="I980" s="10"/>
      <c r="J980" s="40" t="str">
        <f t="shared" si="1"/>
        <v/>
      </c>
      <c r="M980" s="10"/>
      <c r="N980" s="40" t="str">
        <f t="shared" si="2"/>
        <v/>
      </c>
    </row>
    <row r="981" ht="30.0" hidden="1" customHeight="1">
      <c r="G981" s="3"/>
      <c r="H981" s="10"/>
      <c r="I981" s="10"/>
      <c r="J981" s="40" t="str">
        <f t="shared" si="1"/>
        <v/>
      </c>
      <c r="M981" s="10"/>
      <c r="N981" s="40" t="str">
        <f t="shared" si="2"/>
        <v/>
      </c>
    </row>
    <row r="982" ht="30.0" hidden="1" customHeight="1">
      <c r="G982" s="3"/>
      <c r="H982" s="10"/>
      <c r="I982" s="10"/>
      <c r="J982" s="40" t="str">
        <f t="shared" si="1"/>
        <v/>
      </c>
      <c r="M982" s="10"/>
      <c r="N982" s="40" t="str">
        <f t="shared" si="2"/>
        <v/>
      </c>
    </row>
    <row r="983" ht="30.0" hidden="1" customHeight="1">
      <c r="G983" s="3"/>
      <c r="H983" s="10"/>
      <c r="I983" s="10"/>
      <c r="J983" s="40" t="str">
        <f t="shared" si="1"/>
        <v/>
      </c>
      <c r="M983" s="10"/>
      <c r="N983" s="40" t="str">
        <f t="shared" si="2"/>
        <v/>
      </c>
    </row>
    <row r="984" ht="30.0" hidden="1" customHeight="1">
      <c r="G984" s="3"/>
      <c r="H984" s="10"/>
      <c r="I984" s="10"/>
      <c r="J984" s="40" t="str">
        <f t="shared" si="1"/>
        <v/>
      </c>
      <c r="M984" s="10"/>
      <c r="N984" s="40" t="str">
        <f t="shared" si="2"/>
        <v/>
      </c>
    </row>
    <row r="985" ht="30.0" hidden="1" customHeight="1">
      <c r="G985" s="3"/>
      <c r="H985" s="10"/>
      <c r="I985" s="10"/>
      <c r="J985" s="40" t="str">
        <f t="shared" si="1"/>
        <v/>
      </c>
      <c r="M985" s="10"/>
      <c r="N985" s="40" t="str">
        <f t="shared" si="2"/>
        <v/>
      </c>
    </row>
    <row r="986" ht="30.0" hidden="1" customHeight="1">
      <c r="G986" s="3"/>
      <c r="H986" s="10"/>
      <c r="I986" s="10"/>
      <c r="J986" s="40" t="str">
        <f t="shared" si="1"/>
        <v/>
      </c>
      <c r="M986" s="10"/>
      <c r="N986" s="40" t="str">
        <f t="shared" si="2"/>
        <v/>
      </c>
    </row>
    <row r="987" ht="30.0" hidden="1" customHeight="1">
      <c r="G987" s="3"/>
      <c r="H987" s="10"/>
      <c r="I987" s="10"/>
      <c r="J987" s="40" t="str">
        <f t="shared" si="1"/>
        <v/>
      </c>
      <c r="M987" s="10"/>
      <c r="N987" s="40" t="str">
        <f t="shared" si="2"/>
        <v/>
      </c>
    </row>
    <row r="988" ht="30.0" hidden="1" customHeight="1">
      <c r="G988" s="3"/>
      <c r="H988" s="10"/>
      <c r="I988" s="10"/>
      <c r="J988" s="40" t="str">
        <f t="shared" si="1"/>
        <v/>
      </c>
      <c r="M988" s="10"/>
      <c r="N988" s="40" t="str">
        <f t="shared" si="2"/>
        <v/>
      </c>
    </row>
    <row r="989" ht="30.0" hidden="1" customHeight="1">
      <c r="G989" s="3"/>
      <c r="H989" s="10"/>
      <c r="I989" s="10"/>
      <c r="J989" s="40" t="str">
        <f t="shared" si="1"/>
        <v/>
      </c>
      <c r="M989" s="10"/>
      <c r="N989" s="40" t="str">
        <f t="shared" si="2"/>
        <v/>
      </c>
    </row>
    <row r="990" ht="30.0" hidden="1" customHeight="1">
      <c r="G990" s="3"/>
      <c r="H990" s="10"/>
      <c r="I990" s="10"/>
      <c r="J990" s="40" t="str">
        <f t="shared" si="1"/>
        <v/>
      </c>
      <c r="M990" s="10"/>
      <c r="N990" s="40" t="str">
        <f t="shared" si="2"/>
        <v/>
      </c>
    </row>
    <row r="991" ht="30.0" hidden="1" customHeight="1">
      <c r="G991" s="3"/>
      <c r="H991" s="10"/>
      <c r="I991" s="10"/>
      <c r="J991" s="40" t="str">
        <f t="shared" si="1"/>
        <v/>
      </c>
      <c r="M991" s="10"/>
      <c r="N991" s="40" t="str">
        <f t="shared" si="2"/>
        <v/>
      </c>
    </row>
    <row r="992" ht="30.0" hidden="1" customHeight="1">
      <c r="G992" s="3"/>
      <c r="H992" s="10"/>
      <c r="I992" s="10"/>
      <c r="J992" s="40" t="str">
        <f t="shared" si="1"/>
        <v/>
      </c>
      <c r="M992" s="10"/>
      <c r="N992" s="40" t="str">
        <f t="shared" si="2"/>
        <v/>
      </c>
    </row>
    <row r="993" ht="30.0" hidden="1" customHeight="1">
      <c r="G993" s="3"/>
      <c r="H993" s="10"/>
      <c r="I993" s="10"/>
      <c r="J993" s="40" t="str">
        <f t="shared" si="1"/>
        <v/>
      </c>
      <c r="M993" s="10"/>
      <c r="N993" s="40" t="str">
        <f t="shared" si="2"/>
        <v/>
      </c>
    </row>
    <row r="994" ht="30.0" hidden="1" customHeight="1">
      <c r="G994" s="3"/>
      <c r="H994" s="10"/>
      <c r="I994" s="10"/>
      <c r="J994" s="40" t="str">
        <f t="shared" si="1"/>
        <v/>
      </c>
      <c r="M994" s="10"/>
      <c r="N994" s="40" t="str">
        <f t="shared" si="2"/>
        <v/>
      </c>
    </row>
    <row r="995"/>
    <row r="996"/>
    <row r="997"/>
    <row r="998"/>
  </sheetData>
  <autoFilter ref="$C$1:$N$994">
    <filterColumn colId="11">
      <filters>
        <filter val="Sim"/>
      </filters>
    </filterColumn>
  </autoFilter>
  <mergeCells count="4">
    <mergeCell ref="A1:B1"/>
    <mergeCell ref="C1:N1"/>
    <mergeCell ref="A2:B2"/>
    <mergeCell ref="A3:B3"/>
  </mergeCells>
  <conditionalFormatting sqref="J5:J994">
    <cfRule type="cellIs" dxfId="0" priority="1" operator="equal">
      <formula>"Diferente"</formula>
    </cfRule>
  </conditionalFormatting>
  <conditionalFormatting sqref="J5:J994">
    <cfRule type="cellIs" dxfId="1" priority="2" operator="equal">
      <formula>"Igual"</formula>
    </cfRule>
  </conditionalFormatting>
  <conditionalFormatting sqref="A4:Z4">
    <cfRule type="notContainsBlanks" dxfId="2" priority="3">
      <formula>LEN(TRIM(A4))&gt;0</formula>
    </cfRule>
  </conditionalFormatting>
  <conditionalFormatting sqref="N5:N994">
    <cfRule type="cellIs" dxfId="1" priority="4" operator="equal">
      <formula>"Sim"</formula>
    </cfRule>
  </conditionalFormatting>
  <conditionalFormatting sqref="N5:N994">
    <cfRule type="cellIs" dxfId="0" priority="5" operator="equal">
      <formula>"Não"</formula>
    </cfRule>
  </conditionalFormatting>
  <dataValidations>
    <dataValidation type="list" allowBlank="1" showErrorMessage="1" sqref="H5:I303 H305:I994">
      <formula1>"Sim,Não"</formula1>
    </dataValidation>
    <dataValidation type="list" allowBlank="1" showErrorMessage="1" sqref="M5:M303 M305:M994">
      <formula1>"LLM 1,LLM 2,Ambas,Nenhuma"</formula1>
    </dataValidation>
  </dataValidations>
  <hyperlinks>
    <hyperlink r:id="rId1" ref="E5"/>
    <hyperlink r:id="rId2" ref="E6"/>
    <hyperlink r:id="rId3" ref="E7"/>
    <hyperlink r:id="rId4" ref="E8"/>
    <hyperlink r:id="rId5" ref="E16"/>
    <hyperlink r:id="rId6" ref="E23"/>
    <hyperlink r:id="rId7" ref="E117"/>
  </hyperlinks>
  <printOptions gridLines="1" horizontalCentered="1"/>
  <pageMargins bottom="0.75" footer="0.0" header="0.0" left="0.7" right="0.7" top="0.75"/>
  <pageSetup fitToHeight="0" paperSize="9" cellComments="atEnd" orientation="landscape" pageOrder="overThenDown"/>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7.38"/>
    <col customWidth="1" min="3" max="3" width="27.5"/>
    <col customWidth="1" min="4" max="4" width="29.5"/>
  </cols>
  <sheetData>
    <row r="3">
      <c r="B3" s="66" t="s">
        <v>146</v>
      </c>
      <c r="C3" s="66" t="s">
        <v>1351</v>
      </c>
      <c r="D3" s="66" t="s">
        <v>1352</v>
      </c>
    </row>
    <row r="4">
      <c r="B4" s="67" t="s">
        <v>34</v>
      </c>
      <c r="C4" s="67">
        <v>44.0</v>
      </c>
      <c r="D4" s="67">
        <v>13.0</v>
      </c>
    </row>
    <row r="5">
      <c r="B5" s="67" t="s">
        <v>37</v>
      </c>
      <c r="C5" s="67">
        <v>28.0</v>
      </c>
      <c r="D5" s="67">
        <v>82.0</v>
      </c>
    </row>
    <row r="6">
      <c r="B6" s="67" t="s">
        <v>31</v>
      </c>
      <c r="C6" s="67">
        <v>231.0</v>
      </c>
      <c r="D6" s="67">
        <v>11.0</v>
      </c>
    </row>
    <row r="7">
      <c r="B7" s="67" t="s">
        <v>1353</v>
      </c>
      <c r="C7" s="68"/>
      <c r="D7" s="68"/>
    </row>
    <row r="8">
      <c r="B8" s="68"/>
      <c r="C8" s="68"/>
      <c r="D8" s="68"/>
    </row>
    <row r="9">
      <c r="B9" s="66" t="s">
        <v>1354</v>
      </c>
      <c r="C9" s="69">
        <f t="shared" ref="C9:D9" si="1">SUM(C4:C8)</f>
        <v>303</v>
      </c>
      <c r="D9" s="69">
        <f t="shared" si="1"/>
        <v>106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35.25"/>
    <col customWidth="1" min="3" max="3" width="18.0"/>
    <col customWidth="1" min="4" max="4" width="16.63"/>
    <col customWidth="1" min="5" max="5" width="11.25"/>
    <col customWidth="1" min="6" max="6" width="10.88"/>
    <col customWidth="1" min="7" max="7" width="17.38"/>
  </cols>
  <sheetData>
    <row r="1">
      <c r="A1" s="70" t="s">
        <v>127</v>
      </c>
      <c r="C1" s="70" t="s">
        <v>142</v>
      </c>
      <c r="E1" s="70" t="s">
        <v>144</v>
      </c>
    </row>
    <row r="2">
      <c r="A2" s="71" t="s">
        <v>1355</v>
      </c>
      <c r="C2" s="72" t="s">
        <v>1356</v>
      </c>
      <c r="D2" s="73">
        <v>5.0</v>
      </c>
      <c r="E2" s="72" t="s">
        <v>1356</v>
      </c>
      <c r="F2" s="74">
        <v>45779.0</v>
      </c>
      <c r="G2" s="73"/>
    </row>
    <row r="3" ht="51.0" customHeight="1">
      <c r="C3" s="75" t="s">
        <v>1357</v>
      </c>
      <c r="D3" s="76" t="s">
        <v>1358</v>
      </c>
    </row>
    <row r="4">
      <c r="C4" s="75" t="s">
        <v>1359</v>
      </c>
      <c r="D4" s="76" t="s">
        <v>1360</v>
      </c>
      <c r="G4" s="77"/>
    </row>
    <row r="5">
      <c r="C5" s="75" t="s">
        <v>1361</v>
      </c>
      <c r="D5" s="76" t="s">
        <v>1362</v>
      </c>
      <c r="G5" s="77"/>
    </row>
    <row r="6">
      <c r="C6" s="75" t="s">
        <v>1363</v>
      </c>
      <c r="D6" s="76" t="s">
        <v>1364</v>
      </c>
      <c r="G6" s="77"/>
    </row>
    <row r="7">
      <c r="C7" s="75" t="s">
        <v>1365</v>
      </c>
      <c r="D7" s="76" t="s">
        <v>1366</v>
      </c>
      <c r="G7" s="77"/>
    </row>
    <row r="8">
      <c r="G8" s="77"/>
    </row>
    <row r="9">
      <c r="G9" s="77"/>
    </row>
    <row r="10">
      <c r="G10" s="77"/>
    </row>
    <row r="11">
      <c r="G11" s="77"/>
    </row>
    <row r="12">
      <c r="G12" s="77"/>
    </row>
    <row r="13">
      <c r="G13" s="77"/>
    </row>
    <row r="14">
      <c r="G14" s="77"/>
    </row>
    <row r="15">
      <c r="G15" s="77"/>
    </row>
    <row r="16">
      <c r="G16" s="77"/>
    </row>
    <row r="17">
      <c r="G17" s="77"/>
    </row>
    <row r="18">
      <c r="G18" s="77"/>
    </row>
    <row r="19">
      <c r="G19" s="77"/>
    </row>
    <row r="20">
      <c r="G20" s="77"/>
    </row>
    <row r="21">
      <c r="G21" s="77"/>
    </row>
    <row r="22">
      <c r="G22" s="77"/>
    </row>
    <row r="23">
      <c r="G23" s="77"/>
    </row>
    <row r="24">
      <c r="G24" s="77"/>
    </row>
    <row r="25">
      <c r="G25" s="77"/>
    </row>
    <row r="26">
      <c r="G26" s="77"/>
    </row>
    <row r="27">
      <c r="G27" s="77"/>
    </row>
    <row r="28">
      <c r="G28" s="77"/>
    </row>
    <row r="29">
      <c r="G29" s="77"/>
    </row>
    <row r="30">
      <c r="G30" s="77"/>
    </row>
    <row r="31">
      <c r="G31" s="77"/>
    </row>
    <row r="32">
      <c r="G32" s="77"/>
    </row>
    <row r="33">
      <c r="G33" s="77"/>
    </row>
    <row r="34">
      <c r="G34" s="77"/>
    </row>
    <row r="35">
      <c r="G35" s="77"/>
    </row>
    <row r="36">
      <c r="G36" s="77"/>
    </row>
    <row r="37">
      <c r="G37" s="77"/>
    </row>
    <row r="38">
      <c r="G38" s="77"/>
    </row>
    <row r="39">
      <c r="G39" s="77"/>
    </row>
    <row r="40">
      <c r="G40" s="77"/>
    </row>
    <row r="41">
      <c r="G41" s="77"/>
    </row>
    <row r="42">
      <c r="G42" s="77"/>
    </row>
    <row r="43">
      <c r="G43" s="77"/>
    </row>
    <row r="44">
      <c r="G44" s="77"/>
    </row>
    <row r="45">
      <c r="G45" s="77"/>
    </row>
    <row r="46">
      <c r="G46" s="77"/>
    </row>
    <row r="47">
      <c r="G47" s="77"/>
    </row>
    <row r="48">
      <c r="G48" s="77"/>
    </row>
    <row r="49">
      <c r="G49" s="77"/>
    </row>
    <row r="50">
      <c r="G50" s="77"/>
    </row>
    <row r="51">
      <c r="G51" s="77"/>
    </row>
    <row r="52">
      <c r="G52" s="77"/>
    </row>
    <row r="53">
      <c r="G53" s="77"/>
    </row>
    <row r="54">
      <c r="G54" s="77"/>
    </row>
    <row r="55">
      <c r="G55" s="77"/>
    </row>
    <row r="56">
      <c r="G56" s="77"/>
    </row>
    <row r="57">
      <c r="G57" s="77"/>
    </row>
    <row r="58">
      <c r="G58" s="77"/>
    </row>
    <row r="59">
      <c r="G59" s="77"/>
    </row>
    <row r="60">
      <c r="G60" s="77"/>
    </row>
    <row r="61">
      <c r="G61" s="77"/>
    </row>
    <row r="62">
      <c r="G62" s="77"/>
    </row>
    <row r="63">
      <c r="G63" s="77"/>
    </row>
    <row r="64">
      <c r="G64" s="77"/>
    </row>
    <row r="65">
      <c r="G65" s="77"/>
    </row>
    <row r="66">
      <c r="G66" s="77"/>
    </row>
    <row r="67">
      <c r="G67" s="77"/>
    </row>
    <row r="68">
      <c r="G68" s="77"/>
    </row>
    <row r="69">
      <c r="G69" s="77"/>
    </row>
    <row r="70">
      <c r="G70" s="77"/>
    </row>
    <row r="71">
      <c r="G71" s="77"/>
    </row>
    <row r="72">
      <c r="G72" s="77"/>
    </row>
    <row r="73">
      <c r="G73" s="77"/>
    </row>
    <row r="74">
      <c r="G74" s="77"/>
    </row>
    <row r="75">
      <c r="G75" s="77"/>
    </row>
    <row r="76">
      <c r="G76" s="77"/>
    </row>
    <row r="77">
      <c r="G77" s="77"/>
    </row>
    <row r="78">
      <c r="G78" s="77"/>
    </row>
    <row r="79">
      <c r="G79" s="77"/>
    </row>
    <row r="80">
      <c r="G80" s="77"/>
    </row>
    <row r="81">
      <c r="G81" s="77"/>
    </row>
    <row r="82">
      <c r="G82" s="77"/>
    </row>
    <row r="83">
      <c r="G83" s="77"/>
    </row>
    <row r="84">
      <c r="G84" s="77"/>
    </row>
    <row r="85">
      <c r="G85" s="77"/>
    </row>
    <row r="86">
      <c r="G86" s="77"/>
    </row>
    <row r="87">
      <c r="G87" s="77"/>
    </row>
    <row r="88">
      <c r="G88" s="77"/>
    </row>
    <row r="89">
      <c r="G89" s="77"/>
    </row>
    <row r="90">
      <c r="G90" s="77"/>
    </row>
    <row r="91">
      <c r="G91" s="77"/>
    </row>
    <row r="92">
      <c r="G92" s="77"/>
    </row>
    <row r="93">
      <c r="G93" s="77"/>
    </row>
    <row r="94">
      <c r="G94" s="77"/>
    </row>
    <row r="95">
      <c r="G95" s="77"/>
    </row>
    <row r="96">
      <c r="G96" s="77"/>
    </row>
    <row r="97">
      <c r="G97" s="77"/>
    </row>
    <row r="98">
      <c r="G98" s="77"/>
    </row>
    <row r="99">
      <c r="G99" s="77"/>
    </row>
    <row r="100">
      <c r="G100" s="77"/>
    </row>
    <row r="101">
      <c r="G101" s="77"/>
    </row>
    <row r="102">
      <c r="G102" s="77"/>
    </row>
    <row r="103">
      <c r="G103" s="77"/>
    </row>
    <row r="104">
      <c r="G104" s="77"/>
    </row>
    <row r="105">
      <c r="G105" s="77"/>
    </row>
    <row r="106">
      <c r="G106" s="77"/>
    </row>
    <row r="107">
      <c r="G107" s="77"/>
    </row>
    <row r="108">
      <c r="G108" s="77"/>
    </row>
    <row r="109">
      <c r="G109" s="77"/>
    </row>
    <row r="110">
      <c r="G110" s="77"/>
    </row>
    <row r="111">
      <c r="G111" s="77"/>
    </row>
    <row r="112">
      <c r="G112" s="77"/>
    </row>
    <row r="113">
      <c r="G113" s="77"/>
    </row>
    <row r="114">
      <c r="G114" s="77"/>
    </row>
    <row r="115">
      <c r="G115" s="77"/>
    </row>
    <row r="116">
      <c r="G116" s="77"/>
    </row>
    <row r="117">
      <c r="G117" s="77"/>
    </row>
    <row r="118">
      <c r="G118" s="77"/>
    </row>
    <row r="119">
      <c r="G119" s="77"/>
    </row>
    <row r="120">
      <c r="G120" s="77"/>
    </row>
    <row r="121">
      <c r="G121" s="77"/>
    </row>
    <row r="122">
      <c r="G122" s="77"/>
    </row>
    <row r="123">
      <c r="G123" s="77"/>
    </row>
    <row r="124">
      <c r="G124" s="77"/>
    </row>
    <row r="125">
      <c r="G125" s="77"/>
    </row>
    <row r="126">
      <c r="G126" s="77"/>
    </row>
    <row r="127">
      <c r="G127" s="77"/>
    </row>
    <row r="128">
      <c r="G128" s="77"/>
    </row>
    <row r="129">
      <c r="G129" s="77"/>
    </row>
    <row r="130">
      <c r="G130" s="77"/>
    </row>
    <row r="131">
      <c r="G131" s="77"/>
    </row>
    <row r="132">
      <c r="G132" s="77"/>
    </row>
    <row r="133">
      <c r="G133" s="77"/>
    </row>
    <row r="134">
      <c r="G134" s="77"/>
    </row>
    <row r="135">
      <c r="G135" s="77"/>
    </row>
    <row r="136">
      <c r="G136" s="77"/>
    </row>
    <row r="137">
      <c r="G137" s="77"/>
    </row>
    <row r="138">
      <c r="G138" s="77"/>
    </row>
    <row r="139">
      <c r="G139" s="77"/>
    </row>
    <row r="140">
      <c r="G140" s="77"/>
    </row>
    <row r="141">
      <c r="G141" s="77"/>
    </row>
    <row r="142">
      <c r="G142" s="77"/>
    </row>
    <row r="143">
      <c r="G143" s="77"/>
    </row>
    <row r="144">
      <c r="G144" s="77"/>
    </row>
    <row r="145">
      <c r="G145" s="77"/>
    </row>
    <row r="146">
      <c r="G146" s="77"/>
    </row>
    <row r="147">
      <c r="G147" s="77"/>
    </row>
    <row r="148">
      <c r="G148" s="77"/>
    </row>
    <row r="149">
      <c r="G149" s="77"/>
    </row>
    <row r="150">
      <c r="G150" s="77"/>
    </row>
    <row r="151">
      <c r="G151" s="77"/>
    </row>
    <row r="152">
      <c r="G152" s="77"/>
    </row>
    <row r="153">
      <c r="G153" s="77"/>
    </row>
    <row r="154">
      <c r="G154" s="77"/>
    </row>
    <row r="155">
      <c r="G155" s="77"/>
    </row>
    <row r="156">
      <c r="G156" s="77"/>
    </row>
    <row r="157">
      <c r="G157" s="77"/>
    </row>
    <row r="158">
      <c r="G158" s="77"/>
    </row>
    <row r="159">
      <c r="G159" s="77"/>
    </row>
    <row r="160">
      <c r="G160" s="77"/>
    </row>
    <row r="161">
      <c r="G161" s="77"/>
    </row>
    <row r="162">
      <c r="G162" s="77"/>
    </row>
    <row r="163">
      <c r="G163" s="77"/>
    </row>
    <row r="164">
      <c r="G164" s="77"/>
    </row>
    <row r="165">
      <c r="G165" s="77"/>
    </row>
    <row r="166">
      <c r="G166" s="77"/>
    </row>
    <row r="167">
      <c r="G167" s="77"/>
    </row>
    <row r="168">
      <c r="G168" s="77"/>
    </row>
    <row r="169">
      <c r="G169" s="77"/>
    </row>
    <row r="170">
      <c r="G170" s="77"/>
    </row>
    <row r="171">
      <c r="G171" s="77"/>
    </row>
    <row r="172">
      <c r="G172" s="77"/>
    </row>
    <row r="173">
      <c r="G173" s="77"/>
    </row>
    <row r="174">
      <c r="G174" s="77"/>
    </row>
    <row r="175">
      <c r="G175" s="77"/>
    </row>
    <row r="176">
      <c r="G176" s="77"/>
    </row>
    <row r="177">
      <c r="G177" s="77"/>
    </row>
    <row r="178">
      <c r="G178" s="77"/>
    </row>
    <row r="179">
      <c r="G179" s="77"/>
    </row>
    <row r="180">
      <c r="G180" s="77"/>
    </row>
    <row r="181">
      <c r="G181" s="77"/>
    </row>
    <row r="182">
      <c r="G182" s="77"/>
    </row>
    <row r="183">
      <c r="G183" s="77"/>
    </row>
    <row r="184">
      <c r="G184" s="77"/>
    </row>
    <row r="185">
      <c r="G185" s="77"/>
    </row>
    <row r="186">
      <c r="G186" s="77"/>
    </row>
    <row r="187">
      <c r="G187" s="77"/>
    </row>
    <row r="188">
      <c r="G188" s="77"/>
    </row>
    <row r="189">
      <c r="G189" s="77"/>
    </row>
    <row r="190">
      <c r="G190" s="77"/>
    </row>
    <row r="191">
      <c r="G191" s="77"/>
    </row>
    <row r="192">
      <c r="G192" s="77"/>
    </row>
    <row r="193">
      <c r="G193" s="77"/>
    </row>
    <row r="194">
      <c r="G194" s="77"/>
    </row>
    <row r="195">
      <c r="G195" s="77"/>
    </row>
    <row r="196">
      <c r="G196" s="77"/>
    </row>
    <row r="197">
      <c r="G197" s="77"/>
    </row>
    <row r="198">
      <c r="G198" s="77"/>
    </row>
    <row r="199">
      <c r="G199" s="77"/>
    </row>
    <row r="200">
      <c r="G200" s="77"/>
    </row>
    <row r="201">
      <c r="G201" s="77"/>
    </row>
    <row r="202">
      <c r="G202" s="77"/>
    </row>
    <row r="203">
      <c r="G203" s="77"/>
    </row>
    <row r="204">
      <c r="G204" s="77"/>
    </row>
    <row r="205">
      <c r="G205" s="77"/>
    </row>
    <row r="206">
      <c r="G206" s="77"/>
    </row>
    <row r="207">
      <c r="G207" s="77"/>
    </row>
    <row r="208">
      <c r="G208" s="77"/>
    </row>
    <row r="209">
      <c r="G209" s="77"/>
    </row>
    <row r="210">
      <c r="G210" s="77"/>
    </row>
    <row r="211">
      <c r="G211" s="77"/>
    </row>
    <row r="212">
      <c r="G212" s="77"/>
    </row>
    <row r="213">
      <c r="G213" s="77"/>
    </row>
    <row r="214">
      <c r="G214" s="77"/>
    </row>
    <row r="215">
      <c r="G215" s="77"/>
    </row>
    <row r="216">
      <c r="G216" s="77"/>
    </row>
    <row r="217">
      <c r="G217" s="77"/>
    </row>
    <row r="218">
      <c r="G218" s="77"/>
    </row>
    <row r="219">
      <c r="G219" s="77"/>
    </row>
    <row r="220">
      <c r="G220" s="77"/>
    </row>
    <row r="221">
      <c r="G221" s="77"/>
    </row>
    <row r="222">
      <c r="G222" s="77"/>
    </row>
    <row r="223">
      <c r="G223" s="77"/>
    </row>
    <row r="224">
      <c r="G224" s="77"/>
    </row>
    <row r="225">
      <c r="G225" s="77"/>
    </row>
    <row r="226">
      <c r="G226" s="77"/>
    </row>
    <row r="227">
      <c r="G227" s="77"/>
    </row>
    <row r="228">
      <c r="G228" s="77"/>
    </row>
    <row r="229">
      <c r="G229" s="77"/>
    </row>
    <row r="230">
      <c r="G230" s="77"/>
    </row>
    <row r="231">
      <c r="G231" s="77"/>
    </row>
    <row r="232">
      <c r="G232" s="77"/>
    </row>
    <row r="233">
      <c r="G233" s="77"/>
    </row>
    <row r="234">
      <c r="G234" s="77"/>
    </row>
    <row r="235">
      <c r="G235" s="77"/>
    </row>
    <row r="236">
      <c r="G236" s="77"/>
    </row>
    <row r="237">
      <c r="G237" s="77"/>
    </row>
    <row r="238">
      <c r="G238" s="77"/>
    </row>
    <row r="239">
      <c r="G239" s="77"/>
    </row>
    <row r="240">
      <c r="G240" s="77"/>
    </row>
    <row r="241">
      <c r="G241" s="77"/>
    </row>
    <row r="242">
      <c r="G242" s="77"/>
    </row>
    <row r="243">
      <c r="G243" s="77"/>
    </row>
    <row r="244">
      <c r="G244" s="77"/>
    </row>
    <row r="245">
      <c r="G245" s="77"/>
    </row>
    <row r="246">
      <c r="G246" s="77"/>
    </row>
    <row r="247">
      <c r="G247" s="77"/>
    </row>
    <row r="248">
      <c r="G248" s="77"/>
    </row>
    <row r="249">
      <c r="G249" s="77"/>
    </row>
    <row r="250">
      <c r="G250" s="77"/>
    </row>
    <row r="251">
      <c r="G251" s="77"/>
    </row>
    <row r="252">
      <c r="G252" s="77"/>
    </row>
    <row r="253">
      <c r="G253" s="77"/>
    </row>
    <row r="254">
      <c r="G254" s="77"/>
    </row>
    <row r="255">
      <c r="G255" s="77"/>
    </row>
    <row r="256">
      <c r="G256" s="77"/>
    </row>
    <row r="257">
      <c r="G257" s="77"/>
    </row>
    <row r="258">
      <c r="G258" s="77"/>
    </row>
    <row r="259">
      <c r="G259" s="77"/>
    </row>
    <row r="260">
      <c r="G260" s="77"/>
    </row>
    <row r="261">
      <c r="G261" s="77"/>
    </row>
    <row r="262">
      <c r="G262" s="77"/>
    </row>
    <row r="263">
      <c r="G263" s="77"/>
    </row>
    <row r="264">
      <c r="G264" s="77"/>
    </row>
    <row r="265">
      <c r="G265" s="77"/>
    </row>
    <row r="266">
      <c r="G266" s="77"/>
    </row>
    <row r="267">
      <c r="G267" s="77"/>
    </row>
    <row r="268">
      <c r="G268" s="77"/>
    </row>
    <row r="269">
      <c r="G269" s="77"/>
    </row>
    <row r="270">
      <c r="G270" s="77"/>
    </row>
    <row r="271">
      <c r="G271" s="77"/>
    </row>
    <row r="272">
      <c r="G272" s="77"/>
    </row>
    <row r="273">
      <c r="G273" s="77"/>
    </row>
    <row r="274">
      <c r="G274" s="77"/>
    </row>
    <row r="275">
      <c r="G275" s="77"/>
    </row>
    <row r="276">
      <c r="G276" s="77"/>
    </row>
    <row r="277">
      <c r="G277" s="77"/>
    </row>
    <row r="278">
      <c r="G278" s="77"/>
    </row>
    <row r="279">
      <c r="G279" s="77"/>
    </row>
    <row r="280">
      <c r="G280" s="77"/>
    </row>
    <row r="281">
      <c r="G281" s="77"/>
    </row>
    <row r="282">
      <c r="G282" s="77"/>
    </row>
    <row r="283">
      <c r="G283" s="77"/>
    </row>
    <row r="284">
      <c r="G284" s="77"/>
    </row>
    <row r="285">
      <c r="G285" s="77"/>
    </row>
    <row r="286">
      <c r="G286" s="77"/>
    </row>
    <row r="287">
      <c r="G287" s="77"/>
    </row>
    <row r="288">
      <c r="G288" s="77"/>
    </row>
    <row r="289">
      <c r="G289" s="77"/>
    </row>
    <row r="290">
      <c r="G290" s="77"/>
    </row>
    <row r="291">
      <c r="G291" s="77"/>
    </row>
    <row r="292">
      <c r="G292" s="77"/>
    </row>
    <row r="293">
      <c r="G293" s="77"/>
    </row>
    <row r="294">
      <c r="G294" s="77"/>
    </row>
    <row r="295">
      <c r="G295" s="77"/>
    </row>
    <row r="296">
      <c r="G296" s="77"/>
    </row>
    <row r="297">
      <c r="G297" s="77"/>
    </row>
    <row r="298">
      <c r="G298" s="77"/>
    </row>
    <row r="299">
      <c r="G299" s="77"/>
    </row>
    <row r="300">
      <c r="G300" s="77"/>
    </row>
    <row r="301">
      <c r="G301" s="77"/>
    </row>
    <row r="302">
      <c r="G302" s="77"/>
    </row>
    <row r="303">
      <c r="G303" s="77"/>
    </row>
    <row r="304">
      <c r="G304" s="77"/>
    </row>
    <row r="305">
      <c r="G305" s="77"/>
    </row>
    <row r="306">
      <c r="G306" s="77"/>
    </row>
    <row r="307">
      <c r="G307" s="77"/>
    </row>
    <row r="308">
      <c r="G308" s="77"/>
    </row>
    <row r="309">
      <c r="G309" s="77"/>
    </row>
    <row r="310">
      <c r="G310" s="77"/>
    </row>
    <row r="311">
      <c r="G311" s="77"/>
    </row>
    <row r="312">
      <c r="G312" s="77"/>
    </row>
    <row r="313">
      <c r="G313" s="77"/>
    </row>
    <row r="314">
      <c r="G314" s="77"/>
    </row>
    <row r="315">
      <c r="G315" s="77"/>
    </row>
    <row r="316">
      <c r="G316" s="77"/>
    </row>
    <row r="317">
      <c r="G317" s="77"/>
    </row>
    <row r="318">
      <c r="G318" s="77"/>
    </row>
    <row r="319">
      <c r="G319" s="77"/>
    </row>
    <row r="320">
      <c r="G320" s="77"/>
    </row>
    <row r="321">
      <c r="G321" s="77"/>
    </row>
    <row r="322">
      <c r="G322" s="77"/>
    </row>
    <row r="323">
      <c r="G323" s="77"/>
    </row>
    <row r="324">
      <c r="G324" s="77"/>
    </row>
    <row r="325">
      <c r="G325" s="77"/>
    </row>
    <row r="326">
      <c r="G326" s="77"/>
    </row>
    <row r="327">
      <c r="G327" s="77"/>
    </row>
    <row r="328">
      <c r="G328" s="77"/>
    </row>
    <row r="329">
      <c r="G329" s="77"/>
    </row>
    <row r="330">
      <c r="G330" s="77"/>
    </row>
    <row r="331">
      <c r="G331" s="77"/>
    </row>
    <row r="332">
      <c r="G332" s="77"/>
    </row>
    <row r="333">
      <c r="G333" s="77"/>
    </row>
    <row r="334">
      <c r="G334" s="77"/>
    </row>
    <row r="335">
      <c r="G335" s="77"/>
    </row>
    <row r="336">
      <c r="G336" s="77"/>
    </row>
    <row r="337">
      <c r="G337" s="77"/>
    </row>
    <row r="338">
      <c r="G338" s="77"/>
    </row>
    <row r="339">
      <c r="G339" s="77"/>
    </row>
    <row r="340">
      <c r="G340" s="77"/>
    </row>
    <row r="341">
      <c r="G341" s="77"/>
    </row>
    <row r="342">
      <c r="G342" s="77"/>
    </row>
    <row r="343">
      <c r="G343" s="77"/>
    </row>
    <row r="344">
      <c r="G344" s="77"/>
    </row>
    <row r="345">
      <c r="G345" s="77"/>
    </row>
    <row r="346">
      <c r="G346" s="77"/>
    </row>
    <row r="347">
      <c r="G347" s="77"/>
    </row>
    <row r="348">
      <c r="G348" s="77"/>
    </row>
    <row r="349">
      <c r="G349" s="77"/>
    </row>
    <row r="350">
      <c r="G350" s="77"/>
    </row>
    <row r="351">
      <c r="G351" s="77"/>
    </row>
    <row r="352">
      <c r="G352" s="77"/>
    </row>
    <row r="353">
      <c r="G353" s="77"/>
    </row>
    <row r="354">
      <c r="G354" s="77"/>
    </row>
    <row r="355">
      <c r="G355" s="77"/>
    </row>
    <row r="356">
      <c r="G356" s="77"/>
    </row>
    <row r="357">
      <c r="G357" s="77"/>
    </row>
    <row r="358">
      <c r="G358" s="77"/>
    </row>
    <row r="359">
      <c r="G359" s="77"/>
    </row>
    <row r="360">
      <c r="G360" s="77"/>
    </row>
    <row r="361">
      <c r="G361" s="77"/>
    </row>
    <row r="362">
      <c r="G362" s="77"/>
    </row>
    <row r="363">
      <c r="G363" s="77"/>
    </row>
    <row r="364">
      <c r="G364" s="77"/>
    </row>
    <row r="365">
      <c r="G365" s="77"/>
    </row>
    <row r="366">
      <c r="G366" s="77"/>
    </row>
    <row r="367">
      <c r="G367" s="77"/>
    </row>
    <row r="368">
      <c r="G368" s="77"/>
    </row>
    <row r="369">
      <c r="G369" s="77"/>
    </row>
    <row r="370">
      <c r="G370" s="77"/>
    </row>
    <row r="371">
      <c r="G371" s="77"/>
    </row>
    <row r="372">
      <c r="G372" s="77"/>
    </row>
    <row r="373">
      <c r="G373" s="77"/>
    </row>
    <row r="374">
      <c r="G374" s="77"/>
    </row>
    <row r="375">
      <c r="G375" s="77"/>
    </row>
    <row r="376">
      <c r="G376" s="77"/>
    </row>
    <row r="377">
      <c r="G377" s="77"/>
    </row>
    <row r="378">
      <c r="G378" s="77"/>
    </row>
    <row r="379">
      <c r="G379" s="77"/>
    </row>
    <row r="380">
      <c r="G380" s="77"/>
    </row>
    <row r="381">
      <c r="G381" s="77"/>
    </row>
    <row r="382">
      <c r="G382" s="77"/>
    </row>
    <row r="383">
      <c r="G383" s="77"/>
    </row>
    <row r="384">
      <c r="G384" s="77"/>
    </row>
    <row r="385">
      <c r="G385" s="77"/>
    </row>
    <row r="386">
      <c r="G386" s="77"/>
    </row>
    <row r="387">
      <c r="G387" s="77"/>
    </row>
    <row r="388">
      <c r="G388" s="77"/>
    </row>
    <row r="389">
      <c r="G389" s="77"/>
    </row>
    <row r="390">
      <c r="G390" s="77"/>
    </row>
    <row r="391">
      <c r="G391" s="77"/>
    </row>
    <row r="392">
      <c r="G392" s="77"/>
    </row>
    <row r="393">
      <c r="G393" s="77"/>
    </row>
    <row r="394">
      <c r="G394" s="77"/>
    </row>
    <row r="395">
      <c r="G395" s="77"/>
    </row>
    <row r="396">
      <c r="G396" s="77"/>
    </row>
    <row r="397">
      <c r="G397" s="77"/>
    </row>
    <row r="398">
      <c r="G398" s="77"/>
    </row>
    <row r="399">
      <c r="G399" s="77"/>
    </row>
    <row r="400">
      <c r="G400" s="77"/>
    </row>
    <row r="401">
      <c r="G401" s="77"/>
    </row>
    <row r="402">
      <c r="G402" s="77"/>
    </row>
    <row r="403">
      <c r="G403" s="77"/>
    </row>
    <row r="404">
      <c r="G404" s="77"/>
    </row>
    <row r="405">
      <c r="G405" s="77"/>
    </row>
    <row r="406">
      <c r="G406" s="77"/>
    </row>
    <row r="407">
      <c r="G407" s="77"/>
    </row>
    <row r="408">
      <c r="G408" s="77"/>
    </row>
    <row r="409">
      <c r="G409" s="77"/>
    </row>
    <row r="410">
      <c r="G410" s="77"/>
    </row>
    <row r="411">
      <c r="G411" s="77"/>
    </row>
    <row r="412">
      <c r="G412" s="77"/>
    </row>
    <row r="413">
      <c r="G413" s="77"/>
    </row>
    <row r="414">
      <c r="G414" s="77"/>
    </row>
    <row r="415">
      <c r="G415" s="77"/>
    </row>
    <row r="416">
      <c r="G416" s="77"/>
    </row>
    <row r="417">
      <c r="G417" s="77"/>
    </row>
    <row r="418">
      <c r="G418" s="77"/>
    </row>
    <row r="419">
      <c r="G419" s="77"/>
    </row>
    <row r="420">
      <c r="G420" s="77"/>
    </row>
    <row r="421">
      <c r="G421" s="77"/>
    </row>
    <row r="422">
      <c r="G422" s="77"/>
    </row>
    <row r="423">
      <c r="G423" s="77"/>
    </row>
    <row r="424">
      <c r="G424" s="77"/>
    </row>
    <row r="425">
      <c r="G425" s="77"/>
    </row>
    <row r="426">
      <c r="G426" s="77"/>
    </row>
    <row r="427">
      <c r="G427" s="77"/>
    </row>
    <row r="428">
      <c r="G428" s="77"/>
    </row>
    <row r="429">
      <c r="G429" s="77"/>
    </row>
    <row r="430">
      <c r="G430" s="77"/>
    </row>
    <row r="431">
      <c r="G431" s="77"/>
    </row>
    <row r="432">
      <c r="G432" s="77"/>
    </row>
    <row r="433">
      <c r="G433" s="77"/>
    </row>
    <row r="434">
      <c r="G434" s="77"/>
    </row>
    <row r="435">
      <c r="G435" s="77"/>
    </row>
    <row r="436">
      <c r="G436" s="77"/>
    </row>
    <row r="437">
      <c r="G437" s="77"/>
    </row>
    <row r="438">
      <c r="G438" s="77"/>
    </row>
    <row r="439">
      <c r="G439" s="77"/>
    </row>
    <row r="440">
      <c r="G440" s="77"/>
    </row>
    <row r="441">
      <c r="G441" s="77"/>
    </row>
    <row r="442">
      <c r="G442" s="77"/>
    </row>
    <row r="443">
      <c r="G443" s="77"/>
    </row>
    <row r="444">
      <c r="G444" s="77"/>
    </row>
    <row r="445">
      <c r="G445" s="77"/>
    </row>
    <row r="446">
      <c r="G446" s="77"/>
    </row>
    <row r="447">
      <c r="G447" s="77"/>
    </row>
    <row r="448">
      <c r="G448" s="77"/>
    </row>
    <row r="449">
      <c r="G449" s="77"/>
    </row>
    <row r="450">
      <c r="G450" s="77"/>
    </row>
    <row r="451">
      <c r="G451" s="77"/>
    </row>
    <row r="452">
      <c r="G452" s="77"/>
    </row>
    <row r="453">
      <c r="G453" s="77"/>
    </row>
    <row r="454">
      <c r="G454" s="77"/>
    </row>
    <row r="455">
      <c r="G455" s="77"/>
    </row>
    <row r="456">
      <c r="G456" s="77"/>
    </row>
    <row r="457">
      <c r="G457" s="77"/>
    </row>
    <row r="458">
      <c r="G458" s="77"/>
    </row>
    <row r="459">
      <c r="G459" s="77"/>
    </row>
    <row r="460">
      <c r="G460" s="77"/>
    </row>
    <row r="461">
      <c r="G461" s="77"/>
    </row>
    <row r="462">
      <c r="G462" s="77"/>
    </row>
    <row r="463">
      <c r="G463" s="77"/>
    </row>
    <row r="464">
      <c r="G464" s="77"/>
    </row>
    <row r="465">
      <c r="G465" s="77"/>
    </row>
    <row r="466">
      <c r="G466" s="77"/>
    </row>
    <row r="467">
      <c r="G467" s="77"/>
    </row>
    <row r="468">
      <c r="G468" s="77"/>
    </row>
    <row r="469">
      <c r="G469" s="77"/>
    </row>
    <row r="470">
      <c r="G470" s="77"/>
    </row>
    <row r="471">
      <c r="G471" s="77"/>
    </row>
    <row r="472">
      <c r="G472" s="77"/>
    </row>
    <row r="473">
      <c r="G473" s="77"/>
    </row>
    <row r="474">
      <c r="G474" s="77"/>
    </row>
    <row r="475">
      <c r="G475" s="77"/>
    </row>
    <row r="476">
      <c r="G476" s="77"/>
    </row>
    <row r="477">
      <c r="G477" s="77"/>
    </row>
    <row r="478">
      <c r="G478" s="77"/>
    </row>
    <row r="479">
      <c r="G479" s="77"/>
    </row>
    <row r="480">
      <c r="G480" s="77"/>
    </row>
    <row r="481">
      <c r="G481" s="77"/>
    </row>
    <row r="482">
      <c r="G482" s="77"/>
    </row>
    <row r="483">
      <c r="G483" s="77"/>
    </row>
    <row r="484">
      <c r="G484" s="77"/>
    </row>
    <row r="485">
      <c r="G485" s="77"/>
    </row>
    <row r="486">
      <c r="G486" s="77"/>
    </row>
    <row r="487">
      <c r="G487" s="77"/>
    </row>
    <row r="488">
      <c r="G488" s="77"/>
    </row>
    <row r="489">
      <c r="G489" s="77"/>
    </row>
    <row r="490">
      <c r="G490" s="77"/>
    </row>
    <row r="491">
      <c r="G491" s="77"/>
    </row>
    <row r="492">
      <c r="G492" s="77"/>
    </row>
    <row r="493">
      <c r="G493" s="77"/>
    </row>
    <row r="494">
      <c r="G494" s="77"/>
    </row>
    <row r="495">
      <c r="G495" s="77"/>
    </row>
    <row r="496">
      <c r="G496" s="77"/>
    </row>
    <row r="497">
      <c r="G497" s="77"/>
    </row>
    <row r="498">
      <c r="G498" s="77"/>
    </row>
    <row r="499">
      <c r="G499" s="77"/>
    </row>
    <row r="500">
      <c r="G500" s="77"/>
    </row>
    <row r="501">
      <c r="G501" s="77"/>
    </row>
    <row r="502">
      <c r="G502" s="77"/>
    </row>
    <row r="503">
      <c r="G503" s="77"/>
    </row>
    <row r="504">
      <c r="G504" s="77"/>
    </row>
    <row r="505">
      <c r="G505" s="77"/>
    </row>
    <row r="506">
      <c r="G506" s="77"/>
    </row>
    <row r="507">
      <c r="G507" s="77"/>
    </row>
    <row r="508">
      <c r="G508" s="77"/>
    </row>
    <row r="509">
      <c r="G509" s="77"/>
    </row>
    <row r="510">
      <c r="G510" s="77"/>
    </row>
    <row r="511">
      <c r="G511" s="77"/>
    </row>
    <row r="512">
      <c r="G512" s="77"/>
    </row>
    <row r="513">
      <c r="G513" s="77"/>
    </row>
    <row r="514">
      <c r="G514" s="77"/>
    </row>
    <row r="515">
      <c r="G515" s="77"/>
    </row>
    <row r="516">
      <c r="G516" s="77"/>
    </row>
    <row r="517">
      <c r="G517" s="77"/>
    </row>
    <row r="518">
      <c r="G518" s="77"/>
    </row>
    <row r="519">
      <c r="G519" s="77"/>
    </row>
    <row r="520">
      <c r="G520" s="77"/>
    </row>
    <row r="521">
      <c r="G521" s="77"/>
    </row>
    <row r="522">
      <c r="G522" s="77"/>
    </row>
    <row r="523">
      <c r="G523" s="77"/>
    </row>
    <row r="524">
      <c r="G524" s="77"/>
    </row>
    <row r="525">
      <c r="G525" s="77"/>
    </row>
    <row r="526">
      <c r="G526" s="77"/>
    </row>
    <row r="527">
      <c r="G527" s="77"/>
    </row>
    <row r="528">
      <c r="G528" s="77"/>
    </row>
    <row r="529">
      <c r="G529" s="77"/>
    </row>
    <row r="530">
      <c r="G530" s="77"/>
    </row>
    <row r="531">
      <c r="G531" s="77"/>
    </row>
    <row r="532">
      <c r="G532" s="77"/>
    </row>
    <row r="533">
      <c r="G533" s="77"/>
    </row>
    <row r="534">
      <c r="G534" s="77"/>
    </row>
    <row r="535">
      <c r="G535" s="77"/>
    </row>
    <row r="536">
      <c r="G536" s="77"/>
    </row>
    <row r="537">
      <c r="G537" s="77"/>
    </row>
    <row r="538">
      <c r="G538" s="77"/>
    </row>
    <row r="539">
      <c r="G539" s="77"/>
    </row>
    <row r="540">
      <c r="G540" s="77"/>
    </row>
    <row r="541">
      <c r="G541" s="77"/>
    </row>
    <row r="542">
      <c r="G542" s="77"/>
    </row>
    <row r="543">
      <c r="G543" s="77"/>
    </row>
    <row r="544">
      <c r="G544" s="77"/>
    </row>
    <row r="545">
      <c r="G545" s="77"/>
    </row>
    <row r="546">
      <c r="G546" s="77"/>
    </row>
    <row r="547">
      <c r="G547" s="77"/>
    </row>
    <row r="548">
      <c r="G548" s="77"/>
    </row>
    <row r="549">
      <c r="G549" s="77"/>
    </row>
    <row r="550">
      <c r="G550" s="77"/>
    </row>
    <row r="551">
      <c r="G551" s="77"/>
    </row>
    <row r="552">
      <c r="G552" s="77"/>
    </row>
    <row r="553">
      <c r="G553" s="77"/>
    </row>
    <row r="554">
      <c r="G554" s="77"/>
    </row>
    <row r="555">
      <c r="G555" s="77"/>
    </row>
    <row r="556">
      <c r="G556" s="77"/>
    </row>
    <row r="557">
      <c r="G557" s="77"/>
    </row>
    <row r="558">
      <c r="G558" s="77"/>
    </row>
    <row r="559">
      <c r="G559" s="77"/>
    </row>
    <row r="560">
      <c r="G560" s="77"/>
    </row>
    <row r="561">
      <c r="G561" s="77"/>
    </row>
    <row r="562">
      <c r="G562" s="77"/>
    </row>
    <row r="563">
      <c r="G563" s="77"/>
    </row>
    <row r="564">
      <c r="G564" s="77"/>
    </row>
    <row r="565">
      <c r="G565" s="77"/>
    </row>
    <row r="566">
      <c r="G566" s="77"/>
    </row>
    <row r="567">
      <c r="G567" s="77"/>
    </row>
    <row r="568">
      <c r="G568" s="77"/>
    </row>
    <row r="569">
      <c r="G569" s="77"/>
    </row>
    <row r="570">
      <c r="G570" s="77"/>
    </row>
    <row r="571">
      <c r="G571" s="77"/>
    </row>
    <row r="572">
      <c r="G572" s="77"/>
    </row>
    <row r="573">
      <c r="G573" s="77"/>
    </row>
    <row r="574">
      <c r="G574" s="77"/>
    </row>
    <row r="575">
      <c r="G575" s="77"/>
    </row>
    <row r="576">
      <c r="G576" s="77"/>
    </row>
    <row r="577">
      <c r="G577" s="77"/>
    </row>
    <row r="578">
      <c r="G578" s="77"/>
    </row>
    <row r="579">
      <c r="G579" s="77"/>
    </row>
    <row r="580">
      <c r="G580" s="77"/>
    </row>
    <row r="581">
      <c r="G581" s="77"/>
    </row>
    <row r="582">
      <c r="G582" s="77"/>
    </row>
    <row r="583">
      <c r="G583" s="77"/>
    </row>
    <row r="584">
      <c r="G584" s="77"/>
    </row>
    <row r="585">
      <c r="G585" s="77"/>
    </row>
    <row r="586">
      <c r="G586" s="77"/>
    </row>
    <row r="587">
      <c r="G587" s="77"/>
    </row>
    <row r="588">
      <c r="G588" s="77"/>
    </row>
    <row r="589">
      <c r="G589" s="77"/>
    </row>
    <row r="590">
      <c r="G590" s="77"/>
    </row>
    <row r="591">
      <c r="G591" s="77"/>
    </row>
    <row r="592">
      <c r="G592" s="77"/>
    </row>
    <row r="593">
      <c r="G593" s="77"/>
    </row>
    <row r="594">
      <c r="G594" s="77"/>
    </row>
    <row r="595">
      <c r="G595" s="77"/>
    </row>
    <row r="596">
      <c r="G596" s="77"/>
    </row>
    <row r="597">
      <c r="G597" s="77"/>
    </row>
    <row r="598">
      <c r="G598" s="77"/>
    </row>
    <row r="599">
      <c r="G599" s="77"/>
    </row>
    <row r="600">
      <c r="G600" s="77"/>
    </row>
    <row r="601">
      <c r="G601" s="77"/>
    </row>
    <row r="602">
      <c r="G602" s="77"/>
    </row>
    <row r="603">
      <c r="G603" s="77"/>
    </row>
    <row r="604">
      <c r="G604" s="77"/>
    </row>
    <row r="605">
      <c r="G605" s="77"/>
    </row>
    <row r="606">
      <c r="G606" s="77"/>
    </row>
    <row r="607">
      <c r="G607" s="77"/>
    </row>
    <row r="608">
      <c r="G608" s="77"/>
    </row>
    <row r="609">
      <c r="G609" s="77"/>
    </row>
    <row r="610">
      <c r="G610" s="77"/>
    </row>
    <row r="611">
      <c r="G611" s="77"/>
    </row>
    <row r="612">
      <c r="G612" s="77"/>
    </row>
    <row r="613">
      <c r="G613" s="77"/>
    </row>
    <row r="614">
      <c r="G614" s="77"/>
    </row>
    <row r="615">
      <c r="G615" s="77"/>
    </row>
    <row r="616">
      <c r="G616" s="77"/>
    </row>
    <row r="617">
      <c r="G617" s="77"/>
    </row>
    <row r="618">
      <c r="G618" s="77"/>
    </row>
    <row r="619">
      <c r="G619" s="77"/>
    </row>
    <row r="620">
      <c r="G620" s="77"/>
    </row>
    <row r="621">
      <c r="G621" s="77"/>
    </row>
    <row r="622">
      <c r="G622" s="77"/>
    </row>
    <row r="623">
      <c r="G623" s="77"/>
    </row>
    <row r="624">
      <c r="G624" s="77"/>
    </row>
    <row r="625">
      <c r="G625" s="77"/>
    </row>
    <row r="626">
      <c r="G626" s="77"/>
    </row>
    <row r="627">
      <c r="G627" s="77"/>
    </row>
    <row r="628">
      <c r="G628" s="77"/>
    </row>
    <row r="629">
      <c r="G629" s="77"/>
    </row>
    <row r="630">
      <c r="G630" s="77"/>
    </row>
    <row r="631">
      <c r="G631" s="77"/>
    </row>
    <row r="632">
      <c r="G632" s="77"/>
    </row>
    <row r="633">
      <c r="G633" s="77"/>
    </row>
    <row r="634">
      <c r="G634" s="77"/>
    </row>
    <row r="635">
      <c r="G635" s="77"/>
    </row>
    <row r="636">
      <c r="G636" s="77"/>
    </row>
    <row r="637">
      <c r="G637" s="77"/>
    </row>
    <row r="638">
      <c r="G638" s="77"/>
    </row>
    <row r="639">
      <c r="G639" s="77"/>
    </row>
    <row r="640">
      <c r="G640" s="77"/>
    </row>
    <row r="641">
      <c r="G641" s="77"/>
    </row>
    <row r="642">
      <c r="G642" s="77"/>
    </row>
    <row r="643">
      <c r="G643" s="77"/>
    </row>
    <row r="644">
      <c r="G644" s="77"/>
    </row>
    <row r="645">
      <c r="G645" s="77"/>
    </row>
    <row r="646">
      <c r="G646" s="77"/>
    </row>
    <row r="647">
      <c r="G647" s="77"/>
    </row>
    <row r="648">
      <c r="G648" s="77"/>
    </row>
    <row r="649">
      <c r="G649" s="77"/>
    </row>
    <row r="650">
      <c r="G650" s="77"/>
    </row>
    <row r="651">
      <c r="G651" s="77"/>
    </row>
    <row r="652">
      <c r="G652" s="77"/>
    </row>
    <row r="653">
      <c r="G653" s="77"/>
    </row>
    <row r="654">
      <c r="G654" s="77"/>
    </row>
    <row r="655">
      <c r="G655" s="77"/>
    </row>
    <row r="656">
      <c r="G656" s="77"/>
    </row>
    <row r="657">
      <c r="G657" s="77"/>
    </row>
    <row r="658">
      <c r="G658" s="77"/>
    </row>
    <row r="659">
      <c r="G659" s="77"/>
    </row>
    <row r="660">
      <c r="G660" s="77"/>
    </row>
    <row r="661">
      <c r="G661" s="77"/>
    </row>
    <row r="662">
      <c r="G662" s="77"/>
    </row>
    <row r="663">
      <c r="G663" s="77"/>
    </row>
    <row r="664">
      <c r="G664" s="77"/>
    </row>
    <row r="665">
      <c r="G665" s="77"/>
    </row>
    <row r="666">
      <c r="G666" s="77"/>
    </row>
    <row r="667">
      <c r="G667" s="77"/>
    </row>
    <row r="668">
      <c r="G668" s="77"/>
    </row>
    <row r="669">
      <c r="G669" s="77"/>
    </row>
    <row r="670">
      <c r="G670" s="77"/>
    </row>
    <row r="671">
      <c r="G671" s="77"/>
    </row>
    <row r="672">
      <c r="G672" s="77"/>
    </row>
    <row r="673">
      <c r="G673" s="77"/>
    </row>
    <row r="674">
      <c r="G674" s="77"/>
    </row>
    <row r="675">
      <c r="G675" s="77"/>
    </row>
    <row r="676">
      <c r="G676" s="77"/>
    </row>
    <row r="677">
      <c r="G677" s="77"/>
    </row>
    <row r="678">
      <c r="G678" s="77"/>
    </row>
    <row r="679">
      <c r="G679" s="77"/>
    </row>
    <row r="680">
      <c r="G680" s="77"/>
    </row>
    <row r="681">
      <c r="G681" s="77"/>
    </row>
    <row r="682">
      <c r="G682" s="77"/>
    </row>
    <row r="683">
      <c r="G683" s="77"/>
    </row>
    <row r="684">
      <c r="G684" s="77"/>
    </row>
    <row r="685">
      <c r="G685" s="77"/>
    </row>
    <row r="686">
      <c r="G686" s="77"/>
    </row>
    <row r="687">
      <c r="G687" s="77"/>
    </row>
    <row r="688">
      <c r="G688" s="77"/>
    </row>
    <row r="689">
      <c r="G689" s="77"/>
    </row>
    <row r="690">
      <c r="G690" s="77"/>
    </row>
    <row r="691">
      <c r="G691" s="77"/>
    </row>
    <row r="692">
      <c r="G692" s="77"/>
    </row>
    <row r="693">
      <c r="G693" s="77"/>
    </row>
    <row r="694">
      <c r="G694" s="77"/>
    </row>
    <row r="695">
      <c r="G695" s="77"/>
    </row>
    <row r="696">
      <c r="G696" s="77"/>
    </row>
    <row r="697">
      <c r="G697" s="77"/>
    </row>
    <row r="698">
      <c r="G698" s="77"/>
    </row>
    <row r="699">
      <c r="G699" s="77"/>
    </row>
    <row r="700">
      <c r="G700" s="77"/>
    </row>
    <row r="701">
      <c r="G701" s="77"/>
    </row>
    <row r="702">
      <c r="G702" s="77"/>
    </row>
    <row r="703">
      <c r="G703" s="77"/>
    </row>
    <row r="704">
      <c r="G704" s="77"/>
    </row>
    <row r="705">
      <c r="G705" s="77"/>
    </row>
    <row r="706">
      <c r="G706" s="77"/>
    </row>
    <row r="707">
      <c r="G707" s="77"/>
    </row>
    <row r="708">
      <c r="G708" s="77"/>
    </row>
    <row r="709">
      <c r="G709" s="77"/>
    </row>
    <row r="710">
      <c r="G710" s="77"/>
    </row>
    <row r="711">
      <c r="G711" s="77"/>
    </row>
    <row r="712">
      <c r="G712" s="77"/>
    </row>
    <row r="713">
      <c r="G713" s="77"/>
    </row>
    <row r="714">
      <c r="G714" s="77"/>
    </row>
    <row r="715">
      <c r="G715" s="77"/>
    </row>
    <row r="716">
      <c r="G716" s="77"/>
    </row>
    <row r="717">
      <c r="G717" s="77"/>
    </row>
    <row r="718">
      <c r="G718" s="77"/>
    </row>
    <row r="719">
      <c r="G719" s="77"/>
    </row>
    <row r="720">
      <c r="G720" s="77"/>
    </row>
    <row r="721">
      <c r="G721" s="77"/>
    </row>
    <row r="722">
      <c r="G722" s="77"/>
    </row>
    <row r="723">
      <c r="G723" s="77"/>
    </row>
    <row r="724">
      <c r="G724" s="77"/>
    </row>
    <row r="725">
      <c r="G725" s="77"/>
    </row>
    <row r="726">
      <c r="G726" s="77"/>
    </row>
    <row r="727">
      <c r="G727" s="77"/>
    </row>
    <row r="728">
      <c r="G728" s="77"/>
    </row>
    <row r="729">
      <c r="G729" s="77"/>
    </row>
    <row r="730">
      <c r="G730" s="77"/>
    </row>
    <row r="731">
      <c r="G731" s="77"/>
    </row>
    <row r="732">
      <c r="G732" s="77"/>
    </row>
    <row r="733">
      <c r="G733" s="77"/>
    </row>
    <row r="734">
      <c r="G734" s="77"/>
    </row>
    <row r="735">
      <c r="G735" s="77"/>
    </row>
    <row r="736">
      <c r="G736" s="77"/>
    </row>
    <row r="737">
      <c r="G737" s="77"/>
    </row>
    <row r="738">
      <c r="G738" s="77"/>
    </row>
    <row r="739">
      <c r="G739" s="77"/>
    </row>
    <row r="740">
      <c r="G740" s="77"/>
    </row>
    <row r="741">
      <c r="G741" s="77"/>
    </row>
    <row r="742">
      <c r="G742" s="77"/>
    </row>
    <row r="743">
      <c r="G743" s="77"/>
    </row>
    <row r="744">
      <c r="G744" s="77"/>
    </row>
    <row r="745">
      <c r="G745" s="77"/>
    </row>
    <row r="746">
      <c r="G746" s="77"/>
    </row>
    <row r="747">
      <c r="G747" s="77"/>
    </row>
    <row r="748">
      <c r="G748" s="77"/>
    </row>
    <row r="749">
      <c r="G749" s="77"/>
    </row>
    <row r="750">
      <c r="G750" s="77"/>
    </row>
    <row r="751">
      <c r="G751" s="77"/>
    </row>
    <row r="752">
      <c r="G752" s="77"/>
    </row>
    <row r="753">
      <c r="G753" s="77"/>
    </row>
    <row r="754">
      <c r="G754" s="77"/>
    </row>
    <row r="755">
      <c r="G755" s="77"/>
    </row>
    <row r="756">
      <c r="G756" s="77"/>
    </row>
    <row r="757">
      <c r="G757" s="77"/>
    </row>
    <row r="758">
      <c r="G758" s="77"/>
    </row>
    <row r="759">
      <c r="G759" s="77"/>
    </row>
    <row r="760">
      <c r="G760" s="77"/>
    </row>
    <row r="761">
      <c r="G761" s="77"/>
    </row>
    <row r="762">
      <c r="G762" s="77"/>
    </row>
    <row r="763">
      <c r="G763" s="77"/>
    </row>
    <row r="764">
      <c r="G764" s="77"/>
    </row>
    <row r="765">
      <c r="G765" s="77"/>
    </row>
    <row r="766">
      <c r="G766" s="77"/>
    </row>
    <row r="767">
      <c r="G767" s="77"/>
    </row>
    <row r="768">
      <c r="G768" s="77"/>
    </row>
    <row r="769">
      <c r="G769" s="77"/>
    </row>
    <row r="770">
      <c r="G770" s="77"/>
    </row>
    <row r="771">
      <c r="G771" s="77"/>
    </row>
    <row r="772">
      <c r="G772" s="77"/>
    </row>
    <row r="773">
      <c r="G773" s="77"/>
    </row>
    <row r="774">
      <c r="G774" s="77"/>
    </row>
    <row r="775">
      <c r="G775" s="77"/>
    </row>
    <row r="776">
      <c r="G776" s="77"/>
    </row>
    <row r="777">
      <c r="G777" s="77"/>
    </row>
    <row r="778">
      <c r="G778" s="77"/>
    </row>
    <row r="779">
      <c r="G779" s="77"/>
    </row>
    <row r="780">
      <c r="G780" s="77"/>
    </row>
    <row r="781">
      <c r="G781" s="77"/>
    </row>
    <row r="782">
      <c r="G782" s="77"/>
    </row>
    <row r="783">
      <c r="G783" s="77"/>
    </row>
    <row r="784">
      <c r="G784" s="77"/>
    </row>
    <row r="785">
      <c r="G785" s="77"/>
    </row>
    <row r="786">
      <c r="G786" s="77"/>
    </row>
    <row r="787">
      <c r="G787" s="77"/>
    </row>
    <row r="788">
      <c r="G788" s="77"/>
    </row>
    <row r="789">
      <c r="G789" s="77"/>
    </row>
    <row r="790">
      <c r="G790" s="77"/>
    </row>
    <row r="791">
      <c r="G791" s="77"/>
    </row>
    <row r="792">
      <c r="G792" s="77"/>
    </row>
    <row r="793">
      <c r="G793" s="77"/>
    </row>
    <row r="794">
      <c r="G794" s="77"/>
    </row>
    <row r="795">
      <c r="G795" s="77"/>
    </row>
    <row r="796">
      <c r="G796" s="77"/>
    </row>
    <row r="797">
      <c r="G797" s="77"/>
    </row>
    <row r="798">
      <c r="G798" s="77"/>
    </row>
    <row r="799">
      <c r="G799" s="77"/>
    </row>
    <row r="800">
      <c r="G800" s="77"/>
    </row>
    <row r="801">
      <c r="G801" s="77"/>
    </row>
    <row r="802">
      <c r="G802" s="77"/>
    </row>
    <row r="803">
      <c r="G803" s="77"/>
    </row>
    <row r="804">
      <c r="G804" s="77"/>
    </row>
    <row r="805">
      <c r="G805" s="77"/>
    </row>
    <row r="806">
      <c r="G806" s="77"/>
    </row>
    <row r="807">
      <c r="G807" s="77"/>
    </row>
    <row r="808">
      <c r="G808" s="77"/>
    </row>
    <row r="809">
      <c r="G809" s="77"/>
    </row>
    <row r="810">
      <c r="G810" s="77"/>
    </row>
    <row r="811">
      <c r="G811" s="77"/>
    </row>
    <row r="812">
      <c r="G812" s="77"/>
    </row>
    <row r="813">
      <c r="G813" s="77"/>
    </row>
    <row r="814">
      <c r="G814" s="77"/>
    </row>
    <row r="815">
      <c r="G815" s="77"/>
    </row>
    <row r="816">
      <c r="G816" s="77"/>
    </row>
    <row r="817">
      <c r="G817" s="77"/>
    </row>
    <row r="818">
      <c r="G818" s="77"/>
    </row>
    <row r="819">
      <c r="G819" s="77"/>
    </row>
    <row r="820">
      <c r="G820" s="77"/>
    </row>
    <row r="821">
      <c r="G821" s="77"/>
    </row>
    <row r="822">
      <c r="G822" s="77"/>
    </row>
    <row r="823">
      <c r="G823" s="77"/>
    </row>
    <row r="824">
      <c r="G824" s="77"/>
    </row>
    <row r="825">
      <c r="G825" s="77"/>
    </row>
    <row r="826">
      <c r="G826" s="77"/>
    </row>
    <row r="827">
      <c r="G827" s="77"/>
    </row>
    <row r="828">
      <c r="G828" s="77"/>
    </row>
    <row r="829">
      <c r="G829" s="77"/>
    </row>
    <row r="830">
      <c r="G830" s="77"/>
    </row>
    <row r="831">
      <c r="G831" s="77"/>
    </row>
    <row r="832">
      <c r="G832" s="77"/>
    </row>
    <row r="833">
      <c r="G833" s="77"/>
    </row>
    <row r="834">
      <c r="G834" s="77"/>
    </row>
    <row r="835">
      <c r="G835" s="77"/>
    </row>
    <row r="836">
      <c r="G836" s="77"/>
    </row>
    <row r="837">
      <c r="G837" s="77"/>
    </row>
    <row r="838">
      <c r="G838" s="77"/>
    </row>
    <row r="839">
      <c r="G839" s="77"/>
    </row>
    <row r="840">
      <c r="G840" s="77"/>
    </row>
    <row r="841">
      <c r="G841" s="77"/>
    </row>
    <row r="842">
      <c r="G842" s="77"/>
    </row>
    <row r="843">
      <c r="G843" s="77"/>
    </row>
    <row r="844">
      <c r="G844" s="77"/>
    </row>
    <row r="845">
      <c r="G845" s="77"/>
    </row>
    <row r="846">
      <c r="G846" s="77"/>
    </row>
    <row r="847">
      <c r="G847" s="77"/>
    </row>
    <row r="848">
      <c r="G848" s="77"/>
    </row>
    <row r="849">
      <c r="G849" s="77"/>
    </row>
    <row r="850">
      <c r="G850" s="77"/>
    </row>
    <row r="851">
      <c r="G851" s="77"/>
    </row>
    <row r="852">
      <c r="G852" s="77"/>
    </row>
    <row r="853">
      <c r="G853" s="77"/>
    </row>
    <row r="854">
      <c r="G854" s="77"/>
    </row>
    <row r="855">
      <c r="G855" s="77"/>
    </row>
    <row r="856">
      <c r="G856" s="77"/>
    </row>
    <row r="857">
      <c r="G857" s="77"/>
    </row>
    <row r="858">
      <c r="G858" s="77"/>
    </row>
    <row r="859">
      <c r="G859" s="77"/>
    </row>
    <row r="860">
      <c r="G860" s="77"/>
    </row>
    <row r="861">
      <c r="G861" s="77"/>
    </row>
    <row r="862">
      <c r="G862" s="77"/>
    </row>
    <row r="863">
      <c r="G863" s="77"/>
    </row>
    <row r="864">
      <c r="G864" s="77"/>
    </row>
    <row r="865">
      <c r="G865" s="77"/>
    </row>
    <row r="866">
      <c r="G866" s="77"/>
    </row>
    <row r="867">
      <c r="G867" s="77"/>
    </row>
    <row r="868">
      <c r="G868" s="77"/>
    </row>
    <row r="869">
      <c r="G869" s="77"/>
    </row>
    <row r="870">
      <c r="G870" s="77"/>
    </row>
    <row r="871">
      <c r="G871" s="77"/>
    </row>
    <row r="872">
      <c r="G872" s="77"/>
    </row>
    <row r="873">
      <c r="G873" s="77"/>
    </row>
    <row r="874">
      <c r="G874" s="77"/>
    </row>
    <row r="875">
      <c r="G875" s="77"/>
    </row>
    <row r="876">
      <c r="G876" s="77"/>
    </row>
    <row r="877">
      <c r="G877" s="77"/>
    </row>
    <row r="878">
      <c r="G878" s="77"/>
    </row>
    <row r="879">
      <c r="G879" s="77"/>
    </row>
    <row r="880">
      <c r="G880" s="77"/>
    </row>
    <row r="881">
      <c r="G881" s="77"/>
    </row>
    <row r="882">
      <c r="G882" s="77"/>
    </row>
    <row r="883">
      <c r="G883" s="77"/>
    </row>
    <row r="884">
      <c r="G884" s="77"/>
    </row>
    <row r="885">
      <c r="G885" s="77"/>
    </row>
    <row r="886">
      <c r="G886" s="77"/>
    </row>
    <row r="887">
      <c r="G887" s="77"/>
    </row>
    <row r="888">
      <c r="G888" s="77"/>
    </row>
    <row r="889">
      <c r="G889" s="77"/>
    </row>
    <row r="890">
      <c r="G890" s="77"/>
    </row>
    <row r="891">
      <c r="G891" s="77"/>
    </row>
    <row r="892">
      <c r="G892" s="77"/>
    </row>
    <row r="893">
      <c r="G893" s="77"/>
    </row>
    <row r="894">
      <c r="G894" s="77"/>
    </row>
    <row r="895">
      <c r="G895" s="77"/>
    </row>
    <row r="896">
      <c r="G896" s="77"/>
    </row>
    <row r="897">
      <c r="G897" s="77"/>
    </row>
    <row r="898">
      <c r="G898" s="77"/>
    </row>
    <row r="899">
      <c r="G899" s="77"/>
    </row>
    <row r="900">
      <c r="G900" s="77"/>
    </row>
    <row r="901">
      <c r="G901" s="77"/>
    </row>
    <row r="902">
      <c r="G902" s="77"/>
    </row>
    <row r="903">
      <c r="G903" s="77"/>
    </row>
    <row r="904">
      <c r="G904" s="77"/>
    </row>
    <row r="905">
      <c r="G905" s="77"/>
    </row>
    <row r="906">
      <c r="G906" s="77"/>
    </row>
    <row r="907">
      <c r="G907" s="77"/>
    </row>
    <row r="908">
      <c r="G908" s="77"/>
    </row>
    <row r="909">
      <c r="G909" s="77"/>
    </row>
    <row r="910">
      <c r="G910" s="77"/>
    </row>
    <row r="911">
      <c r="G911" s="77"/>
    </row>
    <row r="912">
      <c r="G912" s="77"/>
    </row>
    <row r="913">
      <c r="G913" s="77"/>
    </row>
    <row r="914">
      <c r="G914" s="77"/>
    </row>
    <row r="915">
      <c r="G915" s="77"/>
    </row>
    <row r="916">
      <c r="G916" s="77"/>
    </row>
    <row r="917">
      <c r="G917" s="77"/>
    </row>
    <row r="918">
      <c r="G918" s="77"/>
    </row>
    <row r="919">
      <c r="G919" s="77"/>
    </row>
    <row r="920">
      <c r="G920" s="77"/>
    </row>
    <row r="921">
      <c r="G921" s="77"/>
    </row>
    <row r="922">
      <c r="G922" s="77"/>
    </row>
    <row r="923">
      <c r="G923" s="77"/>
    </row>
    <row r="924">
      <c r="G924" s="77"/>
    </row>
    <row r="925">
      <c r="G925" s="77"/>
    </row>
    <row r="926">
      <c r="G926" s="77"/>
    </row>
    <row r="927">
      <c r="G927" s="77"/>
    </row>
    <row r="928">
      <c r="G928" s="77"/>
    </row>
    <row r="929">
      <c r="G929" s="77"/>
    </row>
    <row r="930">
      <c r="G930" s="77"/>
    </row>
    <row r="931">
      <c r="G931" s="77"/>
    </row>
    <row r="932">
      <c r="G932" s="77"/>
    </row>
    <row r="933">
      <c r="G933" s="77"/>
    </row>
    <row r="934">
      <c r="G934" s="77"/>
    </row>
    <row r="935">
      <c r="G935" s="77"/>
    </row>
    <row r="936">
      <c r="G936" s="77"/>
    </row>
    <row r="937">
      <c r="G937" s="77"/>
    </row>
    <row r="938">
      <c r="G938" s="77"/>
    </row>
    <row r="939">
      <c r="G939" s="77"/>
    </row>
    <row r="940">
      <c r="G940" s="77"/>
    </row>
    <row r="941">
      <c r="G941" s="77"/>
    </row>
    <row r="942">
      <c r="G942" s="77"/>
    </row>
    <row r="943">
      <c r="G943" s="77"/>
    </row>
    <row r="944">
      <c r="G944" s="77"/>
    </row>
    <row r="945">
      <c r="G945" s="77"/>
    </row>
    <row r="946">
      <c r="G946" s="77"/>
    </row>
    <row r="947">
      <c r="G947" s="77"/>
    </row>
    <row r="948">
      <c r="G948" s="77"/>
    </row>
    <row r="949">
      <c r="G949" s="77"/>
    </row>
    <row r="950">
      <c r="G950" s="77"/>
    </row>
    <row r="951">
      <c r="G951" s="77"/>
    </row>
    <row r="952">
      <c r="G952" s="77"/>
    </row>
    <row r="953">
      <c r="G953" s="77"/>
    </row>
    <row r="954">
      <c r="G954" s="77"/>
    </row>
    <row r="955">
      <c r="G955" s="77"/>
    </row>
    <row r="956">
      <c r="G956" s="77"/>
    </row>
    <row r="957">
      <c r="G957" s="77"/>
    </row>
    <row r="958">
      <c r="G958" s="77"/>
    </row>
    <row r="959">
      <c r="G959" s="77"/>
    </row>
    <row r="960">
      <c r="G960" s="77"/>
    </row>
    <row r="961">
      <c r="G961" s="77"/>
    </row>
    <row r="962">
      <c r="G962" s="77"/>
    </row>
    <row r="963">
      <c r="G963" s="77"/>
    </row>
    <row r="964">
      <c r="G964" s="77"/>
    </row>
    <row r="965">
      <c r="G965" s="77"/>
    </row>
    <row r="966">
      <c r="G966" s="77"/>
    </row>
    <row r="967">
      <c r="G967" s="77"/>
    </row>
    <row r="968">
      <c r="G968" s="77"/>
    </row>
    <row r="969">
      <c r="G969" s="77"/>
    </row>
    <row r="970">
      <c r="G970" s="77"/>
    </row>
    <row r="971">
      <c r="G971" s="77"/>
    </row>
    <row r="972">
      <c r="G972" s="77"/>
    </row>
    <row r="973">
      <c r="G973" s="77"/>
    </row>
    <row r="974">
      <c r="G974" s="77"/>
    </row>
    <row r="975">
      <c r="G975" s="77"/>
    </row>
    <row r="976">
      <c r="G976" s="77"/>
    </row>
    <row r="977">
      <c r="G977" s="77"/>
    </row>
    <row r="978">
      <c r="G978" s="77"/>
    </row>
    <row r="979">
      <c r="G979" s="77"/>
    </row>
    <row r="980">
      <c r="G980" s="77"/>
    </row>
    <row r="981">
      <c r="G981" s="77"/>
    </row>
    <row r="982">
      <c r="G982" s="77"/>
    </row>
    <row r="983">
      <c r="G983" s="77"/>
    </row>
    <row r="984">
      <c r="G984" s="77"/>
    </row>
    <row r="985">
      <c r="G985" s="77"/>
    </row>
    <row r="986">
      <c r="G986" s="77"/>
    </row>
    <row r="987">
      <c r="G987" s="77"/>
    </row>
    <row r="988">
      <c r="G988" s="77"/>
    </row>
    <row r="989">
      <c r="G989" s="77"/>
    </row>
    <row r="990">
      <c r="G990" s="77"/>
    </row>
    <row r="991">
      <c r="G991" s="77"/>
    </row>
    <row r="992">
      <c r="G992" s="77"/>
    </row>
    <row r="993">
      <c r="G993" s="77"/>
    </row>
    <row r="994">
      <c r="G994" s="77"/>
    </row>
    <row r="995">
      <c r="G995" s="77"/>
    </row>
  </sheetData>
  <mergeCells count="4">
    <mergeCell ref="A1:B1"/>
    <mergeCell ref="C1:D1"/>
    <mergeCell ref="E1:F1"/>
    <mergeCell ref="A2:B18"/>
  </mergeCells>
  <conditionalFormatting sqref="C3:C7 E3:F3">
    <cfRule type="notContainsBlanks" dxfId="2" priority="1">
      <formula>LEN(TRIM(C3))&gt;0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39.13"/>
    <col customWidth="1" min="3" max="3" width="5.25"/>
    <col customWidth="1" min="4" max="7" width="5.0"/>
    <col customWidth="1" min="8" max="8" width="7.13"/>
    <col customWidth="1" min="9" max="9" width="17.38"/>
    <col customWidth="1" min="10" max="14" width="5.0"/>
    <col customWidth="1" min="15" max="15" width="12.25"/>
    <col customWidth="1" min="16" max="16" width="17.38"/>
    <col customWidth="1" min="20" max="20" width="17.13"/>
  </cols>
  <sheetData>
    <row r="1" ht="51.0" customHeight="1">
      <c r="A1" s="78"/>
      <c r="B1" s="78"/>
      <c r="C1" s="79" t="s">
        <v>142</v>
      </c>
      <c r="J1" s="80" t="s">
        <v>144</v>
      </c>
      <c r="Q1" s="78" t="s">
        <v>1367</v>
      </c>
      <c r="R1" s="78"/>
      <c r="S1" s="78"/>
      <c r="T1" s="78"/>
      <c r="U1" s="78"/>
    </row>
    <row r="2" ht="51.0" customHeight="1">
      <c r="A2" s="75" t="s">
        <v>1368</v>
      </c>
      <c r="B2" s="75" t="s">
        <v>1369</v>
      </c>
      <c r="C2" s="81" t="s">
        <v>1357</v>
      </c>
      <c r="D2" s="81" t="s">
        <v>1359</v>
      </c>
      <c r="E2" s="81" t="s">
        <v>1361</v>
      </c>
      <c r="F2" s="81" t="s">
        <v>1363</v>
      </c>
      <c r="G2" s="81" t="s">
        <v>1365</v>
      </c>
      <c r="H2" s="81" t="s">
        <v>1370</v>
      </c>
      <c r="I2" s="81" t="s">
        <v>153</v>
      </c>
      <c r="J2" s="81" t="s">
        <v>1357</v>
      </c>
      <c r="K2" s="81" t="s">
        <v>1359</v>
      </c>
      <c r="L2" s="81" t="s">
        <v>1361</v>
      </c>
      <c r="M2" s="81" t="s">
        <v>1363</v>
      </c>
      <c r="N2" s="81" t="s">
        <v>1365</v>
      </c>
      <c r="O2" s="81" t="s">
        <v>1370</v>
      </c>
      <c r="P2" s="81" t="s">
        <v>154</v>
      </c>
      <c r="Q2" s="75" t="s">
        <v>155</v>
      </c>
      <c r="R2" s="75" t="s">
        <v>156</v>
      </c>
      <c r="S2" s="75" t="s">
        <v>157</v>
      </c>
      <c r="T2" s="75" t="s">
        <v>158</v>
      </c>
      <c r="U2" s="75" t="s">
        <v>159</v>
      </c>
    </row>
    <row r="3">
      <c r="A3" s="82" t="s">
        <v>1371</v>
      </c>
      <c r="B3" s="55" t="s">
        <v>161</v>
      </c>
      <c r="C3" s="55">
        <v>0.5</v>
      </c>
      <c r="D3" s="55">
        <v>1.0</v>
      </c>
      <c r="E3" s="55">
        <v>1.0</v>
      </c>
      <c r="F3" s="55">
        <v>1.0</v>
      </c>
      <c r="G3" s="83">
        <v>0.0</v>
      </c>
      <c r="H3" s="77">
        <f t="shared" ref="H3:H16" si="1">SUM(C3:G3)</f>
        <v>3.5</v>
      </c>
      <c r="I3" s="83" t="str">
        <f t="shared" ref="I3:I105" si="2">IF(H3&gt;=2.5,"Sim","Não")</f>
        <v>Sim</v>
      </c>
      <c r="J3" s="83">
        <v>0.0</v>
      </c>
      <c r="K3" s="83">
        <v>0.0</v>
      </c>
      <c r="L3" s="83">
        <v>1.0</v>
      </c>
      <c r="M3" s="83">
        <v>1.0</v>
      </c>
      <c r="N3" s="83">
        <v>0.0</v>
      </c>
      <c r="O3" s="77">
        <f t="shared" ref="O3:O16" si="3">SUM(I3:N3)</f>
        <v>2</v>
      </c>
      <c r="P3" s="83" t="str">
        <f t="shared" ref="P3:P105" si="4">IF(O3&gt;=2.5,"Sim","Não")</f>
        <v>Não</v>
      </c>
      <c r="Q3" s="84" t="str">
        <f t="shared" ref="Q3:Q105" si="5">IF(OR(I3="",P3=""),"",IF(I3=P3,"Igual","Diferente"))</f>
        <v>Diferente</v>
      </c>
      <c r="R3" s="55" t="s">
        <v>1372</v>
      </c>
      <c r="S3" s="55" t="s">
        <v>1373</v>
      </c>
      <c r="T3" s="55" t="s">
        <v>169</v>
      </c>
      <c r="U3" s="84" t="str">
        <f t="shared" ref="U3:U105" si="6">IF(OR(I3="",P3=""),"",IF(OR(AND(I3="Sim",P3="Sim"),I3&lt;&gt;P3),"Sim","Não"))</f>
        <v>Sim</v>
      </c>
    </row>
    <row r="4">
      <c r="A4" s="55" t="s">
        <v>1374</v>
      </c>
      <c r="B4" s="55" t="s">
        <v>1375</v>
      </c>
      <c r="C4" s="55">
        <v>1.0</v>
      </c>
      <c r="D4" s="55">
        <v>1.0</v>
      </c>
      <c r="E4" s="55">
        <v>1.0</v>
      </c>
      <c r="F4" s="55">
        <v>1.0</v>
      </c>
      <c r="G4" s="83">
        <v>0.5</v>
      </c>
      <c r="H4" s="77">
        <f t="shared" si="1"/>
        <v>4.5</v>
      </c>
      <c r="I4" s="83" t="str">
        <f t="shared" si="2"/>
        <v>Sim</v>
      </c>
      <c r="J4" s="83">
        <v>0.0</v>
      </c>
      <c r="K4" s="83">
        <v>0.0</v>
      </c>
      <c r="L4" s="83">
        <v>1.0</v>
      </c>
      <c r="M4" s="83">
        <v>1.0</v>
      </c>
      <c r="N4" s="83">
        <v>0.0</v>
      </c>
      <c r="O4" s="77">
        <f t="shared" si="3"/>
        <v>2</v>
      </c>
      <c r="P4" s="83" t="str">
        <f t="shared" si="4"/>
        <v>Não</v>
      </c>
      <c r="Q4" s="84" t="str">
        <f t="shared" si="5"/>
        <v>Diferente</v>
      </c>
      <c r="R4" s="55" t="s">
        <v>1376</v>
      </c>
      <c r="S4" s="55" t="s">
        <v>1377</v>
      </c>
      <c r="T4" s="55" t="s">
        <v>199</v>
      </c>
      <c r="U4" s="84" t="str">
        <f t="shared" si="6"/>
        <v>Sim</v>
      </c>
    </row>
    <row r="5">
      <c r="A5" s="55" t="s">
        <v>1378</v>
      </c>
      <c r="B5" s="55" t="s">
        <v>201</v>
      </c>
      <c r="C5" s="55">
        <v>0.5</v>
      </c>
      <c r="D5" s="55">
        <v>1.0</v>
      </c>
      <c r="E5" s="55">
        <v>0.5</v>
      </c>
      <c r="F5" s="55">
        <v>1.0</v>
      </c>
      <c r="G5" s="83">
        <v>0.5</v>
      </c>
      <c r="H5" s="77">
        <f t="shared" si="1"/>
        <v>3.5</v>
      </c>
      <c r="I5" s="83" t="str">
        <f t="shared" si="2"/>
        <v>Sim</v>
      </c>
      <c r="J5" s="83">
        <v>1.0</v>
      </c>
      <c r="K5" s="83">
        <v>1.0</v>
      </c>
      <c r="L5" s="83">
        <v>1.0</v>
      </c>
      <c r="M5" s="83">
        <v>1.0</v>
      </c>
      <c r="N5" s="83">
        <v>1.0</v>
      </c>
      <c r="O5" s="77">
        <f t="shared" si="3"/>
        <v>5</v>
      </c>
      <c r="P5" s="83" t="str">
        <f t="shared" si="4"/>
        <v>Sim</v>
      </c>
      <c r="Q5" s="84" t="str">
        <f t="shared" si="5"/>
        <v>Igual</v>
      </c>
      <c r="R5" s="55" t="s">
        <v>1379</v>
      </c>
      <c r="S5" s="55" t="s">
        <v>1380</v>
      </c>
      <c r="T5" s="55" t="s">
        <v>169</v>
      </c>
      <c r="U5" s="84" t="str">
        <f t="shared" si="6"/>
        <v>Sim</v>
      </c>
    </row>
    <row r="6">
      <c r="A6" s="55" t="s">
        <v>1381</v>
      </c>
      <c r="B6" s="55" t="s">
        <v>607</v>
      </c>
      <c r="C6" s="55">
        <v>1.0</v>
      </c>
      <c r="D6" s="55">
        <v>1.0</v>
      </c>
      <c r="E6" s="55">
        <v>1.0</v>
      </c>
      <c r="F6" s="55">
        <v>0.5</v>
      </c>
      <c r="G6" s="83">
        <v>0.5</v>
      </c>
      <c r="H6" s="77">
        <f t="shared" si="1"/>
        <v>4</v>
      </c>
      <c r="I6" s="83" t="str">
        <f t="shared" si="2"/>
        <v>Sim</v>
      </c>
      <c r="J6" s="83">
        <v>1.0</v>
      </c>
      <c r="K6" s="83">
        <v>0.5</v>
      </c>
      <c r="L6" s="83">
        <v>1.0</v>
      </c>
      <c r="M6" s="83">
        <v>1.0</v>
      </c>
      <c r="N6" s="83">
        <v>0.0</v>
      </c>
      <c r="O6" s="77">
        <f t="shared" si="3"/>
        <v>3.5</v>
      </c>
      <c r="P6" s="83" t="str">
        <f t="shared" si="4"/>
        <v>Sim</v>
      </c>
      <c r="Q6" s="84" t="str">
        <f t="shared" si="5"/>
        <v>Igual</v>
      </c>
      <c r="R6" s="55" t="s">
        <v>1382</v>
      </c>
      <c r="S6" s="55" t="s">
        <v>1383</v>
      </c>
      <c r="T6" s="55" t="s">
        <v>1236</v>
      </c>
      <c r="U6" s="84" t="str">
        <f t="shared" si="6"/>
        <v>Sim</v>
      </c>
    </row>
    <row r="7">
      <c r="A7" s="55" t="s">
        <v>1384</v>
      </c>
      <c r="B7" s="55" t="s">
        <v>231</v>
      </c>
      <c r="C7" s="55">
        <v>0.5</v>
      </c>
      <c r="D7" s="55">
        <v>1.0</v>
      </c>
      <c r="E7" s="55">
        <v>1.0</v>
      </c>
      <c r="F7" s="55">
        <v>1.0</v>
      </c>
      <c r="G7" s="83">
        <v>0.5</v>
      </c>
      <c r="H7" s="77">
        <f t="shared" si="1"/>
        <v>4</v>
      </c>
      <c r="I7" s="83" t="str">
        <f t="shared" si="2"/>
        <v>Sim</v>
      </c>
      <c r="J7" s="83">
        <v>0.0</v>
      </c>
      <c r="K7" s="83">
        <v>0.0</v>
      </c>
      <c r="L7" s="83">
        <v>1.0</v>
      </c>
      <c r="M7" s="83">
        <v>1.0</v>
      </c>
      <c r="N7" s="83">
        <v>0.0</v>
      </c>
      <c r="O7" s="77">
        <f t="shared" si="3"/>
        <v>2</v>
      </c>
      <c r="P7" s="83" t="str">
        <f t="shared" si="4"/>
        <v>Não</v>
      </c>
      <c r="Q7" s="84" t="str">
        <f t="shared" si="5"/>
        <v>Diferente</v>
      </c>
      <c r="R7" s="55" t="s">
        <v>1385</v>
      </c>
      <c r="S7" s="55" t="s">
        <v>1386</v>
      </c>
      <c r="T7" s="55" t="s">
        <v>169</v>
      </c>
      <c r="U7" s="84" t="str">
        <f t="shared" si="6"/>
        <v>Sim</v>
      </c>
    </row>
    <row r="8">
      <c r="A8" s="55" t="s">
        <v>1387</v>
      </c>
      <c r="B8" s="55" t="s">
        <v>614</v>
      </c>
      <c r="C8" s="55">
        <v>1.0</v>
      </c>
      <c r="D8" s="55">
        <v>1.0</v>
      </c>
      <c r="E8" s="55">
        <v>1.0</v>
      </c>
      <c r="F8" s="55">
        <v>0.5</v>
      </c>
      <c r="G8" s="83">
        <v>0.5</v>
      </c>
      <c r="H8" s="77">
        <f t="shared" si="1"/>
        <v>4</v>
      </c>
      <c r="I8" s="83" t="str">
        <f t="shared" si="2"/>
        <v>Sim</v>
      </c>
      <c r="J8" s="83">
        <v>0.5</v>
      </c>
      <c r="K8" s="83">
        <v>0.0</v>
      </c>
      <c r="L8" s="83">
        <v>0.5</v>
      </c>
      <c r="M8" s="83">
        <v>1.0</v>
      </c>
      <c r="N8" s="83">
        <v>0.5</v>
      </c>
      <c r="O8" s="77">
        <f t="shared" si="3"/>
        <v>2.5</v>
      </c>
      <c r="P8" s="83" t="str">
        <f t="shared" si="4"/>
        <v>Sim</v>
      </c>
      <c r="Q8" s="84" t="str">
        <f t="shared" si="5"/>
        <v>Igual</v>
      </c>
      <c r="R8" s="55" t="s">
        <v>1388</v>
      </c>
      <c r="S8" s="55" t="s">
        <v>1389</v>
      </c>
      <c r="T8" s="55" t="s">
        <v>169</v>
      </c>
      <c r="U8" s="84" t="str">
        <f t="shared" si="6"/>
        <v>Sim</v>
      </c>
    </row>
    <row r="9">
      <c r="A9" s="55" t="s">
        <v>1390</v>
      </c>
      <c r="B9" s="55" t="s">
        <v>1391</v>
      </c>
      <c r="C9" s="55">
        <v>0.5</v>
      </c>
      <c r="D9" s="55">
        <v>1.0</v>
      </c>
      <c r="E9" s="55">
        <v>1.0</v>
      </c>
      <c r="F9" s="55">
        <v>1.0</v>
      </c>
      <c r="G9" s="83">
        <v>0.5</v>
      </c>
      <c r="H9" s="77">
        <f t="shared" si="1"/>
        <v>4</v>
      </c>
      <c r="I9" s="83" t="str">
        <f t="shared" si="2"/>
        <v>Sim</v>
      </c>
      <c r="J9" s="83">
        <v>0.0</v>
      </c>
      <c r="K9" s="83">
        <v>1.0</v>
      </c>
      <c r="L9" s="83">
        <v>0.5</v>
      </c>
      <c r="M9" s="83">
        <v>1.0</v>
      </c>
      <c r="N9" s="83">
        <v>0.0</v>
      </c>
      <c r="O9" s="77">
        <f t="shared" si="3"/>
        <v>2.5</v>
      </c>
      <c r="P9" s="83" t="str">
        <f t="shared" si="4"/>
        <v>Sim</v>
      </c>
      <c r="Q9" s="84" t="str">
        <f t="shared" si="5"/>
        <v>Igual</v>
      </c>
      <c r="R9" s="55" t="s">
        <v>1392</v>
      </c>
      <c r="S9" s="55" t="s">
        <v>1392</v>
      </c>
      <c r="T9" s="55" t="s">
        <v>169</v>
      </c>
      <c r="U9" s="84" t="str">
        <f t="shared" si="6"/>
        <v>Sim</v>
      </c>
    </row>
    <row r="10">
      <c r="A10" s="55" t="s">
        <v>1393</v>
      </c>
      <c r="B10" s="55" t="s">
        <v>1394</v>
      </c>
      <c r="C10" s="55">
        <v>0.5</v>
      </c>
      <c r="D10" s="55">
        <v>1.0</v>
      </c>
      <c r="E10" s="55">
        <v>0.5</v>
      </c>
      <c r="F10" s="55">
        <v>1.0</v>
      </c>
      <c r="G10" s="83">
        <v>0.0</v>
      </c>
      <c r="H10" s="77">
        <f t="shared" si="1"/>
        <v>3</v>
      </c>
      <c r="I10" s="83" t="str">
        <f t="shared" si="2"/>
        <v>Sim</v>
      </c>
      <c r="J10" s="83">
        <v>0.0</v>
      </c>
      <c r="K10" s="83">
        <v>0.0</v>
      </c>
      <c r="L10" s="83">
        <v>1.0</v>
      </c>
      <c r="M10" s="83">
        <v>0.0</v>
      </c>
      <c r="N10" s="83">
        <v>0.0</v>
      </c>
      <c r="O10" s="77">
        <f t="shared" si="3"/>
        <v>1</v>
      </c>
      <c r="P10" s="83" t="str">
        <f t="shared" si="4"/>
        <v>Não</v>
      </c>
      <c r="Q10" s="84" t="str">
        <f t="shared" si="5"/>
        <v>Diferente</v>
      </c>
      <c r="R10" s="55" t="s">
        <v>1395</v>
      </c>
      <c r="S10" s="55" t="s">
        <v>1396</v>
      </c>
      <c r="T10" s="55" t="s">
        <v>199</v>
      </c>
      <c r="U10" s="84" t="str">
        <f t="shared" si="6"/>
        <v>Sim</v>
      </c>
    </row>
    <row r="11">
      <c r="A11" s="55" t="s">
        <v>1397</v>
      </c>
      <c r="B11" s="55" t="s">
        <v>625</v>
      </c>
      <c r="C11" s="55">
        <v>0.5</v>
      </c>
      <c r="D11" s="55">
        <v>1.0</v>
      </c>
      <c r="E11" s="55">
        <v>0.5</v>
      </c>
      <c r="F11" s="55">
        <v>1.0</v>
      </c>
      <c r="G11" s="83">
        <v>0.0</v>
      </c>
      <c r="H11" s="77">
        <f t="shared" si="1"/>
        <v>3</v>
      </c>
      <c r="I11" s="83" t="str">
        <f t="shared" si="2"/>
        <v>Sim</v>
      </c>
      <c r="J11" s="83">
        <v>0.5</v>
      </c>
      <c r="K11" s="83">
        <v>0.0</v>
      </c>
      <c r="L11" s="83">
        <v>0.5</v>
      </c>
      <c r="M11" s="83">
        <v>1.0</v>
      </c>
      <c r="N11" s="83">
        <v>0.5</v>
      </c>
      <c r="O11" s="77">
        <f t="shared" si="3"/>
        <v>2.5</v>
      </c>
      <c r="P11" s="83" t="str">
        <f t="shared" si="4"/>
        <v>Sim</v>
      </c>
      <c r="Q11" s="84" t="str">
        <f t="shared" si="5"/>
        <v>Igual</v>
      </c>
      <c r="R11" s="55" t="s">
        <v>1398</v>
      </c>
      <c r="S11" s="55" t="s">
        <v>1399</v>
      </c>
      <c r="T11" s="55" t="s">
        <v>199</v>
      </c>
      <c r="U11" s="84" t="str">
        <f t="shared" si="6"/>
        <v>Sim</v>
      </c>
    </row>
    <row r="12">
      <c r="A12" s="55" t="s">
        <v>1400</v>
      </c>
      <c r="B12" s="55" t="s">
        <v>261</v>
      </c>
      <c r="C12" s="55">
        <v>1.0</v>
      </c>
      <c r="D12" s="55">
        <v>1.0</v>
      </c>
      <c r="E12" s="55">
        <v>1.0</v>
      </c>
      <c r="F12" s="55">
        <v>1.0</v>
      </c>
      <c r="G12" s="83">
        <v>0.5</v>
      </c>
      <c r="H12" s="77">
        <f t="shared" si="1"/>
        <v>4.5</v>
      </c>
      <c r="I12" s="83" t="str">
        <f t="shared" si="2"/>
        <v>Sim</v>
      </c>
      <c r="J12" s="83">
        <v>0.0</v>
      </c>
      <c r="K12" s="83">
        <v>0.5</v>
      </c>
      <c r="L12" s="83">
        <v>1.0</v>
      </c>
      <c r="M12" s="83">
        <v>1.0</v>
      </c>
      <c r="N12" s="83">
        <v>0.0</v>
      </c>
      <c r="O12" s="77">
        <f t="shared" si="3"/>
        <v>2.5</v>
      </c>
      <c r="P12" s="83" t="str">
        <f t="shared" si="4"/>
        <v>Sim</v>
      </c>
      <c r="Q12" s="84" t="str">
        <f t="shared" si="5"/>
        <v>Igual</v>
      </c>
      <c r="R12" s="55" t="s">
        <v>1401</v>
      </c>
      <c r="S12" s="55" t="s">
        <v>1402</v>
      </c>
      <c r="T12" s="55" t="s">
        <v>169</v>
      </c>
      <c r="U12" s="84" t="str">
        <f t="shared" si="6"/>
        <v>Sim</v>
      </c>
    </row>
    <row r="13">
      <c r="A13" s="55" t="s">
        <v>1403</v>
      </c>
      <c r="B13" s="55" t="s">
        <v>677</v>
      </c>
      <c r="C13" s="55">
        <v>1.0</v>
      </c>
      <c r="D13" s="55">
        <v>1.0</v>
      </c>
      <c r="E13" s="55">
        <v>1.0</v>
      </c>
      <c r="F13" s="55">
        <v>1.0</v>
      </c>
      <c r="G13" s="83">
        <v>1.0</v>
      </c>
      <c r="H13" s="77">
        <f t="shared" si="1"/>
        <v>5</v>
      </c>
      <c r="I13" s="83" t="str">
        <f t="shared" si="2"/>
        <v>Sim</v>
      </c>
      <c r="J13" s="83">
        <v>0.5</v>
      </c>
      <c r="K13" s="83">
        <v>0.0</v>
      </c>
      <c r="L13" s="83">
        <v>0.5</v>
      </c>
      <c r="M13" s="83">
        <v>1.0</v>
      </c>
      <c r="N13" s="83">
        <v>0.5</v>
      </c>
      <c r="O13" s="77">
        <f t="shared" si="3"/>
        <v>2.5</v>
      </c>
      <c r="P13" s="83" t="str">
        <f t="shared" si="4"/>
        <v>Sim</v>
      </c>
      <c r="Q13" s="84" t="str">
        <f t="shared" si="5"/>
        <v>Igual</v>
      </c>
      <c r="R13" s="55" t="s">
        <v>1404</v>
      </c>
      <c r="S13" s="55" t="s">
        <v>1389</v>
      </c>
      <c r="T13" s="55" t="s">
        <v>169</v>
      </c>
      <c r="U13" s="84" t="str">
        <f t="shared" si="6"/>
        <v>Sim</v>
      </c>
    </row>
    <row r="14">
      <c r="A14" s="55" t="s">
        <v>1405</v>
      </c>
      <c r="B14" s="55" t="s">
        <v>267</v>
      </c>
      <c r="C14" s="55">
        <v>1.0</v>
      </c>
      <c r="D14" s="55">
        <v>1.0</v>
      </c>
      <c r="E14" s="55">
        <v>1.0</v>
      </c>
      <c r="F14" s="55">
        <v>1.0</v>
      </c>
      <c r="G14" s="83">
        <v>0.5</v>
      </c>
      <c r="H14" s="77">
        <f t="shared" si="1"/>
        <v>4.5</v>
      </c>
      <c r="I14" s="83" t="str">
        <f t="shared" si="2"/>
        <v>Sim</v>
      </c>
      <c r="J14" s="83">
        <v>0.0</v>
      </c>
      <c r="K14" s="83">
        <v>0.5</v>
      </c>
      <c r="L14" s="83">
        <v>1.0</v>
      </c>
      <c r="M14" s="83">
        <v>1.0</v>
      </c>
      <c r="N14" s="83">
        <v>0.0</v>
      </c>
      <c r="O14" s="77">
        <f t="shared" si="3"/>
        <v>2.5</v>
      </c>
      <c r="P14" s="83" t="str">
        <f t="shared" si="4"/>
        <v>Sim</v>
      </c>
      <c r="Q14" s="84" t="str">
        <f t="shared" si="5"/>
        <v>Igual</v>
      </c>
      <c r="R14" s="55" t="s">
        <v>1401</v>
      </c>
      <c r="S14" s="55" t="s">
        <v>1402</v>
      </c>
      <c r="T14" s="55" t="s">
        <v>169</v>
      </c>
      <c r="U14" s="84" t="str">
        <f t="shared" si="6"/>
        <v>Sim</v>
      </c>
    </row>
    <row r="15">
      <c r="A15" s="55" t="s">
        <v>1406</v>
      </c>
      <c r="B15" s="55" t="s">
        <v>277</v>
      </c>
      <c r="C15" s="55">
        <v>0.5</v>
      </c>
      <c r="D15" s="55">
        <v>1.0</v>
      </c>
      <c r="E15" s="55">
        <v>1.0</v>
      </c>
      <c r="F15" s="55">
        <v>1.0</v>
      </c>
      <c r="G15" s="83">
        <v>0.5</v>
      </c>
      <c r="H15" s="77">
        <f t="shared" si="1"/>
        <v>4</v>
      </c>
      <c r="I15" s="83" t="str">
        <f t="shared" si="2"/>
        <v>Sim</v>
      </c>
      <c r="J15" s="83">
        <v>0.0</v>
      </c>
      <c r="K15" s="83">
        <v>0.0</v>
      </c>
      <c r="L15" s="83">
        <v>0.0</v>
      </c>
      <c r="M15" s="83">
        <v>1.0</v>
      </c>
      <c r="N15" s="83">
        <v>1.0</v>
      </c>
      <c r="O15" s="77">
        <f t="shared" si="3"/>
        <v>2</v>
      </c>
      <c r="P15" s="83" t="str">
        <f t="shared" si="4"/>
        <v>Não</v>
      </c>
      <c r="Q15" s="84" t="str">
        <f t="shared" si="5"/>
        <v>Diferente</v>
      </c>
      <c r="R15" s="55" t="s">
        <v>1407</v>
      </c>
      <c r="S15" s="55" t="s">
        <v>1408</v>
      </c>
      <c r="T15" s="55" t="s">
        <v>199</v>
      </c>
      <c r="U15" s="84" t="str">
        <f t="shared" si="6"/>
        <v>Sim</v>
      </c>
    </row>
    <row r="16">
      <c r="A16" s="55" t="s">
        <v>1409</v>
      </c>
      <c r="B16" s="55" t="s">
        <v>701</v>
      </c>
      <c r="C16" s="55">
        <v>1.0</v>
      </c>
      <c r="D16" s="55">
        <v>0.5</v>
      </c>
      <c r="E16" s="55">
        <v>0.5</v>
      </c>
      <c r="F16" s="55">
        <v>0.5</v>
      </c>
      <c r="G16" s="83">
        <v>0.5</v>
      </c>
      <c r="H16" s="77">
        <f t="shared" si="1"/>
        <v>3</v>
      </c>
      <c r="I16" s="83" t="str">
        <f t="shared" si="2"/>
        <v>Sim</v>
      </c>
      <c r="J16" s="83">
        <v>0.5</v>
      </c>
      <c r="K16" s="83">
        <v>0.0</v>
      </c>
      <c r="L16" s="83">
        <v>0.5</v>
      </c>
      <c r="M16" s="83">
        <v>1.0</v>
      </c>
      <c r="N16" s="83">
        <v>0.5</v>
      </c>
      <c r="O16" s="77">
        <f t="shared" si="3"/>
        <v>2.5</v>
      </c>
      <c r="P16" s="83" t="str">
        <f t="shared" si="4"/>
        <v>Sim</v>
      </c>
      <c r="Q16" s="84" t="str">
        <f t="shared" si="5"/>
        <v>Igual</v>
      </c>
      <c r="R16" s="55" t="s">
        <v>1410</v>
      </c>
      <c r="S16" s="55" t="s">
        <v>1411</v>
      </c>
      <c r="T16" s="55" t="s">
        <v>199</v>
      </c>
      <c r="U16" s="84" t="str">
        <f t="shared" si="6"/>
        <v>Sim</v>
      </c>
    </row>
    <row r="17">
      <c r="A17" s="55" t="s">
        <v>1412</v>
      </c>
      <c r="B17" s="55" t="s">
        <v>295</v>
      </c>
      <c r="C17" s="55">
        <v>0.5</v>
      </c>
      <c r="D17" s="55">
        <v>1.0</v>
      </c>
      <c r="E17" s="55">
        <v>1.0</v>
      </c>
      <c r="F17" s="55">
        <v>1.0</v>
      </c>
      <c r="G17" s="83">
        <v>1.0</v>
      </c>
      <c r="H17" s="85">
        <v>45781.0</v>
      </c>
      <c r="I17" s="83" t="str">
        <f t="shared" si="2"/>
        <v>Sim</v>
      </c>
      <c r="J17" s="83">
        <v>0.0</v>
      </c>
      <c r="K17" s="83">
        <v>1.0</v>
      </c>
      <c r="L17" s="83">
        <v>0.5</v>
      </c>
      <c r="M17" s="83">
        <v>1.0</v>
      </c>
      <c r="N17" s="83">
        <v>0.0</v>
      </c>
      <c r="O17" s="85">
        <v>45779.0</v>
      </c>
      <c r="P17" s="83" t="str">
        <f t="shared" si="4"/>
        <v>Sim</v>
      </c>
      <c r="Q17" s="84" t="str">
        <f t="shared" si="5"/>
        <v>Igual</v>
      </c>
      <c r="R17" s="55" t="s">
        <v>1413</v>
      </c>
      <c r="S17" s="55" t="s">
        <v>1414</v>
      </c>
      <c r="T17" s="55" t="s">
        <v>199</v>
      </c>
      <c r="U17" s="84" t="str">
        <f t="shared" si="6"/>
        <v>Sim</v>
      </c>
    </row>
    <row r="18">
      <c r="A18" s="55" t="s">
        <v>1415</v>
      </c>
      <c r="B18" s="55" t="s">
        <v>709</v>
      </c>
      <c r="C18" s="55">
        <v>0.5</v>
      </c>
      <c r="D18" s="55">
        <v>0.5</v>
      </c>
      <c r="E18" s="55">
        <v>1.0</v>
      </c>
      <c r="F18" s="55">
        <v>0.5</v>
      </c>
      <c r="G18" s="83">
        <v>0.5</v>
      </c>
      <c r="H18" s="77">
        <f t="shared" ref="H18:H105" si="7">SUM(C18:G18)</f>
        <v>3</v>
      </c>
      <c r="I18" s="83" t="str">
        <f t="shared" si="2"/>
        <v>Sim</v>
      </c>
      <c r="J18" s="83">
        <v>0.5</v>
      </c>
      <c r="K18" s="83">
        <v>0.0</v>
      </c>
      <c r="L18" s="83">
        <v>0.5</v>
      </c>
      <c r="M18" s="83">
        <v>0.5</v>
      </c>
      <c r="N18" s="83">
        <v>0.0</v>
      </c>
      <c r="O18" s="77">
        <f t="shared" ref="O18:O105" si="8">SUM(I18:N18)</f>
        <v>1.5</v>
      </c>
      <c r="P18" s="83" t="str">
        <f t="shared" si="4"/>
        <v>Não</v>
      </c>
      <c r="Q18" s="84" t="str">
        <f t="shared" si="5"/>
        <v>Diferente</v>
      </c>
      <c r="R18" s="55" t="s">
        <v>1416</v>
      </c>
      <c r="S18" s="55" t="s">
        <v>1417</v>
      </c>
      <c r="T18" s="86"/>
      <c r="U18" s="84" t="str">
        <f t="shared" si="6"/>
        <v>Sim</v>
      </c>
    </row>
    <row r="19">
      <c r="A19" s="55" t="s">
        <v>1418</v>
      </c>
      <c r="B19" s="55" t="s">
        <v>721</v>
      </c>
      <c r="C19" s="55">
        <v>0.0</v>
      </c>
      <c r="D19" s="55">
        <v>0.0</v>
      </c>
      <c r="E19" s="55">
        <v>0.0</v>
      </c>
      <c r="F19" s="55">
        <v>0.0</v>
      </c>
      <c r="G19" s="83">
        <v>0.0</v>
      </c>
      <c r="H19" s="77">
        <f t="shared" si="7"/>
        <v>0</v>
      </c>
      <c r="I19" s="83" t="str">
        <f t="shared" si="2"/>
        <v>Não</v>
      </c>
      <c r="J19" s="83">
        <v>0.5</v>
      </c>
      <c r="K19" s="83">
        <v>0.0</v>
      </c>
      <c r="L19" s="83">
        <v>0.5</v>
      </c>
      <c r="M19" s="83">
        <v>1.0</v>
      </c>
      <c r="N19" s="83">
        <v>0.0</v>
      </c>
      <c r="O19" s="77">
        <f t="shared" si="8"/>
        <v>2</v>
      </c>
      <c r="P19" s="83" t="str">
        <f t="shared" si="4"/>
        <v>Não</v>
      </c>
      <c r="Q19" s="84" t="str">
        <f t="shared" si="5"/>
        <v>Igual</v>
      </c>
      <c r="R19" s="55" t="s">
        <v>1419</v>
      </c>
      <c r="T19" s="86"/>
      <c r="U19" s="84" t="str">
        <f t="shared" si="6"/>
        <v>Não</v>
      </c>
      <c r="V19" s="55" t="s">
        <v>31</v>
      </c>
    </row>
    <row r="20">
      <c r="A20" s="55" t="s">
        <v>1420</v>
      </c>
      <c r="B20" s="55" t="s">
        <v>381</v>
      </c>
      <c r="C20" s="55">
        <v>0.0</v>
      </c>
      <c r="D20" s="55">
        <v>0.0</v>
      </c>
      <c r="E20" s="55">
        <v>0.5</v>
      </c>
      <c r="F20" s="55">
        <v>0.0</v>
      </c>
      <c r="G20" s="83">
        <v>0.0</v>
      </c>
      <c r="H20" s="77">
        <f t="shared" si="7"/>
        <v>0.5</v>
      </c>
      <c r="I20" s="83" t="str">
        <f t="shared" si="2"/>
        <v>Não</v>
      </c>
      <c r="J20" s="83">
        <v>0.5</v>
      </c>
      <c r="K20" s="83">
        <v>0.0</v>
      </c>
      <c r="L20" s="83">
        <v>0.0</v>
      </c>
      <c r="M20" s="83">
        <v>0.0</v>
      </c>
      <c r="N20" s="83">
        <v>0.5</v>
      </c>
      <c r="O20" s="77">
        <f t="shared" si="8"/>
        <v>1</v>
      </c>
      <c r="P20" s="83" t="str">
        <f t="shared" si="4"/>
        <v>Não</v>
      </c>
      <c r="Q20" s="84" t="str">
        <f t="shared" si="5"/>
        <v>Igual</v>
      </c>
      <c r="R20" s="55" t="s">
        <v>1421</v>
      </c>
      <c r="S20" s="55" t="s">
        <v>1422</v>
      </c>
      <c r="T20" s="55" t="s">
        <v>1236</v>
      </c>
      <c r="U20" s="84" t="str">
        <f t="shared" si="6"/>
        <v>Não</v>
      </c>
      <c r="V20" s="55" t="s">
        <v>34</v>
      </c>
    </row>
    <row r="21">
      <c r="A21" s="55" t="s">
        <v>1423</v>
      </c>
      <c r="B21" s="55" t="s">
        <v>403</v>
      </c>
      <c r="C21" s="55">
        <v>1.0</v>
      </c>
      <c r="D21" s="55">
        <v>1.0</v>
      </c>
      <c r="E21" s="55">
        <v>0.5</v>
      </c>
      <c r="F21" s="55">
        <v>1.0</v>
      </c>
      <c r="G21" s="83">
        <v>1.0</v>
      </c>
      <c r="H21" s="77">
        <f t="shared" si="7"/>
        <v>4.5</v>
      </c>
      <c r="I21" s="83" t="str">
        <f t="shared" si="2"/>
        <v>Sim</v>
      </c>
      <c r="J21" s="83">
        <v>0.5</v>
      </c>
      <c r="K21" s="83">
        <v>0.5</v>
      </c>
      <c r="L21" s="83">
        <v>1.0</v>
      </c>
      <c r="M21" s="83">
        <v>1.0</v>
      </c>
      <c r="N21" s="83">
        <v>0.0</v>
      </c>
      <c r="O21" s="77">
        <f t="shared" si="8"/>
        <v>3</v>
      </c>
      <c r="P21" s="83" t="str">
        <f t="shared" si="4"/>
        <v>Sim</v>
      </c>
      <c r="Q21" s="84" t="str">
        <f t="shared" si="5"/>
        <v>Igual</v>
      </c>
      <c r="R21" s="55" t="s">
        <v>1424</v>
      </c>
      <c r="S21" s="55" t="s">
        <v>1425</v>
      </c>
      <c r="T21" s="55" t="s">
        <v>199</v>
      </c>
      <c r="U21" s="84" t="str">
        <f t="shared" si="6"/>
        <v>Sim</v>
      </c>
    </row>
    <row r="22">
      <c r="A22" s="55" t="s">
        <v>1426</v>
      </c>
      <c r="B22" s="55" t="s">
        <v>409</v>
      </c>
      <c r="C22" s="55">
        <v>1.0</v>
      </c>
      <c r="D22" s="55">
        <v>1.0</v>
      </c>
      <c r="E22" s="55">
        <v>0.5</v>
      </c>
      <c r="F22" s="55">
        <v>1.0</v>
      </c>
      <c r="G22" s="83">
        <v>1.0</v>
      </c>
      <c r="H22" s="77">
        <f t="shared" si="7"/>
        <v>4.5</v>
      </c>
      <c r="I22" s="83" t="str">
        <f t="shared" si="2"/>
        <v>Sim</v>
      </c>
      <c r="J22" s="83">
        <v>0.5</v>
      </c>
      <c r="K22" s="83">
        <v>0.5</v>
      </c>
      <c r="L22" s="83">
        <v>0.5</v>
      </c>
      <c r="M22" s="83">
        <v>1.0</v>
      </c>
      <c r="N22" s="83">
        <v>1.0</v>
      </c>
      <c r="O22" s="77">
        <f t="shared" si="8"/>
        <v>3.5</v>
      </c>
      <c r="P22" s="83" t="str">
        <f t="shared" si="4"/>
        <v>Sim</v>
      </c>
      <c r="Q22" s="84" t="str">
        <f t="shared" si="5"/>
        <v>Igual</v>
      </c>
      <c r="R22" s="55" t="s">
        <v>1427</v>
      </c>
      <c r="S22" s="55" t="s">
        <v>1428</v>
      </c>
      <c r="T22" s="55" t="s">
        <v>1236</v>
      </c>
      <c r="U22" s="84" t="str">
        <f t="shared" si="6"/>
        <v>Sim</v>
      </c>
    </row>
    <row r="23">
      <c r="A23" s="55" t="s">
        <v>1429</v>
      </c>
      <c r="B23" s="55" t="s">
        <v>413</v>
      </c>
      <c r="C23" s="55">
        <v>1.0</v>
      </c>
      <c r="D23" s="55">
        <v>1.0</v>
      </c>
      <c r="E23" s="55">
        <v>0.5</v>
      </c>
      <c r="F23" s="55">
        <v>1.0</v>
      </c>
      <c r="G23" s="83">
        <v>1.0</v>
      </c>
      <c r="H23" s="77">
        <f t="shared" si="7"/>
        <v>4.5</v>
      </c>
      <c r="I23" s="83" t="str">
        <f t="shared" si="2"/>
        <v>Sim</v>
      </c>
      <c r="J23" s="83">
        <v>0.0</v>
      </c>
      <c r="K23" s="83">
        <v>0.0</v>
      </c>
      <c r="L23" s="83">
        <v>0.5</v>
      </c>
      <c r="M23" s="83">
        <v>1.0</v>
      </c>
      <c r="N23" s="83">
        <v>0.0</v>
      </c>
      <c r="O23" s="77">
        <f t="shared" si="8"/>
        <v>1.5</v>
      </c>
      <c r="P23" s="83" t="str">
        <f t="shared" si="4"/>
        <v>Não</v>
      </c>
      <c r="Q23" s="84" t="str">
        <f t="shared" si="5"/>
        <v>Diferente</v>
      </c>
      <c r="R23" s="55" t="s">
        <v>1430</v>
      </c>
      <c r="S23" s="55" t="s">
        <v>1431</v>
      </c>
      <c r="T23" s="55" t="s">
        <v>199</v>
      </c>
      <c r="U23" s="84" t="str">
        <f t="shared" si="6"/>
        <v>Sim</v>
      </c>
    </row>
    <row r="24">
      <c r="A24" s="55" t="s">
        <v>1432</v>
      </c>
      <c r="B24" s="55" t="s">
        <v>421</v>
      </c>
      <c r="C24" s="55">
        <v>1.0</v>
      </c>
      <c r="D24" s="55">
        <v>1.0</v>
      </c>
      <c r="E24" s="55">
        <v>0.5</v>
      </c>
      <c r="F24" s="55">
        <v>1.0</v>
      </c>
      <c r="G24" s="83">
        <v>0.5</v>
      </c>
      <c r="H24" s="77">
        <f t="shared" si="7"/>
        <v>4</v>
      </c>
      <c r="I24" s="83" t="str">
        <f t="shared" si="2"/>
        <v>Sim</v>
      </c>
      <c r="J24" s="83">
        <v>1.0</v>
      </c>
      <c r="K24" s="83">
        <v>0.5</v>
      </c>
      <c r="L24" s="83">
        <v>0.5</v>
      </c>
      <c r="M24" s="83">
        <v>1.0</v>
      </c>
      <c r="N24" s="83">
        <v>1.0</v>
      </c>
      <c r="O24" s="77">
        <f t="shared" si="8"/>
        <v>4</v>
      </c>
      <c r="P24" s="83" t="str">
        <f t="shared" si="4"/>
        <v>Sim</v>
      </c>
      <c r="Q24" s="84" t="str">
        <f t="shared" si="5"/>
        <v>Igual</v>
      </c>
      <c r="R24" s="55" t="s">
        <v>1433</v>
      </c>
      <c r="S24" s="55" t="s">
        <v>1434</v>
      </c>
      <c r="T24" s="55" t="s">
        <v>199</v>
      </c>
      <c r="U24" s="84" t="str">
        <f t="shared" si="6"/>
        <v>Sim</v>
      </c>
    </row>
    <row r="25">
      <c r="A25" s="55" t="s">
        <v>1435</v>
      </c>
      <c r="B25" s="55" t="s">
        <v>179</v>
      </c>
      <c r="C25" s="55">
        <v>0.5</v>
      </c>
      <c r="D25" s="55">
        <v>0.0</v>
      </c>
      <c r="E25" s="55">
        <v>0.0</v>
      </c>
      <c r="F25" s="55">
        <v>0.0</v>
      </c>
      <c r="G25" s="83">
        <v>0.0</v>
      </c>
      <c r="H25" s="77">
        <f t="shared" si="7"/>
        <v>0.5</v>
      </c>
      <c r="I25" s="83" t="str">
        <f t="shared" si="2"/>
        <v>Não</v>
      </c>
      <c r="J25" s="83">
        <v>0.0</v>
      </c>
      <c r="K25" s="83">
        <v>0.0</v>
      </c>
      <c r="L25" s="83">
        <v>0.0</v>
      </c>
      <c r="M25" s="83">
        <v>0.5</v>
      </c>
      <c r="N25" s="83">
        <v>0.0</v>
      </c>
      <c r="O25" s="77">
        <f t="shared" si="8"/>
        <v>0.5</v>
      </c>
      <c r="P25" s="83" t="str">
        <f t="shared" si="4"/>
        <v>Não</v>
      </c>
      <c r="Q25" s="84" t="str">
        <f t="shared" si="5"/>
        <v>Igual</v>
      </c>
      <c r="R25" s="55" t="s">
        <v>1436</v>
      </c>
      <c r="S25" s="55" t="s">
        <v>1437</v>
      </c>
      <c r="T25" s="55" t="s">
        <v>169</v>
      </c>
      <c r="U25" s="84" t="str">
        <f t="shared" si="6"/>
        <v>Não</v>
      </c>
      <c r="V25" s="55" t="s">
        <v>37</v>
      </c>
    </row>
    <row r="26">
      <c r="A26" s="55" t="s">
        <v>1438</v>
      </c>
      <c r="B26" s="55" t="s">
        <v>435</v>
      </c>
      <c r="C26" s="55">
        <v>1.0</v>
      </c>
      <c r="D26" s="55">
        <v>1.0</v>
      </c>
      <c r="E26" s="55">
        <v>1.0</v>
      </c>
      <c r="F26" s="55">
        <v>1.0</v>
      </c>
      <c r="G26" s="83">
        <v>1.0</v>
      </c>
      <c r="H26" s="77">
        <f t="shared" si="7"/>
        <v>5</v>
      </c>
      <c r="I26" s="83" t="str">
        <f t="shared" si="2"/>
        <v>Sim</v>
      </c>
      <c r="J26" s="83">
        <v>0.5</v>
      </c>
      <c r="K26" s="83">
        <v>0.5</v>
      </c>
      <c r="L26" s="83">
        <v>0.0</v>
      </c>
      <c r="M26" s="83">
        <v>1.0</v>
      </c>
      <c r="N26" s="83">
        <v>1.0</v>
      </c>
      <c r="O26" s="77">
        <f t="shared" si="8"/>
        <v>3</v>
      </c>
      <c r="P26" s="83" t="str">
        <f t="shared" si="4"/>
        <v>Sim</v>
      </c>
      <c r="Q26" s="84" t="str">
        <f t="shared" si="5"/>
        <v>Igual</v>
      </c>
      <c r="R26" s="55" t="s">
        <v>1439</v>
      </c>
      <c r="S26" s="55" t="s">
        <v>1440</v>
      </c>
      <c r="T26" s="55" t="s">
        <v>199</v>
      </c>
      <c r="U26" s="84" t="str">
        <f t="shared" si="6"/>
        <v>Sim</v>
      </c>
    </row>
    <row r="27">
      <c r="A27" s="55" t="s">
        <v>1441</v>
      </c>
      <c r="B27" s="55" t="s">
        <v>1442</v>
      </c>
      <c r="C27" s="55">
        <v>0.5</v>
      </c>
      <c r="D27" s="55">
        <v>0.0</v>
      </c>
      <c r="E27" s="55">
        <v>1.0</v>
      </c>
      <c r="F27" s="55">
        <v>0.0</v>
      </c>
      <c r="G27" s="83">
        <v>0.0</v>
      </c>
      <c r="H27" s="77">
        <f t="shared" si="7"/>
        <v>1.5</v>
      </c>
      <c r="I27" s="83" t="str">
        <f t="shared" si="2"/>
        <v>Não</v>
      </c>
      <c r="J27" s="83">
        <v>0.0</v>
      </c>
      <c r="K27" s="83">
        <v>0.0</v>
      </c>
      <c r="L27" s="83">
        <v>1.0</v>
      </c>
      <c r="M27" s="83">
        <v>0.0</v>
      </c>
      <c r="N27" s="83">
        <v>0.0</v>
      </c>
      <c r="O27" s="77">
        <f t="shared" si="8"/>
        <v>1</v>
      </c>
      <c r="P27" s="83" t="str">
        <f t="shared" si="4"/>
        <v>Não</v>
      </c>
      <c r="Q27" s="84" t="str">
        <f t="shared" si="5"/>
        <v>Igual</v>
      </c>
      <c r="R27" s="55" t="s">
        <v>1443</v>
      </c>
      <c r="S27" s="55" t="s">
        <v>1444</v>
      </c>
      <c r="T27" s="55" t="s">
        <v>1236</v>
      </c>
      <c r="U27" s="84" t="str">
        <f t="shared" si="6"/>
        <v>Não</v>
      </c>
      <c r="V27" s="55" t="s">
        <v>37</v>
      </c>
    </row>
    <row r="28">
      <c r="A28" s="55" t="s">
        <v>1445</v>
      </c>
      <c r="B28" s="83" t="s">
        <v>947</v>
      </c>
      <c r="C28" s="55">
        <v>1.0</v>
      </c>
      <c r="D28" s="55">
        <v>0.5</v>
      </c>
      <c r="E28" s="55">
        <v>0.5</v>
      </c>
      <c r="F28" s="55">
        <v>1.0</v>
      </c>
      <c r="G28" s="83">
        <v>0.0</v>
      </c>
      <c r="H28" s="77">
        <f t="shared" si="7"/>
        <v>3</v>
      </c>
      <c r="I28" s="83" t="str">
        <f t="shared" si="2"/>
        <v>Sim</v>
      </c>
      <c r="J28" s="83">
        <v>1.0</v>
      </c>
      <c r="K28" s="83">
        <v>1.0</v>
      </c>
      <c r="L28" s="83">
        <v>1.0</v>
      </c>
      <c r="M28" s="83">
        <v>1.0</v>
      </c>
      <c r="N28" s="83">
        <v>1.0</v>
      </c>
      <c r="O28" s="77">
        <f t="shared" si="8"/>
        <v>5</v>
      </c>
      <c r="P28" s="83" t="str">
        <f t="shared" si="4"/>
        <v>Sim</v>
      </c>
      <c r="Q28" s="84" t="str">
        <f t="shared" si="5"/>
        <v>Igual</v>
      </c>
      <c r="R28" s="55" t="s">
        <v>1446</v>
      </c>
      <c r="S28" s="55" t="s">
        <v>1447</v>
      </c>
      <c r="T28" s="55" t="s">
        <v>169</v>
      </c>
      <c r="U28" s="84" t="str">
        <f t="shared" si="6"/>
        <v>Sim</v>
      </c>
    </row>
    <row r="29">
      <c r="A29" s="55" t="s">
        <v>1448</v>
      </c>
      <c r="B29" s="83" t="s">
        <v>1067</v>
      </c>
      <c r="C29" s="55">
        <v>1.0</v>
      </c>
      <c r="D29" s="55">
        <v>0.5</v>
      </c>
      <c r="E29" s="55">
        <v>0.5</v>
      </c>
      <c r="F29" s="55">
        <v>1.0</v>
      </c>
      <c r="G29" s="83">
        <v>0.0</v>
      </c>
      <c r="H29" s="77">
        <f t="shared" si="7"/>
        <v>3</v>
      </c>
      <c r="I29" s="83" t="str">
        <f t="shared" si="2"/>
        <v>Sim</v>
      </c>
      <c r="J29" s="83">
        <v>1.0</v>
      </c>
      <c r="K29" s="83">
        <v>1.0</v>
      </c>
      <c r="L29" s="83">
        <v>0.5</v>
      </c>
      <c r="M29" s="83">
        <v>1.0</v>
      </c>
      <c r="N29" s="83">
        <v>1.0</v>
      </c>
      <c r="O29" s="77">
        <f t="shared" si="8"/>
        <v>4.5</v>
      </c>
      <c r="P29" s="83" t="str">
        <f t="shared" si="4"/>
        <v>Sim</v>
      </c>
      <c r="Q29" s="84" t="str">
        <f t="shared" si="5"/>
        <v>Igual</v>
      </c>
      <c r="R29" s="55" t="s">
        <v>1449</v>
      </c>
      <c r="S29" s="55" t="s">
        <v>1450</v>
      </c>
      <c r="T29" s="55" t="s">
        <v>169</v>
      </c>
      <c r="U29" s="84" t="str">
        <f t="shared" si="6"/>
        <v>Sim</v>
      </c>
    </row>
    <row r="30">
      <c r="A30" s="55" t="s">
        <v>1451</v>
      </c>
      <c r="B30" s="83" t="s">
        <v>1071</v>
      </c>
      <c r="C30" s="55">
        <v>1.0</v>
      </c>
      <c r="D30" s="55">
        <v>1.0</v>
      </c>
      <c r="E30" s="55">
        <v>0.5</v>
      </c>
      <c r="F30" s="55">
        <v>0.5</v>
      </c>
      <c r="G30" s="83">
        <v>1.0</v>
      </c>
      <c r="H30" s="77">
        <f t="shared" si="7"/>
        <v>4</v>
      </c>
      <c r="I30" s="83" t="str">
        <f t="shared" si="2"/>
        <v>Sim</v>
      </c>
      <c r="J30" s="83">
        <v>1.0</v>
      </c>
      <c r="K30" s="83">
        <v>1.0</v>
      </c>
      <c r="L30" s="83">
        <v>1.0</v>
      </c>
      <c r="M30" s="83">
        <v>1.0</v>
      </c>
      <c r="N30" s="83">
        <v>1.0</v>
      </c>
      <c r="O30" s="77">
        <f t="shared" si="8"/>
        <v>5</v>
      </c>
      <c r="P30" s="83" t="str">
        <f t="shared" si="4"/>
        <v>Sim</v>
      </c>
      <c r="Q30" s="84" t="str">
        <f t="shared" si="5"/>
        <v>Igual</v>
      </c>
      <c r="R30" s="55" t="s">
        <v>1421</v>
      </c>
      <c r="S30" s="55" t="s">
        <v>1452</v>
      </c>
      <c r="T30" s="55" t="s">
        <v>169</v>
      </c>
      <c r="U30" s="84" t="str">
        <f t="shared" si="6"/>
        <v>Sim</v>
      </c>
    </row>
    <row r="31">
      <c r="A31" s="55" t="s">
        <v>1453</v>
      </c>
      <c r="B31" s="83" t="s">
        <v>1077</v>
      </c>
      <c r="C31" s="55">
        <v>0.5</v>
      </c>
      <c r="D31" s="55">
        <v>0.0</v>
      </c>
      <c r="E31" s="55">
        <v>0.5</v>
      </c>
      <c r="F31" s="55">
        <v>0.0</v>
      </c>
      <c r="G31" s="83">
        <v>0.0</v>
      </c>
      <c r="H31" s="77">
        <f t="shared" si="7"/>
        <v>1</v>
      </c>
      <c r="I31" s="83" t="str">
        <f t="shared" si="2"/>
        <v>Não</v>
      </c>
      <c r="J31" s="83">
        <v>0.0</v>
      </c>
      <c r="K31" s="83">
        <v>0.0</v>
      </c>
      <c r="L31" s="83">
        <v>0.0</v>
      </c>
      <c r="M31" s="83">
        <v>0.0</v>
      </c>
      <c r="N31" s="83">
        <v>0.0</v>
      </c>
      <c r="O31" s="77">
        <f t="shared" si="8"/>
        <v>0</v>
      </c>
      <c r="P31" s="83" t="str">
        <f t="shared" si="4"/>
        <v>Não</v>
      </c>
      <c r="Q31" s="84" t="str">
        <f t="shared" si="5"/>
        <v>Igual</v>
      </c>
      <c r="R31" s="55" t="s">
        <v>1454</v>
      </c>
      <c r="S31" s="55" t="s">
        <v>1455</v>
      </c>
      <c r="T31" s="55" t="s">
        <v>169</v>
      </c>
      <c r="U31" s="84" t="str">
        <f t="shared" si="6"/>
        <v>Não</v>
      </c>
      <c r="V31" s="55" t="s">
        <v>31</v>
      </c>
    </row>
    <row r="32">
      <c r="A32" s="55" t="s">
        <v>1456</v>
      </c>
      <c r="B32" s="83" t="s">
        <v>1084</v>
      </c>
      <c r="C32" s="55">
        <v>1.0</v>
      </c>
      <c r="D32" s="55">
        <v>0.5</v>
      </c>
      <c r="E32" s="55">
        <v>0.5</v>
      </c>
      <c r="F32" s="55">
        <v>1.0</v>
      </c>
      <c r="G32" s="83">
        <v>1.0</v>
      </c>
      <c r="H32" s="77">
        <f t="shared" si="7"/>
        <v>4</v>
      </c>
      <c r="I32" s="83" t="str">
        <f t="shared" si="2"/>
        <v>Sim</v>
      </c>
      <c r="J32" s="83">
        <v>1.0</v>
      </c>
      <c r="K32" s="83">
        <v>1.0</v>
      </c>
      <c r="L32" s="83">
        <v>0.5</v>
      </c>
      <c r="M32" s="83">
        <v>1.0</v>
      </c>
      <c r="N32" s="83">
        <v>1.0</v>
      </c>
      <c r="O32" s="77">
        <f t="shared" si="8"/>
        <v>4.5</v>
      </c>
      <c r="P32" s="83" t="str">
        <f t="shared" si="4"/>
        <v>Sim</v>
      </c>
      <c r="Q32" s="84" t="str">
        <f t="shared" si="5"/>
        <v>Igual</v>
      </c>
      <c r="R32" s="55" t="s">
        <v>1457</v>
      </c>
      <c r="S32" s="55" t="s">
        <v>1422</v>
      </c>
      <c r="T32" s="55" t="s">
        <v>169</v>
      </c>
      <c r="U32" s="84" t="str">
        <f t="shared" si="6"/>
        <v>Sim</v>
      </c>
    </row>
    <row r="33">
      <c r="A33" s="55" t="s">
        <v>1458</v>
      </c>
      <c r="B33" s="83" t="s">
        <v>1090</v>
      </c>
      <c r="C33" s="55">
        <v>0.5</v>
      </c>
      <c r="D33" s="55">
        <v>1.0</v>
      </c>
      <c r="E33" s="55">
        <v>1.0</v>
      </c>
      <c r="F33" s="55">
        <v>1.0</v>
      </c>
      <c r="G33" s="83">
        <v>0.5</v>
      </c>
      <c r="H33" s="77">
        <f t="shared" si="7"/>
        <v>4</v>
      </c>
      <c r="I33" s="83" t="str">
        <f t="shared" si="2"/>
        <v>Sim</v>
      </c>
      <c r="J33" s="83">
        <v>0.0</v>
      </c>
      <c r="K33" s="83">
        <v>1.0</v>
      </c>
      <c r="L33" s="83">
        <v>0.5</v>
      </c>
      <c r="M33" s="83">
        <v>0.5</v>
      </c>
      <c r="N33" s="83">
        <v>0.0</v>
      </c>
      <c r="O33" s="77">
        <f t="shared" si="8"/>
        <v>2</v>
      </c>
      <c r="P33" s="83" t="str">
        <f t="shared" si="4"/>
        <v>Não</v>
      </c>
      <c r="Q33" s="84" t="str">
        <f t="shared" si="5"/>
        <v>Diferente</v>
      </c>
      <c r="R33" s="55" t="s">
        <v>1459</v>
      </c>
      <c r="S33" s="55" t="s">
        <v>1460</v>
      </c>
      <c r="T33" s="55" t="s">
        <v>169</v>
      </c>
      <c r="U33" s="84" t="str">
        <f t="shared" si="6"/>
        <v>Sim</v>
      </c>
    </row>
    <row r="34">
      <c r="A34" s="55" t="s">
        <v>1461</v>
      </c>
      <c r="B34" s="83" t="s">
        <v>1102</v>
      </c>
      <c r="C34" s="55">
        <v>1.0</v>
      </c>
      <c r="D34" s="55">
        <v>1.0</v>
      </c>
      <c r="E34" s="55">
        <v>0.5</v>
      </c>
      <c r="F34" s="55">
        <v>1.0</v>
      </c>
      <c r="G34" s="83">
        <v>0.5</v>
      </c>
      <c r="H34" s="77">
        <f t="shared" si="7"/>
        <v>4</v>
      </c>
      <c r="I34" s="83" t="str">
        <f t="shared" si="2"/>
        <v>Sim</v>
      </c>
      <c r="J34" s="83">
        <v>1.0</v>
      </c>
      <c r="K34" s="83">
        <v>1.0</v>
      </c>
      <c r="L34" s="83">
        <v>0.5</v>
      </c>
      <c r="M34" s="83">
        <v>1.0</v>
      </c>
      <c r="N34" s="83">
        <v>1.0</v>
      </c>
      <c r="O34" s="77">
        <f t="shared" si="8"/>
        <v>4.5</v>
      </c>
      <c r="P34" s="83" t="str">
        <f t="shared" si="4"/>
        <v>Sim</v>
      </c>
      <c r="Q34" s="84" t="str">
        <f t="shared" si="5"/>
        <v>Igual</v>
      </c>
      <c r="R34" s="55" t="s">
        <v>1462</v>
      </c>
      <c r="S34" s="55" t="s">
        <v>1463</v>
      </c>
      <c r="T34" s="55" t="s">
        <v>169</v>
      </c>
      <c r="U34" s="84" t="str">
        <f t="shared" si="6"/>
        <v>Sim</v>
      </c>
    </row>
    <row r="35" ht="15.0" customHeight="1">
      <c r="A35" s="55" t="s">
        <v>1464</v>
      </c>
      <c r="B35" s="83" t="s">
        <v>1105</v>
      </c>
      <c r="C35" s="55">
        <v>1.0</v>
      </c>
      <c r="D35" s="55">
        <v>1.0</v>
      </c>
      <c r="E35" s="55">
        <v>0.5</v>
      </c>
      <c r="F35" s="55">
        <v>1.0</v>
      </c>
      <c r="G35" s="83">
        <v>1.0</v>
      </c>
      <c r="H35" s="77">
        <f t="shared" si="7"/>
        <v>4.5</v>
      </c>
      <c r="I35" s="83" t="str">
        <f t="shared" si="2"/>
        <v>Sim</v>
      </c>
      <c r="J35" s="83">
        <v>1.0</v>
      </c>
      <c r="K35" s="83">
        <v>1.0</v>
      </c>
      <c r="L35" s="83">
        <v>0.0</v>
      </c>
      <c r="M35" s="83">
        <v>1.0</v>
      </c>
      <c r="N35" s="83">
        <v>1.0</v>
      </c>
      <c r="O35" s="77">
        <f t="shared" si="8"/>
        <v>4</v>
      </c>
      <c r="P35" s="83" t="str">
        <f t="shared" si="4"/>
        <v>Sim</v>
      </c>
      <c r="Q35" s="84" t="str">
        <f t="shared" si="5"/>
        <v>Igual</v>
      </c>
      <c r="R35" s="55" t="s">
        <v>1465</v>
      </c>
      <c r="S35" s="55" t="s">
        <v>1466</v>
      </c>
      <c r="T35" s="55" t="s">
        <v>169</v>
      </c>
      <c r="U35" s="84" t="str">
        <f t="shared" si="6"/>
        <v>Sim</v>
      </c>
    </row>
    <row r="36" ht="18.75" customHeight="1">
      <c r="A36" s="55" t="s">
        <v>1467</v>
      </c>
      <c r="B36" s="83" t="s">
        <v>925</v>
      </c>
      <c r="C36" s="55">
        <v>1.0</v>
      </c>
      <c r="D36" s="55">
        <v>0.5</v>
      </c>
      <c r="E36" s="55">
        <v>1.0</v>
      </c>
      <c r="F36" s="55">
        <v>0.5</v>
      </c>
      <c r="G36" s="83">
        <v>0.0</v>
      </c>
      <c r="H36" s="77">
        <f t="shared" si="7"/>
        <v>3</v>
      </c>
      <c r="I36" s="83" t="str">
        <f t="shared" si="2"/>
        <v>Sim</v>
      </c>
      <c r="J36" s="83">
        <v>0.5</v>
      </c>
      <c r="K36" s="83">
        <v>0.5</v>
      </c>
      <c r="L36" s="83">
        <v>0.5</v>
      </c>
      <c r="M36" s="83">
        <v>0.5</v>
      </c>
      <c r="N36" s="83">
        <v>0.0</v>
      </c>
      <c r="O36" s="77">
        <f t="shared" si="8"/>
        <v>2</v>
      </c>
      <c r="P36" s="83" t="str">
        <f t="shared" si="4"/>
        <v>Não</v>
      </c>
      <c r="Q36" s="84" t="str">
        <f t="shared" si="5"/>
        <v>Diferente</v>
      </c>
      <c r="R36" s="55" t="s">
        <v>1468</v>
      </c>
      <c r="S36" s="55" t="s">
        <v>1469</v>
      </c>
      <c r="T36" s="55" t="s">
        <v>169</v>
      </c>
      <c r="U36" s="84" t="str">
        <f t="shared" si="6"/>
        <v>Sim</v>
      </c>
    </row>
    <row r="37" ht="14.25" customHeight="1">
      <c r="A37" s="55" t="s">
        <v>1470</v>
      </c>
      <c r="B37" s="83" t="s">
        <v>973</v>
      </c>
      <c r="C37" s="55">
        <v>1.0</v>
      </c>
      <c r="D37" s="55">
        <v>1.0</v>
      </c>
      <c r="E37" s="55">
        <v>0.5</v>
      </c>
      <c r="F37" s="55">
        <v>1.0</v>
      </c>
      <c r="G37" s="83">
        <v>1.0</v>
      </c>
      <c r="H37" s="77">
        <f t="shared" si="7"/>
        <v>4.5</v>
      </c>
      <c r="I37" s="83" t="str">
        <f t="shared" si="2"/>
        <v>Sim</v>
      </c>
      <c r="J37" s="83">
        <v>1.0</v>
      </c>
      <c r="K37" s="83">
        <v>0.5</v>
      </c>
      <c r="L37" s="83">
        <v>0.0</v>
      </c>
      <c r="M37" s="83">
        <v>0.5</v>
      </c>
      <c r="N37" s="83">
        <v>1.0</v>
      </c>
      <c r="O37" s="77">
        <f t="shared" si="8"/>
        <v>3</v>
      </c>
      <c r="P37" s="83" t="str">
        <f t="shared" si="4"/>
        <v>Sim</v>
      </c>
      <c r="Q37" s="84" t="str">
        <f t="shared" si="5"/>
        <v>Igual</v>
      </c>
      <c r="R37" s="55" t="s">
        <v>1471</v>
      </c>
      <c r="S37" s="55" t="s">
        <v>1472</v>
      </c>
      <c r="T37" s="55" t="s">
        <v>169</v>
      </c>
      <c r="U37" s="84" t="str">
        <f t="shared" si="6"/>
        <v>Sim</v>
      </c>
    </row>
    <row r="38" ht="18.0" customHeight="1">
      <c r="A38" s="55" t="s">
        <v>1473</v>
      </c>
      <c r="B38" s="83" t="s">
        <v>950</v>
      </c>
      <c r="C38" s="55">
        <v>1.0</v>
      </c>
      <c r="D38" s="55">
        <v>1.0</v>
      </c>
      <c r="E38" s="55">
        <v>1.0</v>
      </c>
      <c r="F38" s="55">
        <v>1.0</v>
      </c>
      <c r="G38" s="83">
        <v>0.5</v>
      </c>
      <c r="H38" s="77">
        <f t="shared" si="7"/>
        <v>4.5</v>
      </c>
      <c r="I38" s="83" t="str">
        <f t="shared" si="2"/>
        <v>Sim</v>
      </c>
      <c r="J38" s="83">
        <v>0.5</v>
      </c>
      <c r="K38" s="83">
        <v>1.0</v>
      </c>
      <c r="L38" s="83">
        <v>0.5</v>
      </c>
      <c r="M38" s="83">
        <v>1.0</v>
      </c>
      <c r="N38" s="83">
        <v>0.0</v>
      </c>
      <c r="O38" s="77">
        <f t="shared" si="8"/>
        <v>3</v>
      </c>
      <c r="P38" s="83" t="str">
        <f t="shared" si="4"/>
        <v>Sim</v>
      </c>
      <c r="Q38" s="84" t="str">
        <f t="shared" si="5"/>
        <v>Igual</v>
      </c>
      <c r="R38" s="55" t="s">
        <v>1474</v>
      </c>
      <c r="S38" s="55" t="s">
        <v>1475</v>
      </c>
      <c r="T38" s="55" t="s">
        <v>169</v>
      </c>
      <c r="U38" s="84" t="str">
        <f t="shared" si="6"/>
        <v>Sim</v>
      </c>
    </row>
    <row r="39" ht="17.25" customHeight="1">
      <c r="A39" s="55" t="s">
        <v>1476</v>
      </c>
      <c r="B39" s="83" t="s">
        <v>975</v>
      </c>
      <c r="C39" s="55">
        <v>1.0</v>
      </c>
      <c r="D39" s="55">
        <v>1.0</v>
      </c>
      <c r="E39" s="55">
        <v>0.5</v>
      </c>
      <c r="F39" s="55">
        <v>1.0</v>
      </c>
      <c r="G39" s="83">
        <v>1.0</v>
      </c>
      <c r="H39" s="77">
        <f t="shared" si="7"/>
        <v>4.5</v>
      </c>
      <c r="I39" s="83" t="str">
        <f t="shared" si="2"/>
        <v>Sim</v>
      </c>
      <c r="J39" s="83">
        <v>1.0</v>
      </c>
      <c r="K39" s="83">
        <v>0.5</v>
      </c>
      <c r="L39" s="83">
        <v>0.0</v>
      </c>
      <c r="M39" s="83">
        <v>0.5</v>
      </c>
      <c r="N39" s="83">
        <v>1.0</v>
      </c>
      <c r="O39" s="77">
        <f t="shared" si="8"/>
        <v>3</v>
      </c>
      <c r="P39" s="83" t="str">
        <f t="shared" si="4"/>
        <v>Sim</v>
      </c>
      <c r="Q39" s="84" t="str">
        <f t="shared" si="5"/>
        <v>Igual</v>
      </c>
      <c r="R39" s="55" t="s">
        <v>1477</v>
      </c>
      <c r="S39" s="55" t="s">
        <v>1478</v>
      </c>
      <c r="T39" s="55" t="s">
        <v>169</v>
      </c>
      <c r="U39" s="84" t="str">
        <f t="shared" si="6"/>
        <v>Sim</v>
      </c>
    </row>
    <row r="40" ht="15.75" customHeight="1">
      <c r="A40" s="55" t="s">
        <v>1479</v>
      </c>
      <c r="B40" s="83" t="s">
        <v>978</v>
      </c>
      <c r="C40" s="55">
        <v>0.5</v>
      </c>
      <c r="D40" s="55">
        <v>0.0</v>
      </c>
      <c r="E40" s="55">
        <v>0.5</v>
      </c>
      <c r="F40" s="55">
        <v>0.5</v>
      </c>
      <c r="G40" s="83">
        <v>0.5</v>
      </c>
      <c r="H40" s="77">
        <f t="shared" si="7"/>
        <v>2</v>
      </c>
      <c r="I40" s="83" t="str">
        <f t="shared" si="2"/>
        <v>Não</v>
      </c>
      <c r="J40" s="83">
        <v>0.0</v>
      </c>
      <c r="K40" s="83">
        <v>0.5</v>
      </c>
      <c r="L40" s="83">
        <v>0.0</v>
      </c>
      <c r="M40" s="83">
        <v>0.5</v>
      </c>
      <c r="N40" s="83">
        <v>0.0</v>
      </c>
      <c r="O40" s="77">
        <f t="shared" si="8"/>
        <v>1</v>
      </c>
      <c r="P40" s="83" t="str">
        <f t="shared" si="4"/>
        <v>Não</v>
      </c>
      <c r="Q40" s="84" t="str">
        <f t="shared" si="5"/>
        <v>Igual</v>
      </c>
      <c r="R40" s="55" t="s">
        <v>1480</v>
      </c>
      <c r="S40" s="55" t="s">
        <v>1481</v>
      </c>
      <c r="T40" s="55" t="s">
        <v>169</v>
      </c>
      <c r="U40" s="84" t="str">
        <f t="shared" si="6"/>
        <v>Não</v>
      </c>
    </row>
    <row r="41" ht="17.25" customHeight="1">
      <c r="A41" s="55" t="s">
        <v>1482</v>
      </c>
      <c r="B41" s="83" t="s">
        <v>981</v>
      </c>
      <c r="C41" s="55">
        <v>1.0</v>
      </c>
      <c r="D41" s="55">
        <v>1.0</v>
      </c>
      <c r="E41" s="55">
        <v>0.5</v>
      </c>
      <c r="F41" s="55">
        <v>1.0</v>
      </c>
      <c r="G41" s="83">
        <v>1.0</v>
      </c>
      <c r="H41" s="77">
        <f t="shared" si="7"/>
        <v>4.5</v>
      </c>
      <c r="I41" s="83" t="str">
        <f t="shared" si="2"/>
        <v>Sim</v>
      </c>
      <c r="J41" s="83">
        <v>1.0</v>
      </c>
      <c r="K41" s="83">
        <v>1.0</v>
      </c>
      <c r="L41" s="83">
        <v>0.0</v>
      </c>
      <c r="M41" s="83">
        <v>1.0</v>
      </c>
      <c r="N41" s="83">
        <v>1.0</v>
      </c>
      <c r="O41" s="77">
        <f t="shared" si="8"/>
        <v>4</v>
      </c>
      <c r="P41" s="83" t="str">
        <f t="shared" si="4"/>
        <v>Sim</v>
      </c>
      <c r="Q41" s="84" t="str">
        <f t="shared" si="5"/>
        <v>Igual</v>
      </c>
      <c r="R41" s="55" t="s">
        <v>1483</v>
      </c>
      <c r="S41" s="55" t="s">
        <v>1484</v>
      </c>
      <c r="T41" s="55" t="s">
        <v>169</v>
      </c>
      <c r="U41" s="84" t="str">
        <f t="shared" si="6"/>
        <v>Sim</v>
      </c>
    </row>
    <row r="42" ht="16.5" customHeight="1">
      <c r="A42" s="55" t="s">
        <v>1485</v>
      </c>
      <c r="B42" s="83" t="s">
        <v>997</v>
      </c>
      <c r="C42" s="55">
        <v>0.0</v>
      </c>
      <c r="D42" s="55">
        <v>0.5</v>
      </c>
      <c r="E42" s="55">
        <v>0.5</v>
      </c>
      <c r="F42" s="55">
        <v>0.5</v>
      </c>
      <c r="G42" s="83">
        <v>0.5</v>
      </c>
      <c r="H42" s="77">
        <f t="shared" si="7"/>
        <v>2</v>
      </c>
      <c r="I42" s="83" t="str">
        <f t="shared" si="2"/>
        <v>Não</v>
      </c>
      <c r="J42" s="83">
        <v>0.0</v>
      </c>
      <c r="K42" s="83">
        <v>1.0</v>
      </c>
      <c r="L42" s="83">
        <v>0.0</v>
      </c>
      <c r="M42" s="83">
        <v>0.5</v>
      </c>
      <c r="N42" s="83">
        <v>0.0</v>
      </c>
      <c r="O42" s="77">
        <f t="shared" si="8"/>
        <v>1.5</v>
      </c>
      <c r="P42" s="83" t="str">
        <f t="shared" si="4"/>
        <v>Não</v>
      </c>
      <c r="Q42" s="84" t="str">
        <f t="shared" si="5"/>
        <v>Igual</v>
      </c>
      <c r="R42" s="55" t="s">
        <v>1486</v>
      </c>
      <c r="S42" s="55" t="s">
        <v>1487</v>
      </c>
      <c r="T42" s="55" t="s">
        <v>169</v>
      </c>
      <c r="U42" s="84" t="str">
        <f t="shared" si="6"/>
        <v>Não</v>
      </c>
      <c r="V42" s="55" t="s">
        <v>31</v>
      </c>
    </row>
    <row r="43" ht="14.25" customHeight="1">
      <c r="A43" s="55" t="s">
        <v>1488</v>
      </c>
      <c r="B43" s="83" t="s">
        <v>1059</v>
      </c>
      <c r="C43" s="55">
        <v>1.0</v>
      </c>
      <c r="D43" s="55">
        <v>1.0</v>
      </c>
      <c r="E43" s="55">
        <v>0.5</v>
      </c>
      <c r="F43" s="55">
        <v>1.0</v>
      </c>
      <c r="G43" s="83">
        <v>1.0</v>
      </c>
      <c r="H43" s="77">
        <f t="shared" si="7"/>
        <v>4.5</v>
      </c>
      <c r="I43" s="83" t="str">
        <f t="shared" si="2"/>
        <v>Sim</v>
      </c>
      <c r="J43" s="83">
        <v>1.0</v>
      </c>
      <c r="K43" s="83">
        <v>1.0</v>
      </c>
      <c r="L43" s="83">
        <v>0.0</v>
      </c>
      <c r="M43" s="83">
        <v>1.0</v>
      </c>
      <c r="N43" s="83">
        <v>1.0</v>
      </c>
      <c r="O43" s="77">
        <f t="shared" si="8"/>
        <v>4</v>
      </c>
      <c r="P43" s="83" t="str">
        <f t="shared" si="4"/>
        <v>Sim</v>
      </c>
      <c r="Q43" s="84" t="str">
        <f t="shared" si="5"/>
        <v>Igual</v>
      </c>
      <c r="R43" s="55" t="s">
        <v>1489</v>
      </c>
      <c r="S43" s="55" t="s">
        <v>1490</v>
      </c>
      <c r="T43" s="55" t="s">
        <v>169</v>
      </c>
      <c r="U43" s="84" t="str">
        <f t="shared" si="6"/>
        <v>Sim</v>
      </c>
    </row>
    <row r="44" ht="17.25" customHeight="1">
      <c r="A44" s="55" t="s">
        <v>1491</v>
      </c>
      <c r="B44" s="83" t="s">
        <v>936</v>
      </c>
      <c r="C44" s="55">
        <v>1.0</v>
      </c>
      <c r="D44" s="55">
        <v>1.0</v>
      </c>
      <c r="E44" s="55">
        <v>0.5</v>
      </c>
      <c r="F44" s="55">
        <v>1.0</v>
      </c>
      <c r="G44" s="83">
        <v>1.0</v>
      </c>
      <c r="H44" s="77">
        <f t="shared" si="7"/>
        <v>4.5</v>
      </c>
      <c r="I44" s="83" t="str">
        <f t="shared" si="2"/>
        <v>Sim</v>
      </c>
      <c r="J44" s="83">
        <v>1.0</v>
      </c>
      <c r="K44" s="83">
        <v>1.0</v>
      </c>
      <c r="L44" s="83">
        <v>0.0</v>
      </c>
      <c r="M44" s="83">
        <v>1.0</v>
      </c>
      <c r="N44" s="83">
        <v>1.0</v>
      </c>
      <c r="O44" s="77">
        <f t="shared" si="8"/>
        <v>4</v>
      </c>
      <c r="P44" s="83" t="str">
        <f t="shared" si="4"/>
        <v>Sim</v>
      </c>
      <c r="Q44" s="84" t="str">
        <f t="shared" si="5"/>
        <v>Igual</v>
      </c>
      <c r="R44" s="55" t="s">
        <v>1489</v>
      </c>
      <c r="S44" s="55" t="s">
        <v>1466</v>
      </c>
      <c r="T44" s="55" t="s">
        <v>169</v>
      </c>
      <c r="U44" s="84" t="str">
        <f t="shared" si="6"/>
        <v>Sim</v>
      </c>
    </row>
    <row r="45">
      <c r="A45" s="55" t="s">
        <v>1492</v>
      </c>
      <c r="B45" s="87" t="s">
        <v>421</v>
      </c>
      <c r="C45" s="55">
        <v>1.0</v>
      </c>
      <c r="D45" s="55">
        <v>0.5</v>
      </c>
      <c r="E45" s="55">
        <v>1.0</v>
      </c>
      <c r="F45" s="55">
        <v>1.0</v>
      </c>
      <c r="G45" s="83">
        <v>0.0</v>
      </c>
      <c r="H45" s="77">
        <f t="shared" si="7"/>
        <v>3.5</v>
      </c>
      <c r="I45" s="83" t="str">
        <f t="shared" si="2"/>
        <v>Sim</v>
      </c>
      <c r="J45" s="83">
        <v>1.0</v>
      </c>
      <c r="K45" s="83">
        <v>0.5</v>
      </c>
      <c r="L45" s="83">
        <v>0.5</v>
      </c>
      <c r="M45" s="83">
        <v>1.0</v>
      </c>
      <c r="N45" s="83">
        <v>0.5</v>
      </c>
      <c r="O45" s="77">
        <f t="shared" si="8"/>
        <v>3.5</v>
      </c>
      <c r="P45" s="83" t="str">
        <f t="shared" si="4"/>
        <v>Sim</v>
      </c>
      <c r="Q45" s="84" t="str">
        <f t="shared" si="5"/>
        <v>Igual</v>
      </c>
      <c r="R45" s="55" t="s">
        <v>1493</v>
      </c>
      <c r="S45" s="55" t="s">
        <v>1494</v>
      </c>
      <c r="T45" s="55" t="s">
        <v>169</v>
      </c>
      <c r="U45" s="84" t="str">
        <f t="shared" si="6"/>
        <v>Sim</v>
      </c>
    </row>
    <row r="46">
      <c r="A46" s="55" t="s">
        <v>1495</v>
      </c>
      <c r="B46" s="55" t="s">
        <v>1496</v>
      </c>
      <c r="C46" s="55">
        <v>0.5</v>
      </c>
      <c r="D46" s="55">
        <v>0.0</v>
      </c>
      <c r="E46" s="55">
        <v>0.0</v>
      </c>
      <c r="F46" s="55">
        <v>0.5</v>
      </c>
      <c r="G46" s="83">
        <v>0.0</v>
      </c>
      <c r="H46" s="77">
        <f t="shared" si="7"/>
        <v>1</v>
      </c>
      <c r="I46" s="83" t="str">
        <f t="shared" si="2"/>
        <v>Não</v>
      </c>
      <c r="J46" s="83">
        <v>0.0</v>
      </c>
      <c r="K46" s="83">
        <v>0.0</v>
      </c>
      <c r="L46" s="83">
        <v>1.0</v>
      </c>
      <c r="M46" s="83">
        <v>1.0</v>
      </c>
      <c r="N46" s="83">
        <v>0.0</v>
      </c>
      <c r="O46" s="77">
        <f t="shared" si="8"/>
        <v>2</v>
      </c>
      <c r="P46" s="83" t="str">
        <f t="shared" si="4"/>
        <v>Não</v>
      </c>
      <c r="Q46" s="84" t="str">
        <f t="shared" si="5"/>
        <v>Igual</v>
      </c>
      <c r="R46" s="55" t="s">
        <v>1419</v>
      </c>
      <c r="S46" s="55" t="s">
        <v>1497</v>
      </c>
      <c r="T46" s="55" t="s">
        <v>199</v>
      </c>
      <c r="U46" s="84" t="str">
        <f t="shared" si="6"/>
        <v>Não</v>
      </c>
      <c r="V46" s="55" t="s">
        <v>31</v>
      </c>
    </row>
    <row r="47">
      <c r="A47" s="55" t="s">
        <v>1498</v>
      </c>
      <c r="B47" s="55" t="s">
        <v>1499</v>
      </c>
      <c r="C47" s="55">
        <v>1.0</v>
      </c>
      <c r="D47" s="55">
        <v>0.5</v>
      </c>
      <c r="E47" s="55">
        <v>1.0</v>
      </c>
      <c r="F47" s="55">
        <v>1.0</v>
      </c>
      <c r="G47" s="83">
        <v>1.0</v>
      </c>
      <c r="H47" s="77">
        <f t="shared" si="7"/>
        <v>4.5</v>
      </c>
      <c r="I47" s="83" t="str">
        <f t="shared" si="2"/>
        <v>Sim</v>
      </c>
      <c r="J47" s="83">
        <v>1.0</v>
      </c>
      <c r="K47" s="83">
        <v>0.5</v>
      </c>
      <c r="L47" s="83">
        <v>1.0</v>
      </c>
      <c r="M47" s="83">
        <v>1.0</v>
      </c>
      <c r="N47" s="83"/>
      <c r="O47" s="77">
        <f t="shared" si="8"/>
        <v>3.5</v>
      </c>
      <c r="P47" s="83" t="str">
        <f t="shared" si="4"/>
        <v>Sim</v>
      </c>
      <c r="Q47" s="84" t="str">
        <f t="shared" si="5"/>
        <v>Igual</v>
      </c>
      <c r="R47" s="55" t="s">
        <v>1500</v>
      </c>
      <c r="T47" s="55" t="s">
        <v>169</v>
      </c>
      <c r="U47" s="84" t="str">
        <f t="shared" si="6"/>
        <v>Sim</v>
      </c>
    </row>
    <row r="48">
      <c r="A48" s="55" t="s">
        <v>1501</v>
      </c>
      <c r="B48" s="55" t="s">
        <v>1502</v>
      </c>
      <c r="C48" s="55">
        <v>0.5</v>
      </c>
      <c r="D48" s="55">
        <v>1.0</v>
      </c>
      <c r="E48" s="55">
        <v>0.5</v>
      </c>
      <c r="F48" s="55">
        <v>1.0</v>
      </c>
      <c r="G48" s="83">
        <v>0.5</v>
      </c>
      <c r="H48" s="77">
        <f t="shared" si="7"/>
        <v>3.5</v>
      </c>
      <c r="I48" s="83" t="str">
        <f t="shared" si="2"/>
        <v>Sim</v>
      </c>
      <c r="J48" s="83">
        <v>0.5</v>
      </c>
      <c r="K48" s="83">
        <v>0.5</v>
      </c>
      <c r="L48" s="83">
        <v>1.0</v>
      </c>
      <c r="M48" s="83">
        <v>1.0</v>
      </c>
      <c r="N48" s="83">
        <v>0.0</v>
      </c>
      <c r="O48" s="77">
        <f t="shared" si="8"/>
        <v>3</v>
      </c>
      <c r="P48" s="83" t="str">
        <f t="shared" si="4"/>
        <v>Sim</v>
      </c>
      <c r="Q48" s="84" t="str">
        <f t="shared" si="5"/>
        <v>Igual</v>
      </c>
      <c r="R48" s="55" t="s">
        <v>1503</v>
      </c>
      <c r="S48" s="55" t="s">
        <v>1504</v>
      </c>
      <c r="T48" s="55" t="s">
        <v>169</v>
      </c>
      <c r="U48" s="84" t="str">
        <f t="shared" si="6"/>
        <v>Sim</v>
      </c>
    </row>
    <row r="49">
      <c r="A49" s="55" t="s">
        <v>1505</v>
      </c>
      <c r="B49" s="55" t="s">
        <v>447</v>
      </c>
      <c r="C49" s="55">
        <v>0.0</v>
      </c>
      <c r="D49" s="55">
        <v>0.5</v>
      </c>
      <c r="E49" s="55">
        <v>0.5</v>
      </c>
      <c r="F49" s="55">
        <v>0.0</v>
      </c>
      <c r="G49" s="83">
        <v>0.0</v>
      </c>
      <c r="H49" s="77">
        <f t="shared" si="7"/>
        <v>1</v>
      </c>
      <c r="I49" s="83" t="str">
        <f t="shared" si="2"/>
        <v>Não</v>
      </c>
      <c r="J49" s="83">
        <v>1.0</v>
      </c>
      <c r="K49" s="83">
        <v>0.0</v>
      </c>
      <c r="L49" s="83">
        <v>0.5</v>
      </c>
      <c r="M49" s="83">
        <v>0.5</v>
      </c>
      <c r="N49" s="83">
        <v>0.0</v>
      </c>
      <c r="O49" s="77">
        <f t="shared" si="8"/>
        <v>2</v>
      </c>
      <c r="P49" s="83" t="str">
        <f t="shared" si="4"/>
        <v>Não</v>
      </c>
      <c r="Q49" s="84" t="str">
        <f t="shared" si="5"/>
        <v>Igual</v>
      </c>
      <c r="R49" s="55" t="s">
        <v>1506</v>
      </c>
      <c r="S49" s="55" t="s">
        <v>1507</v>
      </c>
      <c r="T49" s="55" t="s">
        <v>199</v>
      </c>
      <c r="U49" s="84" t="str">
        <f t="shared" si="6"/>
        <v>Não</v>
      </c>
    </row>
    <row r="50">
      <c r="A50" s="55" t="s">
        <v>1508</v>
      </c>
      <c r="B50" s="55" t="s">
        <v>1509</v>
      </c>
      <c r="C50" s="55">
        <v>0.0</v>
      </c>
      <c r="D50" s="55">
        <v>0.0</v>
      </c>
      <c r="E50" s="55">
        <v>0.0</v>
      </c>
      <c r="F50" s="55">
        <v>0.0</v>
      </c>
      <c r="G50" s="83">
        <v>0.0</v>
      </c>
      <c r="H50" s="77">
        <f t="shared" si="7"/>
        <v>0</v>
      </c>
      <c r="I50" s="83" t="str">
        <f t="shared" si="2"/>
        <v>Não</v>
      </c>
      <c r="J50" s="83">
        <v>0.0</v>
      </c>
      <c r="K50" s="83">
        <v>0.0</v>
      </c>
      <c r="L50" s="83">
        <v>0.0</v>
      </c>
      <c r="M50" s="83">
        <v>0.0</v>
      </c>
      <c r="N50" s="83">
        <v>0.0</v>
      </c>
      <c r="O50" s="77">
        <f t="shared" si="8"/>
        <v>0</v>
      </c>
      <c r="P50" s="83" t="str">
        <f t="shared" si="4"/>
        <v>Não</v>
      </c>
      <c r="Q50" s="84" t="str">
        <f t="shared" si="5"/>
        <v>Igual</v>
      </c>
      <c r="R50" s="55" t="s">
        <v>1510</v>
      </c>
      <c r="S50" s="55" t="s">
        <v>1511</v>
      </c>
      <c r="T50" s="55" t="s">
        <v>1512</v>
      </c>
      <c r="U50" s="84" t="str">
        <f t="shared" si="6"/>
        <v>Não</v>
      </c>
      <c r="V50" s="55" t="s">
        <v>31</v>
      </c>
    </row>
    <row r="51">
      <c r="A51" s="55" t="s">
        <v>1513</v>
      </c>
      <c r="B51" s="55" t="s">
        <v>1514</v>
      </c>
      <c r="C51" s="55">
        <v>1.0</v>
      </c>
      <c r="D51" s="55">
        <v>0.5</v>
      </c>
      <c r="E51" s="55">
        <v>1.0</v>
      </c>
      <c r="F51" s="55">
        <v>1.0</v>
      </c>
      <c r="G51" s="83">
        <v>0.5</v>
      </c>
      <c r="H51" s="77">
        <f t="shared" si="7"/>
        <v>4</v>
      </c>
      <c r="I51" s="83" t="str">
        <f t="shared" si="2"/>
        <v>Sim</v>
      </c>
      <c r="J51" s="83">
        <v>1.0</v>
      </c>
      <c r="K51" s="83">
        <v>0.5</v>
      </c>
      <c r="L51" s="83">
        <v>1.0</v>
      </c>
      <c r="M51" s="83">
        <v>0.5</v>
      </c>
      <c r="N51" s="83">
        <v>0.5</v>
      </c>
      <c r="O51" s="77">
        <f t="shared" si="8"/>
        <v>3.5</v>
      </c>
      <c r="P51" s="83" t="str">
        <f t="shared" si="4"/>
        <v>Sim</v>
      </c>
      <c r="Q51" s="84" t="str">
        <f t="shared" si="5"/>
        <v>Igual</v>
      </c>
      <c r="R51" s="55" t="s">
        <v>1515</v>
      </c>
      <c r="S51" s="55" t="s">
        <v>1516</v>
      </c>
      <c r="T51" s="55" t="s">
        <v>1236</v>
      </c>
      <c r="U51" s="84" t="str">
        <f t="shared" si="6"/>
        <v>Sim</v>
      </c>
    </row>
    <row r="52">
      <c r="A52" s="55" t="s">
        <v>1517</v>
      </c>
      <c r="B52" s="55" t="s">
        <v>1518</v>
      </c>
      <c r="C52" s="55">
        <v>1.0</v>
      </c>
      <c r="D52" s="55">
        <v>0.5</v>
      </c>
      <c r="E52" s="55">
        <v>0.5</v>
      </c>
      <c r="F52" s="55">
        <v>0.0</v>
      </c>
      <c r="G52" s="83">
        <v>0.0</v>
      </c>
      <c r="H52" s="77">
        <f t="shared" si="7"/>
        <v>2</v>
      </c>
      <c r="I52" s="83" t="str">
        <f t="shared" si="2"/>
        <v>Não</v>
      </c>
      <c r="J52" s="83">
        <v>0.5</v>
      </c>
      <c r="K52" s="83">
        <v>0.5</v>
      </c>
      <c r="L52" s="83">
        <v>0.5</v>
      </c>
      <c r="M52" s="83">
        <v>0.0</v>
      </c>
      <c r="N52" s="83">
        <v>0.5</v>
      </c>
      <c r="O52" s="77">
        <f t="shared" si="8"/>
        <v>2</v>
      </c>
      <c r="P52" s="83" t="str">
        <f t="shared" si="4"/>
        <v>Não</v>
      </c>
      <c r="Q52" s="84" t="str">
        <f t="shared" si="5"/>
        <v>Igual</v>
      </c>
      <c r="R52" s="55" t="s">
        <v>1519</v>
      </c>
      <c r="S52" s="55" t="s">
        <v>1520</v>
      </c>
      <c r="T52" s="55" t="s">
        <v>199</v>
      </c>
      <c r="U52" s="84" t="str">
        <f t="shared" si="6"/>
        <v>Não</v>
      </c>
      <c r="V52" s="55" t="s">
        <v>31</v>
      </c>
    </row>
    <row r="53">
      <c r="A53" s="55" t="s">
        <v>1521</v>
      </c>
      <c r="B53" s="55" t="s">
        <v>1522</v>
      </c>
      <c r="C53" s="55">
        <v>1.0</v>
      </c>
      <c r="D53" s="55">
        <v>0.5</v>
      </c>
      <c r="E53" s="55">
        <v>1.0</v>
      </c>
      <c r="F53" s="55">
        <v>1.0</v>
      </c>
      <c r="G53" s="83">
        <v>0.5</v>
      </c>
      <c r="H53" s="77">
        <f t="shared" si="7"/>
        <v>4</v>
      </c>
      <c r="I53" s="83" t="str">
        <f t="shared" si="2"/>
        <v>Sim</v>
      </c>
      <c r="J53" s="83">
        <v>0.5</v>
      </c>
      <c r="K53" s="83">
        <v>1.0</v>
      </c>
      <c r="L53" s="83">
        <v>0.5</v>
      </c>
      <c r="M53" s="83">
        <v>0.5</v>
      </c>
      <c r="N53" s="83">
        <v>1.0</v>
      </c>
      <c r="O53" s="77">
        <f t="shared" si="8"/>
        <v>3.5</v>
      </c>
      <c r="P53" s="83" t="str">
        <f t="shared" si="4"/>
        <v>Sim</v>
      </c>
      <c r="Q53" s="84" t="str">
        <f t="shared" si="5"/>
        <v>Igual</v>
      </c>
      <c r="R53" s="55" t="s">
        <v>1523</v>
      </c>
      <c r="S53" s="55" t="s">
        <v>1524</v>
      </c>
      <c r="T53" s="55" t="s">
        <v>169</v>
      </c>
      <c r="U53" s="84" t="str">
        <f t="shared" si="6"/>
        <v>Sim</v>
      </c>
    </row>
    <row r="54">
      <c r="A54" s="55" t="s">
        <v>1525</v>
      </c>
      <c r="B54" s="55" t="s">
        <v>466</v>
      </c>
      <c r="C54" s="55">
        <v>1.0</v>
      </c>
      <c r="D54" s="55">
        <v>0.5</v>
      </c>
      <c r="E54" s="55">
        <v>0.5</v>
      </c>
      <c r="F54" s="55">
        <v>0.5</v>
      </c>
      <c r="G54" s="83">
        <v>1.0</v>
      </c>
      <c r="H54" s="77">
        <f t="shared" si="7"/>
        <v>3.5</v>
      </c>
      <c r="I54" s="83" t="str">
        <f t="shared" si="2"/>
        <v>Sim</v>
      </c>
      <c r="J54" s="83">
        <v>1.0</v>
      </c>
      <c r="K54" s="83">
        <v>0.5</v>
      </c>
      <c r="L54" s="83">
        <v>0.5</v>
      </c>
      <c r="M54" s="83">
        <v>1.0</v>
      </c>
      <c r="N54" s="83">
        <v>0.5</v>
      </c>
      <c r="O54" s="77">
        <f t="shared" si="8"/>
        <v>3.5</v>
      </c>
      <c r="P54" s="83" t="str">
        <f t="shared" si="4"/>
        <v>Sim</v>
      </c>
      <c r="Q54" s="84" t="str">
        <f t="shared" si="5"/>
        <v>Igual</v>
      </c>
      <c r="R54" s="55" t="s">
        <v>1526</v>
      </c>
      <c r="S54" s="55" t="s">
        <v>1527</v>
      </c>
      <c r="T54" s="55" t="s">
        <v>1236</v>
      </c>
      <c r="U54" s="84" t="str">
        <f t="shared" si="6"/>
        <v>Sim</v>
      </c>
    </row>
    <row r="55">
      <c r="A55" s="55" t="s">
        <v>1528</v>
      </c>
      <c r="B55" s="47" t="s">
        <v>516</v>
      </c>
      <c r="C55" s="55">
        <v>0.5</v>
      </c>
      <c r="D55" s="55">
        <v>0.5</v>
      </c>
      <c r="E55" s="55">
        <v>0.5</v>
      </c>
      <c r="F55" s="55">
        <v>0.0</v>
      </c>
      <c r="G55" s="83">
        <v>0.5</v>
      </c>
      <c r="H55" s="77">
        <f t="shared" si="7"/>
        <v>2</v>
      </c>
      <c r="I55" s="83" t="str">
        <f t="shared" si="2"/>
        <v>Não</v>
      </c>
      <c r="J55" s="83">
        <v>0.5</v>
      </c>
      <c r="K55" s="83">
        <v>0.0</v>
      </c>
      <c r="L55" s="83">
        <v>0.0</v>
      </c>
      <c r="M55" s="83">
        <v>0.0</v>
      </c>
      <c r="N55" s="83">
        <v>0.0</v>
      </c>
      <c r="O55" s="77">
        <f t="shared" si="8"/>
        <v>0.5</v>
      </c>
      <c r="P55" s="83" t="str">
        <f t="shared" si="4"/>
        <v>Não</v>
      </c>
      <c r="Q55" s="84" t="str">
        <f t="shared" si="5"/>
        <v>Igual</v>
      </c>
      <c r="R55" s="55" t="s">
        <v>1529</v>
      </c>
      <c r="S55" s="55" t="s">
        <v>1530</v>
      </c>
      <c r="T55" s="55" t="s">
        <v>1512</v>
      </c>
      <c r="U55" s="84" t="str">
        <f t="shared" si="6"/>
        <v>Não</v>
      </c>
      <c r="V55" s="55" t="s">
        <v>31</v>
      </c>
    </row>
    <row r="56">
      <c r="A56" s="55" t="s">
        <v>1531</v>
      </c>
      <c r="B56" s="47" t="s">
        <v>528</v>
      </c>
      <c r="C56" s="55">
        <v>1.0</v>
      </c>
      <c r="D56" s="55">
        <v>0.5</v>
      </c>
      <c r="E56" s="55">
        <v>0.5</v>
      </c>
      <c r="F56" s="55">
        <v>0.0</v>
      </c>
      <c r="G56" s="83">
        <v>0.0</v>
      </c>
      <c r="H56" s="77">
        <f t="shared" si="7"/>
        <v>2</v>
      </c>
      <c r="I56" s="83" t="str">
        <f t="shared" si="2"/>
        <v>Não</v>
      </c>
      <c r="J56" s="83">
        <v>1.0</v>
      </c>
      <c r="K56" s="83">
        <v>0.5</v>
      </c>
      <c r="L56" s="83">
        <v>0.5</v>
      </c>
      <c r="M56" s="83">
        <v>0.0</v>
      </c>
      <c r="N56" s="83">
        <v>0.0</v>
      </c>
      <c r="O56" s="77">
        <f t="shared" si="8"/>
        <v>2</v>
      </c>
      <c r="P56" s="83" t="str">
        <f t="shared" si="4"/>
        <v>Não</v>
      </c>
      <c r="Q56" s="84" t="str">
        <f t="shared" si="5"/>
        <v>Igual</v>
      </c>
      <c r="R56" s="55" t="s">
        <v>1532</v>
      </c>
      <c r="S56" s="55" t="s">
        <v>1533</v>
      </c>
      <c r="T56" s="55" t="s">
        <v>169</v>
      </c>
      <c r="U56" s="84" t="str">
        <f t="shared" si="6"/>
        <v>Não</v>
      </c>
      <c r="V56" s="55" t="s">
        <v>31</v>
      </c>
    </row>
    <row r="57">
      <c r="A57" s="55" t="s">
        <v>1534</v>
      </c>
      <c r="B57" s="47" t="s">
        <v>537</v>
      </c>
      <c r="C57" s="55">
        <v>0.5</v>
      </c>
      <c r="D57" s="55">
        <v>0.5</v>
      </c>
      <c r="E57" s="55">
        <v>0.5</v>
      </c>
      <c r="F57" s="55">
        <v>0.5</v>
      </c>
      <c r="G57" s="83">
        <v>1.0</v>
      </c>
      <c r="H57" s="77">
        <f t="shared" si="7"/>
        <v>3</v>
      </c>
      <c r="I57" s="83" t="str">
        <f t="shared" si="2"/>
        <v>Sim</v>
      </c>
      <c r="J57" s="83">
        <v>1.0</v>
      </c>
      <c r="K57" s="83">
        <v>0.5</v>
      </c>
      <c r="L57" s="83">
        <v>1.0</v>
      </c>
      <c r="M57" s="83">
        <v>0.5</v>
      </c>
      <c r="N57" s="83">
        <v>0.0</v>
      </c>
      <c r="O57" s="77">
        <f t="shared" si="8"/>
        <v>3</v>
      </c>
      <c r="P57" s="83" t="str">
        <f t="shared" si="4"/>
        <v>Sim</v>
      </c>
      <c r="Q57" s="84" t="str">
        <f t="shared" si="5"/>
        <v>Igual</v>
      </c>
      <c r="R57" s="55" t="s">
        <v>1535</v>
      </c>
      <c r="S57" s="55" t="s">
        <v>1536</v>
      </c>
      <c r="T57" s="55" t="s">
        <v>169</v>
      </c>
      <c r="U57" s="84" t="str">
        <f t="shared" si="6"/>
        <v>Sim</v>
      </c>
    </row>
    <row r="58">
      <c r="A58" s="55" t="s">
        <v>1537</v>
      </c>
      <c r="B58" s="47" t="s">
        <v>541</v>
      </c>
      <c r="C58" s="55">
        <v>0.5</v>
      </c>
      <c r="D58" s="55">
        <v>0.5</v>
      </c>
      <c r="E58" s="55">
        <v>0.5</v>
      </c>
      <c r="F58" s="55">
        <v>0.5</v>
      </c>
      <c r="G58" s="83">
        <v>0.0</v>
      </c>
      <c r="H58" s="77">
        <f t="shared" si="7"/>
        <v>2</v>
      </c>
      <c r="I58" s="83" t="str">
        <f t="shared" si="2"/>
        <v>Não</v>
      </c>
      <c r="J58" s="83">
        <v>0.5</v>
      </c>
      <c r="K58" s="83">
        <v>0.0</v>
      </c>
      <c r="L58" s="83">
        <v>0.0</v>
      </c>
      <c r="M58" s="83">
        <v>0.0</v>
      </c>
      <c r="N58" s="83">
        <v>0.0</v>
      </c>
      <c r="O58" s="77">
        <f t="shared" si="8"/>
        <v>0.5</v>
      </c>
      <c r="P58" s="83" t="str">
        <f t="shared" si="4"/>
        <v>Não</v>
      </c>
      <c r="Q58" s="84" t="str">
        <f t="shared" si="5"/>
        <v>Igual</v>
      </c>
      <c r="R58" s="55" t="s">
        <v>1538</v>
      </c>
      <c r="S58" s="55" t="s">
        <v>1539</v>
      </c>
      <c r="T58" s="55" t="s">
        <v>199</v>
      </c>
      <c r="U58" s="84" t="str">
        <f t="shared" si="6"/>
        <v>Não</v>
      </c>
      <c r="V58" s="55" t="s">
        <v>31</v>
      </c>
    </row>
    <row r="59">
      <c r="A59" s="55" t="s">
        <v>1540</v>
      </c>
      <c r="B59" s="47" t="s">
        <v>560</v>
      </c>
      <c r="C59" s="55">
        <v>1.0</v>
      </c>
      <c r="D59" s="55">
        <v>0.5</v>
      </c>
      <c r="E59" s="55">
        <v>0.5</v>
      </c>
      <c r="F59" s="55">
        <v>1.0</v>
      </c>
      <c r="G59" s="83">
        <v>0.5</v>
      </c>
      <c r="H59" s="77">
        <f t="shared" si="7"/>
        <v>3.5</v>
      </c>
      <c r="I59" s="83" t="str">
        <f t="shared" si="2"/>
        <v>Sim</v>
      </c>
      <c r="J59" s="83">
        <v>1.0</v>
      </c>
      <c r="K59" s="83">
        <v>0.5</v>
      </c>
      <c r="L59" s="83">
        <v>0.5</v>
      </c>
      <c r="M59" s="83">
        <v>1.0</v>
      </c>
      <c r="N59" s="83">
        <v>1.0</v>
      </c>
      <c r="O59" s="77">
        <f t="shared" si="8"/>
        <v>4</v>
      </c>
      <c r="P59" s="83" t="str">
        <f t="shared" si="4"/>
        <v>Sim</v>
      </c>
      <c r="Q59" s="84" t="str">
        <f t="shared" si="5"/>
        <v>Igual</v>
      </c>
      <c r="R59" s="55" t="s">
        <v>1541</v>
      </c>
      <c r="S59" s="55" t="s">
        <v>1542</v>
      </c>
      <c r="T59" s="55" t="s">
        <v>199</v>
      </c>
      <c r="U59" s="84" t="str">
        <f t="shared" si="6"/>
        <v>Sim</v>
      </c>
    </row>
    <row r="60">
      <c r="A60" s="55" t="s">
        <v>1543</v>
      </c>
      <c r="B60" s="47" t="s">
        <v>567</v>
      </c>
      <c r="C60" s="55">
        <v>1.0</v>
      </c>
      <c r="D60" s="55">
        <v>0.5</v>
      </c>
      <c r="E60" s="55">
        <v>1.0</v>
      </c>
      <c r="F60" s="55">
        <v>0.5</v>
      </c>
      <c r="G60" s="83">
        <v>0.5</v>
      </c>
      <c r="H60" s="77">
        <f t="shared" si="7"/>
        <v>3.5</v>
      </c>
      <c r="I60" s="83" t="str">
        <f t="shared" si="2"/>
        <v>Sim</v>
      </c>
      <c r="J60" s="83">
        <v>1.0</v>
      </c>
      <c r="K60" s="83">
        <v>0.5</v>
      </c>
      <c r="L60" s="83">
        <v>0.5</v>
      </c>
      <c r="M60" s="83">
        <v>0.5</v>
      </c>
      <c r="N60" s="83">
        <v>1.0</v>
      </c>
      <c r="O60" s="77">
        <f t="shared" si="8"/>
        <v>3.5</v>
      </c>
      <c r="P60" s="83" t="str">
        <f t="shared" si="4"/>
        <v>Sim</v>
      </c>
      <c r="Q60" s="84" t="str">
        <f t="shared" si="5"/>
        <v>Igual</v>
      </c>
      <c r="R60" s="55" t="s">
        <v>1544</v>
      </c>
      <c r="S60" s="55" t="s">
        <v>1545</v>
      </c>
      <c r="T60" s="55" t="s">
        <v>199</v>
      </c>
      <c r="U60" s="84" t="str">
        <f t="shared" si="6"/>
        <v>Sim</v>
      </c>
    </row>
    <row r="61">
      <c r="A61" s="55" t="s">
        <v>1546</v>
      </c>
      <c r="B61" s="47" t="s">
        <v>573</v>
      </c>
      <c r="C61" s="55">
        <v>0.5</v>
      </c>
      <c r="D61" s="55">
        <v>0.5</v>
      </c>
      <c r="E61" s="55">
        <v>0.5</v>
      </c>
      <c r="F61" s="55">
        <v>0.0</v>
      </c>
      <c r="G61" s="83">
        <v>0.5</v>
      </c>
      <c r="H61" s="77">
        <f t="shared" si="7"/>
        <v>2</v>
      </c>
      <c r="I61" s="83" t="str">
        <f t="shared" si="2"/>
        <v>Não</v>
      </c>
      <c r="J61" s="83">
        <v>1.0</v>
      </c>
      <c r="K61" s="83">
        <v>0.0</v>
      </c>
      <c r="L61" s="83">
        <v>0.0</v>
      </c>
      <c r="M61" s="83">
        <v>0.0</v>
      </c>
      <c r="N61" s="83">
        <v>1.0</v>
      </c>
      <c r="O61" s="77">
        <f t="shared" si="8"/>
        <v>2</v>
      </c>
      <c r="P61" s="83" t="str">
        <f t="shared" si="4"/>
        <v>Não</v>
      </c>
      <c r="Q61" s="84" t="str">
        <f t="shared" si="5"/>
        <v>Igual</v>
      </c>
      <c r="R61" s="55" t="s">
        <v>1547</v>
      </c>
      <c r="S61" s="55" t="s">
        <v>1548</v>
      </c>
      <c r="T61" s="55" t="s">
        <v>199</v>
      </c>
      <c r="U61" s="84" t="str">
        <f t="shared" si="6"/>
        <v>Não</v>
      </c>
      <c r="V61" s="55" t="s">
        <v>31</v>
      </c>
    </row>
    <row r="62">
      <c r="A62" s="55" t="s">
        <v>1549</v>
      </c>
      <c r="B62" s="55" t="s">
        <v>1550</v>
      </c>
      <c r="C62" s="55">
        <v>0.0</v>
      </c>
      <c r="D62" s="55">
        <v>0.5</v>
      </c>
      <c r="E62" s="55">
        <v>0.5</v>
      </c>
      <c r="F62" s="55">
        <v>0.5</v>
      </c>
      <c r="G62" s="83">
        <v>0.5</v>
      </c>
      <c r="H62" s="77">
        <f t="shared" si="7"/>
        <v>2</v>
      </c>
      <c r="I62" s="83" t="str">
        <f t="shared" si="2"/>
        <v>Não</v>
      </c>
      <c r="J62" s="83">
        <v>0.5</v>
      </c>
      <c r="K62" s="83">
        <v>0.0</v>
      </c>
      <c r="L62" s="83">
        <v>0.5</v>
      </c>
      <c r="M62" s="83">
        <v>0.5</v>
      </c>
      <c r="N62" s="83">
        <v>0.5</v>
      </c>
      <c r="O62" s="77">
        <f t="shared" si="8"/>
        <v>2</v>
      </c>
      <c r="P62" s="83" t="str">
        <f t="shared" si="4"/>
        <v>Não</v>
      </c>
      <c r="Q62" s="84" t="str">
        <f t="shared" si="5"/>
        <v>Igual</v>
      </c>
      <c r="R62" s="55" t="s">
        <v>1551</v>
      </c>
      <c r="S62" s="55" t="s">
        <v>1552</v>
      </c>
      <c r="T62" s="55" t="s">
        <v>1512</v>
      </c>
      <c r="U62" s="84" t="str">
        <f t="shared" si="6"/>
        <v>Não</v>
      </c>
      <c r="V62" s="55" t="s">
        <v>31</v>
      </c>
    </row>
    <row r="63">
      <c r="A63" s="55" t="s">
        <v>1553</v>
      </c>
      <c r="B63" s="55" t="s">
        <v>880</v>
      </c>
      <c r="C63" s="55">
        <v>0.5</v>
      </c>
      <c r="D63" s="55">
        <v>0.5</v>
      </c>
      <c r="E63" s="55">
        <v>0.0</v>
      </c>
      <c r="F63" s="55">
        <v>0.5</v>
      </c>
      <c r="G63" s="83">
        <v>0.5</v>
      </c>
      <c r="H63" s="77">
        <f t="shared" si="7"/>
        <v>2</v>
      </c>
      <c r="I63" s="83" t="str">
        <f t="shared" si="2"/>
        <v>Não</v>
      </c>
      <c r="J63" s="83">
        <v>0.0</v>
      </c>
      <c r="K63" s="83">
        <v>0.0</v>
      </c>
      <c r="L63" s="83">
        <v>1.0</v>
      </c>
      <c r="M63" s="83">
        <v>0.5</v>
      </c>
      <c r="N63" s="83">
        <v>0.5</v>
      </c>
      <c r="O63" s="77">
        <f t="shared" si="8"/>
        <v>2</v>
      </c>
      <c r="P63" s="83" t="str">
        <f t="shared" si="4"/>
        <v>Não</v>
      </c>
      <c r="Q63" s="84" t="str">
        <f t="shared" si="5"/>
        <v>Igual</v>
      </c>
      <c r="R63" s="55" t="s">
        <v>1554</v>
      </c>
      <c r="S63" s="55" t="s">
        <v>1555</v>
      </c>
      <c r="T63" s="55" t="s">
        <v>169</v>
      </c>
      <c r="U63" s="84" t="str">
        <f t="shared" si="6"/>
        <v>Não</v>
      </c>
      <c r="V63" s="55" t="s">
        <v>31</v>
      </c>
    </row>
    <row r="64">
      <c r="A64" s="55" t="s">
        <v>1556</v>
      </c>
      <c r="B64" s="83" t="s">
        <v>1124</v>
      </c>
      <c r="C64" s="55">
        <v>1.0</v>
      </c>
      <c r="D64" s="55">
        <v>0.5</v>
      </c>
      <c r="E64" s="55">
        <v>0.5</v>
      </c>
      <c r="F64" s="55">
        <v>1.0</v>
      </c>
      <c r="G64" s="83">
        <v>1.0</v>
      </c>
      <c r="H64" s="77">
        <f t="shared" si="7"/>
        <v>4</v>
      </c>
      <c r="I64" s="83" t="str">
        <f t="shared" si="2"/>
        <v>Sim</v>
      </c>
      <c r="J64" s="83">
        <v>0.5</v>
      </c>
      <c r="K64" s="83">
        <v>1.0</v>
      </c>
      <c r="L64" s="83">
        <v>0.5</v>
      </c>
      <c r="M64" s="83">
        <v>1.0</v>
      </c>
      <c r="N64" s="83">
        <v>0.5</v>
      </c>
      <c r="O64" s="77">
        <f t="shared" si="8"/>
        <v>3.5</v>
      </c>
      <c r="P64" s="83" t="str">
        <f t="shared" si="4"/>
        <v>Sim</v>
      </c>
      <c r="Q64" s="84" t="str">
        <f t="shared" si="5"/>
        <v>Igual</v>
      </c>
      <c r="R64" s="55" t="s">
        <v>1557</v>
      </c>
      <c r="S64" s="55" t="s">
        <v>1558</v>
      </c>
      <c r="T64" s="55" t="s">
        <v>169</v>
      </c>
      <c r="U64" s="84" t="str">
        <f t="shared" si="6"/>
        <v>Sim</v>
      </c>
    </row>
    <row r="65">
      <c r="A65" s="55" t="s">
        <v>1559</v>
      </c>
      <c r="B65" s="55" t="s">
        <v>1148</v>
      </c>
      <c r="C65" s="55">
        <v>1.0</v>
      </c>
      <c r="D65" s="55">
        <v>0.0</v>
      </c>
      <c r="E65" s="55">
        <v>0.5</v>
      </c>
      <c r="F65" s="55">
        <v>0.5</v>
      </c>
      <c r="G65" s="83">
        <v>0.0</v>
      </c>
      <c r="H65" s="77">
        <f t="shared" si="7"/>
        <v>2</v>
      </c>
      <c r="I65" s="83" t="str">
        <f t="shared" si="2"/>
        <v>Não</v>
      </c>
      <c r="J65" s="83">
        <v>0.5</v>
      </c>
      <c r="K65" s="83">
        <v>0.0</v>
      </c>
      <c r="L65" s="83">
        <v>0.5</v>
      </c>
      <c r="M65" s="83">
        <v>1.0</v>
      </c>
      <c r="N65" s="83">
        <v>0.0</v>
      </c>
      <c r="O65" s="77">
        <f t="shared" si="8"/>
        <v>2</v>
      </c>
      <c r="P65" s="83" t="str">
        <f t="shared" si="4"/>
        <v>Não</v>
      </c>
      <c r="Q65" s="84" t="str">
        <f t="shared" si="5"/>
        <v>Igual</v>
      </c>
      <c r="R65" s="55" t="s">
        <v>1560</v>
      </c>
      <c r="S65" s="55" t="s">
        <v>1561</v>
      </c>
      <c r="T65" s="55" t="s">
        <v>169</v>
      </c>
      <c r="U65" s="84" t="str">
        <f t="shared" si="6"/>
        <v>Não</v>
      </c>
      <c r="V65" s="55" t="s">
        <v>31</v>
      </c>
    </row>
    <row r="66">
      <c r="A66" s="55" t="s">
        <v>1562</v>
      </c>
      <c r="B66" s="55" t="s">
        <v>1563</v>
      </c>
      <c r="C66" s="55">
        <v>1.0</v>
      </c>
      <c r="D66" s="55">
        <v>0.5</v>
      </c>
      <c r="E66" s="55">
        <v>0.5</v>
      </c>
      <c r="F66" s="55">
        <v>1.0</v>
      </c>
      <c r="G66" s="83">
        <v>1.0</v>
      </c>
      <c r="H66" s="77">
        <f t="shared" si="7"/>
        <v>4</v>
      </c>
      <c r="I66" s="83" t="str">
        <f t="shared" si="2"/>
        <v>Sim</v>
      </c>
      <c r="J66" s="83">
        <v>0.0</v>
      </c>
      <c r="K66" s="83">
        <v>1.0</v>
      </c>
      <c r="L66" s="83">
        <v>0.5</v>
      </c>
      <c r="M66" s="83">
        <v>1.0</v>
      </c>
      <c r="N66" s="83">
        <v>0.5</v>
      </c>
      <c r="O66" s="77">
        <f t="shared" si="8"/>
        <v>3</v>
      </c>
      <c r="P66" s="83" t="str">
        <f t="shared" si="4"/>
        <v>Sim</v>
      </c>
      <c r="Q66" s="84" t="str">
        <f t="shared" si="5"/>
        <v>Igual</v>
      </c>
      <c r="R66" s="55" t="s">
        <v>1564</v>
      </c>
      <c r="S66" s="55" t="s">
        <v>1565</v>
      </c>
      <c r="T66" s="55" t="s">
        <v>169</v>
      </c>
      <c r="U66" s="84" t="str">
        <f t="shared" si="6"/>
        <v>Sim</v>
      </c>
    </row>
    <row r="67">
      <c r="A67" s="55" t="s">
        <v>1566</v>
      </c>
      <c r="B67" s="55" t="s">
        <v>1161</v>
      </c>
      <c r="C67" s="55">
        <v>0.5</v>
      </c>
      <c r="D67" s="55">
        <v>0.5</v>
      </c>
      <c r="E67" s="55">
        <v>0.5</v>
      </c>
      <c r="F67" s="55">
        <v>0.5</v>
      </c>
      <c r="G67" s="83">
        <v>0.0</v>
      </c>
      <c r="H67" s="77">
        <f t="shared" si="7"/>
        <v>2</v>
      </c>
      <c r="I67" s="83" t="str">
        <f t="shared" si="2"/>
        <v>Não</v>
      </c>
      <c r="J67" s="83">
        <v>1.0</v>
      </c>
      <c r="K67" s="83">
        <v>0.0</v>
      </c>
      <c r="L67" s="83">
        <v>0.0</v>
      </c>
      <c r="M67" s="83">
        <v>0.5</v>
      </c>
      <c r="N67" s="83">
        <v>0.5</v>
      </c>
      <c r="O67" s="77">
        <f t="shared" si="8"/>
        <v>2</v>
      </c>
      <c r="P67" s="83" t="str">
        <f t="shared" si="4"/>
        <v>Não</v>
      </c>
      <c r="Q67" s="84" t="str">
        <f t="shared" si="5"/>
        <v>Igual</v>
      </c>
      <c r="R67" s="55" t="s">
        <v>1567</v>
      </c>
      <c r="S67" s="55" t="s">
        <v>1568</v>
      </c>
      <c r="T67" s="55" t="s">
        <v>169</v>
      </c>
      <c r="U67" s="84" t="str">
        <f t="shared" si="6"/>
        <v>Não</v>
      </c>
    </row>
    <row r="68">
      <c r="A68" s="55" t="s">
        <v>1569</v>
      </c>
      <c r="B68" s="55" t="s">
        <v>1570</v>
      </c>
      <c r="C68" s="55">
        <v>0.5</v>
      </c>
      <c r="D68" s="55">
        <v>0.5</v>
      </c>
      <c r="E68" s="55">
        <v>0.5</v>
      </c>
      <c r="F68" s="55">
        <v>0.5</v>
      </c>
      <c r="G68" s="83">
        <v>0.0</v>
      </c>
      <c r="H68" s="77">
        <f t="shared" si="7"/>
        <v>2</v>
      </c>
      <c r="I68" s="83" t="str">
        <f t="shared" si="2"/>
        <v>Não</v>
      </c>
      <c r="J68" s="83">
        <v>0.0</v>
      </c>
      <c r="K68" s="83">
        <v>0.0</v>
      </c>
      <c r="L68" s="83">
        <v>0.5</v>
      </c>
      <c r="M68" s="83">
        <v>1.0</v>
      </c>
      <c r="N68" s="83">
        <v>0.0</v>
      </c>
      <c r="O68" s="77">
        <f t="shared" si="8"/>
        <v>1.5</v>
      </c>
      <c r="P68" s="83" t="str">
        <f t="shared" si="4"/>
        <v>Não</v>
      </c>
      <c r="Q68" s="84" t="str">
        <f t="shared" si="5"/>
        <v>Igual</v>
      </c>
      <c r="R68" s="55" t="s">
        <v>1571</v>
      </c>
      <c r="S68" s="55" t="s">
        <v>1572</v>
      </c>
      <c r="T68" s="55" t="s">
        <v>1512</v>
      </c>
      <c r="U68" s="84" t="str">
        <f t="shared" si="6"/>
        <v>Não</v>
      </c>
      <c r="V68" s="55" t="s">
        <v>31</v>
      </c>
    </row>
    <row r="69">
      <c r="A69" s="55" t="s">
        <v>1573</v>
      </c>
      <c r="B69" s="55" t="s">
        <v>1574</v>
      </c>
      <c r="C69" s="55">
        <v>0.5</v>
      </c>
      <c r="D69" s="55">
        <v>0.5</v>
      </c>
      <c r="E69" s="55">
        <v>0.5</v>
      </c>
      <c r="F69" s="55">
        <v>1.0</v>
      </c>
      <c r="G69" s="83">
        <v>0.5</v>
      </c>
      <c r="H69" s="77">
        <f t="shared" si="7"/>
        <v>3</v>
      </c>
      <c r="I69" s="83" t="str">
        <f t="shared" si="2"/>
        <v>Sim</v>
      </c>
      <c r="J69" s="83">
        <v>0.5</v>
      </c>
      <c r="K69" s="83">
        <v>1.0</v>
      </c>
      <c r="L69" s="83">
        <v>0.5</v>
      </c>
      <c r="M69" s="83">
        <v>1.0</v>
      </c>
      <c r="N69" s="83">
        <v>0.5</v>
      </c>
      <c r="O69" s="77">
        <f t="shared" si="8"/>
        <v>3.5</v>
      </c>
      <c r="P69" s="83" t="str">
        <f t="shared" si="4"/>
        <v>Sim</v>
      </c>
      <c r="Q69" s="84" t="str">
        <f t="shared" si="5"/>
        <v>Igual</v>
      </c>
      <c r="R69" s="55" t="s">
        <v>1575</v>
      </c>
      <c r="S69" s="55" t="s">
        <v>1576</v>
      </c>
      <c r="T69" s="55" t="s">
        <v>169</v>
      </c>
      <c r="U69" s="84" t="str">
        <f t="shared" si="6"/>
        <v>Sim</v>
      </c>
    </row>
    <row r="70">
      <c r="A70" s="55" t="s">
        <v>1577</v>
      </c>
      <c r="B70" s="55" t="s">
        <v>1220</v>
      </c>
      <c r="C70" s="55">
        <v>1.0</v>
      </c>
      <c r="D70" s="55">
        <v>1.0</v>
      </c>
      <c r="E70" s="55">
        <v>0.5</v>
      </c>
      <c r="F70" s="55">
        <v>1.0</v>
      </c>
      <c r="G70" s="83">
        <v>0.5</v>
      </c>
      <c r="H70" s="77">
        <f t="shared" si="7"/>
        <v>4</v>
      </c>
      <c r="I70" s="83" t="str">
        <f t="shared" si="2"/>
        <v>Sim</v>
      </c>
      <c r="J70" s="83">
        <v>1.0</v>
      </c>
      <c r="K70" s="83">
        <v>0.0</v>
      </c>
      <c r="L70" s="83">
        <v>0.5</v>
      </c>
      <c r="M70" s="83">
        <v>1.0</v>
      </c>
      <c r="N70" s="83">
        <v>1.0</v>
      </c>
      <c r="O70" s="77">
        <f t="shared" si="8"/>
        <v>3.5</v>
      </c>
      <c r="P70" s="83" t="str">
        <f t="shared" si="4"/>
        <v>Sim</v>
      </c>
      <c r="Q70" s="84" t="str">
        <f t="shared" si="5"/>
        <v>Igual</v>
      </c>
      <c r="R70" s="55" t="s">
        <v>1578</v>
      </c>
      <c r="S70" s="55" t="s">
        <v>1579</v>
      </c>
      <c r="T70" s="55" t="s">
        <v>199</v>
      </c>
      <c r="U70" s="84" t="str">
        <f t="shared" si="6"/>
        <v>Sim</v>
      </c>
    </row>
    <row r="71">
      <c r="A71" s="55" t="s">
        <v>1580</v>
      </c>
      <c r="B71" s="55" t="s">
        <v>1230</v>
      </c>
      <c r="C71" s="55">
        <v>1.0</v>
      </c>
      <c r="D71" s="55">
        <v>1.0</v>
      </c>
      <c r="E71" s="55">
        <v>0.5</v>
      </c>
      <c r="F71" s="55">
        <v>1.0</v>
      </c>
      <c r="G71" s="83">
        <v>0.5</v>
      </c>
      <c r="H71" s="77">
        <f t="shared" si="7"/>
        <v>4</v>
      </c>
      <c r="I71" s="83" t="str">
        <f t="shared" si="2"/>
        <v>Sim</v>
      </c>
      <c r="J71" s="83">
        <v>0.5</v>
      </c>
      <c r="K71" s="83">
        <v>1.0</v>
      </c>
      <c r="L71" s="83">
        <v>0.5</v>
      </c>
      <c r="M71" s="83">
        <v>1.0</v>
      </c>
      <c r="N71" s="83">
        <v>0.5</v>
      </c>
      <c r="O71" s="77">
        <f t="shared" si="8"/>
        <v>3.5</v>
      </c>
      <c r="P71" s="83" t="str">
        <f t="shared" si="4"/>
        <v>Sim</v>
      </c>
      <c r="Q71" s="84" t="str">
        <f t="shared" si="5"/>
        <v>Igual</v>
      </c>
      <c r="R71" s="55" t="s">
        <v>1581</v>
      </c>
      <c r="S71" s="55" t="s">
        <v>1582</v>
      </c>
      <c r="T71" s="55" t="s">
        <v>169</v>
      </c>
      <c r="U71" s="84" t="str">
        <f t="shared" si="6"/>
        <v>Sim</v>
      </c>
    </row>
    <row r="72">
      <c r="A72" s="55" t="s">
        <v>1583</v>
      </c>
      <c r="B72" s="55" t="s">
        <v>1238</v>
      </c>
      <c r="C72" s="55">
        <v>1.0</v>
      </c>
      <c r="D72" s="55">
        <v>1.0</v>
      </c>
      <c r="E72" s="55">
        <v>1.0</v>
      </c>
      <c r="F72" s="55">
        <v>1.0</v>
      </c>
      <c r="G72" s="83">
        <v>1.0</v>
      </c>
      <c r="H72" s="77">
        <f t="shared" si="7"/>
        <v>5</v>
      </c>
      <c r="I72" s="83" t="str">
        <f t="shared" si="2"/>
        <v>Sim</v>
      </c>
      <c r="J72" s="83">
        <v>1.0</v>
      </c>
      <c r="K72" s="83">
        <v>1.0</v>
      </c>
      <c r="L72" s="83">
        <v>1.0</v>
      </c>
      <c r="M72" s="83">
        <v>0.0</v>
      </c>
      <c r="N72" s="83">
        <v>1.0</v>
      </c>
      <c r="O72" s="77">
        <f t="shared" si="8"/>
        <v>4</v>
      </c>
      <c r="P72" s="83" t="str">
        <f t="shared" si="4"/>
        <v>Sim</v>
      </c>
      <c r="Q72" s="84" t="str">
        <f t="shared" si="5"/>
        <v>Igual</v>
      </c>
      <c r="R72" s="55" t="s">
        <v>1584</v>
      </c>
      <c r="S72" s="55" t="s">
        <v>1585</v>
      </c>
      <c r="T72" s="55" t="s">
        <v>199</v>
      </c>
      <c r="U72" s="84" t="str">
        <f t="shared" si="6"/>
        <v>Sim</v>
      </c>
    </row>
    <row r="73">
      <c r="A73" s="55" t="s">
        <v>1586</v>
      </c>
      <c r="B73" s="55" t="s">
        <v>1252</v>
      </c>
      <c r="C73" s="55">
        <v>1.0</v>
      </c>
      <c r="D73" s="55">
        <v>1.0</v>
      </c>
      <c r="E73" s="55">
        <v>1.0</v>
      </c>
      <c r="F73" s="55">
        <v>0.5</v>
      </c>
      <c r="G73" s="83">
        <v>0.5</v>
      </c>
      <c r="H73" s="77">
        <f t="shared" si="7"/>
        <v>4</v>
      </c>
      <c r="I73" s="83" t="str">
        <f t="shared" si="2"/>
        <v>Sim</v>
      </c>
      <c r="J73" s="83">
        <v>1.0</v>
      </c>
      <c r="K73" s="83">
        <v>0.0</v>
      </c>
      <c r="L73" s="83">
        <v>0.5</v>
      </c>
      <c r="M73" s="83">
        <v>0.5</v>
      </c>
      <c r="N73" s="83">
        <v>0.0</v>
      </c>
      <c r="O73" s="77">
        <f t="shared" si="8"/>
        <v>2</v>
      </c>
      <c r="P73" s="83" t="str">
        <f t="shared" si="4"/>
        <v>Não</v>
      </c>
      <c r="Q73" s="84" t="str">
        <f t="shared" si="5"/>
        <v>Diferente</v>
      </c>
      <c r="R73" s="55" t="s">
        <v>1587</v>
      </c>
      <c r="S73" s="55" t="s">
        <v>1588</v>
      </c>
      <c r="T73" s="55" t="s">
        <v>169</v>
      </c>
      <c r="U73" s="84" t="str">
        <f t="shared" si="6"/>
        <v>Sim</v>
      </c>
    </row>
    <row r="74">
      <c r="A74" s="55" t="s">
        <v>1589</v>
      </c>
      <c r="B74" s="55" t="s">
        <v>1266</v>
      </c>
      <c r="C74" s="55">
        <v>0.5</v>
      </c>
      <c r="D74" s="55">
        <v>0.5</v>
      </c>
      <c r="E74" s="55">
        <v>0.5</v>
      </c>
      <c r="F74" s="55">
        <v>0.5</v>
      </c>
      <c r="G74" s="83">
        <v>0.0</v>
      </c>
      <c r="H74" s="77">
        <f t="shared" si="7"/>
        <v>2</v>
      </c>
      <c r="I74" s="83" t="str">
        <f t="shared" si="2"/>
        <v>Não</v>
      </c>
      <c r="J74" s="83">
        <v>0.5</v>
      </c>
      <c r="K74" s="83">
        <v>1.0</v>
      </c>
      <c r="L74" s="83">
        <v>0.5</v>
      </c>
      <c r="M74" s="83">
        <v>1.0</v>
      </c>
      <c r="N74" s="83">
        <v>0.5</v>
      </c>
      <c r="O74" s="77">
        <f t="shared" si="8"/>
        <v>3.5</v>
      </c>
      <c r="P74" s="83" t="str">
        <f t="shared" si="4"/>
        <v>Sim</v>
      </c>
      <c r="Q74" s="84" t="str">
        <f t="shared" si="5"/>
        <v>Diferente</v>
      </c>
      <c r="R74" s="55" t="s">
        <v>1590</v>
      </c>
      <c r="S74" s="55" t="s">
        <v>1558</v>
      </c>
      <c r="T74" s="55" t="s">
        <v>169</v>
      </c>
      <c r="U74" s="84" t="str">
        <f t="shared" si="6"/>
        <v>Sim</v>
      </c>
    </row>
    <row r="75">
      <c r="A75" s="55" t="s">
        <v>1591</v>
      </c>
      <c r="B75" s="55" t="s">
        <v>1294</v>
      </c>
      <c r="C75" s="55">
        <v>0.5</v>
      </c>
      <c r="D75" s="55">
        <v>0.0</v>
      </c>
      <c r="E75" s="55">
        <v>1.0</v>
      </c>
      <c r="F75" s="55">
        <v>0.5</v>
      </c>
      <c r="G75" s="83">
        <v>0.0</v>
      </c>
      <c r="H75" s="77">
        <f t="shared" si="7"/>
        <v>2</v>
      </c>
      <c r="I75" s="83" t="str">
        <f t="shared" si="2"/>
        <v>Não</v>
      </c>
      <c r="J75" s="83">
        <v>0.5</v>
      </c>
      <c r="K75" s="83">
        <v>0.0</v>
      </c>
      <c r="L75" s="83">
        <v>1.0</v>
      </c>
      <c r="M75" s="83">
        <v>0.5</v>
      </c>
      <c r="N75" s="83">
        <v>0.0</v>
      </c>
      <c r="O75" s="77">
        <f t="shared" si="8"/>
        <v>2</v>
      </c>
      <c r="P75" s="83" t="str">
        <f t="shared" si="4"/>
        <v>Não</v>
      </c>
      <c r="Q75" s="84" t="str">
        <f t="shared" si="5"/>
        <v>Igual</v>
      </c>
      <c r="R75" s="55" t="s">
        <v>1592</v>
      </c>
      <c r="S75" s="55" t="s">
        <v>1593</v>
      </c>
      <c r="T75" s="55" t="s">
        <v>169</v>
      </c>
      <c r="U75" s="84" t="str">
        <f t="shared" si="6"/>
        <v>Não</v>
      </c>
      <c r="V75" s="55" t="s">
        <v>31</v>
      </c>
    </row>
    <row r="76">
      <c r="A76" s="55" t="s">
        <v>1594</v>
      </c>
      <c r="B76" s="55" t="s">
        <v>1328</v>
      </c>
      <c r="C76" s="55">
        <v>1.0</v>
      </c>
      <c r="D76" s="55">
        <v>0.5</v>
      </c>
      <c r="E76" s="55">
        <v>0.5</v>
      </c>
      <c r="F76" s="55">
        <v>1.0</v>
      </c>
      <c r="G76" s="83">
        <v>1.0</v>
      </c>
      <c r="H76" s="77">
        <f t="shared" si="7"/>
        <v>4</v>
      </c>
      <c r="I76" s="83" t="str">
        <f t="shared" si="2"/>
        <v>Sim</v>
      </c>
      <c r="J76" s="83">
        <v>1.0</v>
      </c>
      <c r="K76" s="83">
        <v>1.0</v>
      </c>
      <c r="L76" s="83">
        <v>1.0</v>
      </c>
      <c r="M76" s="83">
        <v>1.0</v>
      </c>
      <c r="N76" s="83">
        <v>1.0</v>
      </c>
      <c r="O76" s="77">
        <f t="shared" si="8"/>
        <v>5</v>
      </c>
      <c r="P76" s="83" t="str">
        <f t="shared" si="4"/>
        <v>Sim</v>
      </c>
      <c r="Q76" s="84" t="str">
        <f t="shared" si="5"/>
        <v>Igual</v>
      </c>
      <c r="R76" s="55" t="s">
        <v>1595</v>
      </c>
      <c r="S76" s="55" t="s">
        <v>1596</v>
      </c>
      <c r="T76" s="55" t="s">
        <v>169</v>
      </c>
      <c r="U76" s="84" t="str">
        <f t="shared" si="6"/>
        <v>Sim</v>
      </c>
    </row>
    <row r="77">
      <c r="A77" s="55" t="s">
        <v>1597</v>
      </c>
      <c r="B77" s="55" t="s">
        <v>1598</v>
      </c>
      <c r="C77" s="55">
        <v>1.0</v>
      </c>
      <c r="D77" s="55">
        <v>0.5</v>
      </c>
      <c r="E77" s="55">
        <v>0.0</v>
      </c>
      <c r="F77" s="55">
        <v>1.0</v>
      </c>
      <c r="G77" s="83">
        <v>0.5</v>
      </c>
      <c r="H77" s="77">
        <f t="shared" si="7"/>
        <v>3</v>
      </c>
      <c r="I77" s="83" t="str">
        <f t="shared" si="2"/>
        <v>Sim</v>
      </c>
      <c r="J77" s="83">
        <v>1.0</v>
      </c>
      <c r="K77" s="83">
        <v>1.0</v>
      </c>
      <c r="L77" s="83">
        <v>0.5</v>
      </c>
      <c r="M77" s="83">
        <v>1.0</v>
      </c>
      <c r="N77" s="83">
        <v>1.0</v>
      </c>
      <c r="O77" s="77">
        <f t="shared" si="8"/>
        <v>4.5</v>
      </c>
      <c r="P77" s="83" t="str">
        <f t="shared" si="4"/>
        <v>Sim</v>
      </c>
      <c r="Q77" s="84" t="str">
        <f t="shared" si="5"/>
        <v>Igual</v>
      </c>
      <c r="R77" s="55" t="s">
        <v>1599</v>
      </c>
      <c r="S77" s="55" t="s">
        <v>1600</v>
      </c>
      <c r="T77" s="55" t="s">
        <v>199</v>
      </c>
      <c r="U77" s="84" t="str">
        <f t="shared" si="6"/>
        <v>Sim</v>
      </c>
    </row>
    <row r="78">
      <c r="A78" s="55" t="s">
        <v>1601</v>
      </c>
      <c r="B78" s="55" t="s">
        <v>1602</v>
      </c>
      <c r="C78" s="55">
        <v>0.5</v>
      </c>
      <c r="D78" s="55">
        <v>0.0</v>
      </c>
      <c r="E78" s="55">
        <v>1.0</v>
      </c>
      <c r="F78" s="55">
        <v>0.5</v>
      </c>
      <c r="G78" s="83">
        <v>0.0</v>
      </c>
      <c r="H78" s="77">
        <f t="shared" si="7"/>
        <v>2</v>
      </c>
      <c r="I78" s="83" t="str">
        <f t="shared" si="2"/>
        <v>Não</v>
      </c>
      <c r="J78" s="83">
        <v>1.0</v>
      </c>
      <c r="K78" s="83">
        <v>0.5</v>
      </c>
      <c r="L78" s="83">
        <v>0.0</v>
      </c>
      <c r="M78" s="83">
        <v>0.0</v>
      </c>
      <c r="N78" s="83">
        <v>0.5</v>
      </c>
      <c r="O78" s="77">
        <f t="shared" si="8"/>
        <v>2</v>
      </c>
      <c r="P78" s="83" t="str">
        <f t="shared" si="4"/>
        <v>Não</v>
      </c>
      <c r="Q78" s="84" t="str">
        <f t="shared" si="5"/>
        <v>Igual</v>
      </c>
      <c r="R78" s="55" t="s">
        <v>1603</v>
      </c>
      <c r="S78" s="55" t="s">
        <v>1604</v>
      </c>
      <c r="T78" s="55" t="s">
        <v>169</v>
      </c>
      <c r="U78" s="84" t="str">
        <f t="shared" si="6"/>
        <v>Não</v>
      </c>
      <c r="V78" s="55" t="s">
        <v>31</v>
      </c>
    </row>
    <row r="79">
      <c r="A79" s="55" t="s">
        <v>1605</v>
      </c>
      <c r="B79" s="55" t="s">
        <v>1347</v>
      </c>
      <c r="C79" s="55">
        <v>0.5</v>
      </c>
      <c r="D79" s="55">
        <v>1.0</v>
      </c>
      <c r="E79" s="55">
        <v>0.0</v>
      </c>
      <c r="F79" s="55">
        <v>1.0</v>
      </c>
      <c r="G79" s="83">
        <v>1.0</v>
      </c>
      <c r="H79" s="77">
        <f t="shared" si="7"/>
        <v>3.5</v>
      </c>
      <c r="I79" s="83" t="str">
        <f t="shared" si="2"/>
        <v>Sim</v>
      </c>
      <c r="J79" s="83">
        <v>1.0</v>
      </c>
      <c r="K79" s="83">
        <v>1.0</v>
      </c>
      <c r="L79" s="83">
        <v>0.0</v>
      </c>
      <c r="M79" s="83">
        <v>1.0</v>
      </c>
      <c r="N79" s="83">
        <v>1.0</v>
      </c>
      <c r="O79" s="77">
        <f t="shared" si="8"/>
        <v>4</v>
      </c>
      <c r="P79" s="83" t="str">
        <f t="shared" si="4"/>
        <v>Sim</v>
      </c>
      <c r="Q79" s="84" t="str">
        <f t="shared" si="5"/>
        <v>Igual</v>
      </c>
      <c r="R79" s="55" t="s">
        <v>1606</v>
      </c>
      <c r="S79" s="55" t="s">
        <v>1607</v>
      </c>
      <c r="T79" s="55" t="s">
        <v>169</v>
      </c>
      <c r="U79" s="84" t="str">
        <f t="shared" si="6"/>
        <v>Sim</v>
      </c>
    </row>
    <row r="80">
      <c r="A80" s="55" t="s">
        <v>1608</v>
      </c>
      <c r="B80" s="55" t="s">
        <v>1609</v>
      </c>
      <c r="C80" s="55">
        <v>0.5</v>
      </c>
      <c r="D80" s="55">
        <v>0.0</v>
      </c>
      <c r="E80" s="55">
        <v>0.0</v>
      </c>
      <c r="F80" s="55">
        <v>0.0</v>
      </c>
      <c r="G80" s="83">
        <v>0.0</v>
      </c>
      <c r="H80" s="77">
        <f t="shared" si="7"/>
        <v>0.5</v>
      </c>
      <c r="I80" s="83" t="str">
        <f t="shared" si="2"/>
        <v>Não</v>
      </c>
      <c r="J80" s="83">
        <v>0.0</v>
      </c>
      <c r="K80" s="83">
        <v>0.0</v>
      </c>
      <c r="L80" s="83">
        <v>0.5</v>
      </c>
      <c r="M80" s="83">
        <v>0.5</v>
      </c>
      <c r="N80" s="83">
        <v>0.5</v>
      </c>
      <c r="O80" s="77">
        <f t="shared" si="8"/>
        <v>1.5</v>
      </c>
      <c r="P80" s="83" t="str">
        <f t="shared" si="4"/>
        <v>Não</v>
      </c>
      <c r="Q80" s="84" t="str">
        <f t="shared" si="5"/>
        <v>Igual</v>
      </c>
      <c r="R80" s="55" t="s">
        <v>1610</v>
      </c>
      <c r="S80" s="55" t="s">
        <v>1611</v>
      </c>
      <c r="T80" s="55" t="s">
        <v>199</v>
      </c>
      <c r="U80" s="84" t="str">
        <f t="shared" si="6"/>
        <v>Não</v>
      </c>
      <c r="V80" s="55" t="s">
        <v>31</v>
      </c>
    </row>
    <row r="81">
      <c r="A81" s="55" t="s">
        <v>1612</v>
      </c>
      <c r="B81" s="55" t="s">
        <v>1613</v>
      </c>
      <c r="C81" s="55">
        <v>0.5</v>
      </c>
      <c r="D81" s="55">
        <v>0.5</v>
      </c>
      <c r="E81" s="55">
        <v>0.0</v>
      </c>
      <c r="F81" s="55">
        <v>0.5</v>
      </c>
      <c r="G81" s="83">
        <v>0.5</v>
      </c>
      <c r="H81" s="77">
        <f t="shared" si="7"/>
        <v>2</v>
      </c>
      <c r="I81" s="83" t="str">
        <f t="shared" si="2"/>
        <v>Não</v>
      </c>
      <c r="J81" s="83">
        <v>1.0</v>
      </c>
      <c r="K81" s="83">
        <v>0.5</v>
      </c>
      <c r="L81" s="83">
        <v>0.0</v>
      </c>
      <c r="M81" s="83">
        <v>1.0</v>
      </c>
      <c r="N81" s="83">
        <v>1.0</v>
      </c>
      <c r="O81" s="77">
        <f t="shared" si="8"/>
        <v>3.5</v>
      </c>
      <c r="P81" s="83" t="str">
        <f t="shared" si="4"/>
        <v>Sim</v>
      </c>
      <c r="Q81" s="84" t="str">
        <f t="shared" si="5"/>
        <v>Diferente</v>
      </c>
      <c r="R81" s="55" t="s">
        <v>1614</v>
      </c>
      <c r="S81" s="55" t="s">
        <v>1615</v>
      </c>
      <c r="T81" s="55" t="s">
        <v>199</v>
      </c>
      <c r="U81" s="84" t="str">
        <f t="shared" si="6"/>
        <v>Sim</v>
      </c>
    </row>
    <row r="82">
      <c r="A82" s="55" t="s">
        <v>1616</v>
      </c>
      <c r="B82" s="47" t="s">
        <v>734</v>
      </c>
      <c r="C82" s="55">
        <v>1.0</v>
      </c>
      <c r="D82" s="55">
        <v>0.5</v>
      </c>
      <c r="E82" s="55">
        <v>0.5</v>
      </c>
      <c r="F82" s="55">
        <v>1.0</v>
      </c>
      <c r="G82" s="83">
        <v>1.0</v>
      </c>
      <c r="H82" s="77">
        <f t="shared" si="7"/>
        <v>4</v>
      </c>
      <c r="I82" s="83" t="str">
        <f t="shared" si="2"/>
        <v>Sim</v>
      </c>
      <c r="J82" s="83">
        <v>1.0</v>
      </c>
      <c r="K82" s="83">
        <v>0.5</v>
      </c>
      <c r="L82" s="83">
        <v>1.0</v>
      </c>
      <c r="M82" s="83">
        <v>1.0</v>
      </c>
      <c r="N82" s="83">
        <v>0.5</v>
      </c>
      <c r="O82" s="77">
        <f t="shared" si="8"/>
        <v>4</v>
      </c>
      <c r="P82" s="83" t="str">
        <f t="shared" si="4"/>
        <v>Sim</v>
      </c>
      <c r="Q82" s="84" t="str">
        <f t="shared" si="5"/>
        <v>Igual</v>
      </c>
      <c r="R82" s="55" t="s">
        <v>1617</v>
      </c>
      <c r="S82" s="55" t="s">
        <v>1618</v>
      </c>
      <c r="T82" s="55" t="s">
        <v>169</v>
      </c>
      <c r="U82" s="84" t="str">
        <f t="shared" si="6"/>
        <v>Sim</v>
      </c>
    </row>
    <row r="83">
      <c r="A83" s="55" t="s">
        <v>1619</v>
      </c>
      <c r="B83" s="47" t="s">
        <v>738</v>
      </c>
      <c r="C83" s="55">
        <v>0.0</v>
      </c>
      <c r="D83" s="55">
        <v>0.5</v>
      </c>
      <c r="E83" s="55">
        <v>0.0</v>
      </c>
      <c r="F83" s="55">
        <v>0.5</v>
      </c>
      <c r="G83" s="83">
        <v>0.0</v>
      </c>
      <c r="H83" s="77">
        <f t="shared" si="7"/>
        <v>1</v>
      </c>
      <c r="I83" s="83" t="str">
        <f t="shared" si="2"/>
        <v>Não</v>
      </c>
      <c r="J83" s="83">
        <v>0.0</v>
      </c>
      <c r="K83" s="83">
        <v>0.5</v>
      </c>
      <c r="L83" s="83">
        <v>0.0</v>
      </c>
      <c r="M83" s="83">
        <v>0.0</v>
      </c>
      <c r="N83" s="83">
        <v>0.0</v>
      </c>
      <c r="O83" s="77">
        <f t="shared" si="8"/>
        <v>0.5</v>
      </c>
      <c r="P83" s="83" t="str">
        <f t="shared" si="4"/>
        <v>Não</v>
      </c>
      <c r="Q83" s="84" t="str">
        <f t="shared" si="5"/>
        <v>Igual</v>
      </c>
      <c r="R83" s="55" t="s">
        <v>1620</v>
      </c>
      <c r="S83" s="55" t="s">
        <v>1621</v>
      </c>
      <c r="T83" s="55" t="s">
        <v>169</v>
      </c>
      <c r="U83" s="84" t="str">
        <f t="shared" si="6"/>
        <v>Não</v>
      </c>
      <c r="V83" s="55" t="s">
        <v>31</v>
      </c>
    </row>
    <row r="84">
      <c r="A84" s="55" t="s">
        <v>1622</v>
      </c>
      <c r="B84" s="47" t="s">
        <v>741</v>
      </c>
      <c r="C84" s="55">
        <v>0.5</v>
      </c>
      <c r="D84" s="55">
        <v>0.0</v>
      </c>
      <c r="E84" s="55">
        <v>0.5</v>
      </c>
      <c r="F84" s="55">
        <v>0.0</v>
      </c>
      <c r="G84" s="83">
        <v>0.0</v>
      </c>
      <c r="H84" s="77">
        <f t="shared" si="7"/>
        <v>1</v>
      </c>
      <c r="I84" s="83" t="str">
        <f t="shared" si="2"/>
        <v>Não</v>
      </c>
      <c r="J84" s="83">
        <v>0.5</v>
      </c>
      <c r="K84" s="83">
        <v>0.5</v>
      </c>
      <c r="L84" s="83">
        <v>0.0</v>
      </c>
      <c r="M84" s="83">
        <v>0.5</v>
      </c>
      <c r="N84" s="83">
        <v>0.5</v>
      </c>
      <c r="O84" s="77">
        <f t="shared" si="8"/>
        <v>2</v>
      </c>
      <c r="P84" s="83" t="str">
        <f t="shared" si="4"/>
        <v>Não</v>
      </c>
      <c r="Q84" s="84" t="str">
        <f t="shared" si="5"/>
        <v>Igual</v>
      </c>
      <c r="R84" s="55" t="s">
        <v>1623</v>
      </c>
      <c r="S84" s="55" t="s">
        <v>1624</v>
      </c>
      <c r="T84" s="55" t="s">
        <v>169</v>
      </c>
      <c r="U84" s="84" t="str">
        <f t="shared" si="6"/>
        <v>Não</v>
      </c>
    </row>
    <row r="85">
      <c r="A85" s="55" t="s">
        <v>1625</v>
      </c>
      <c r="B85" s="47" t="s">
        <v>747</v>
      </c>
      <c r="C85" s="55">
        <v>1.0</v>
      </c>
      <c r="D85" s="55">
        <v>0.5</v>
      </c>
      <c r="E85" s="55">
        <v>0.0</v>
      </c>
      <c r="F85" s="55">
        <v>1.0</v>
      </c>
      <c r="G85" s="83">
        <v>1.0</v>
      </c>
      <c r="H85" s="77">
        <f t="shared" si="7"/>
        <v>3.5</v>
      </c>
      <c r="I85" s="83" t="str">
        <f t="shared" si="2"/>
        <v>Sim</v>
      </c>
      <c r="J85" s="83">
        <v>1.0</v>
      </c>
      <c r="K85" s="83">
        <v>1.0</v>
      </c>
      <c r="L85" s="83">
        <v>0.0</v>
      </c>
      <c r="M85" s="83">
        <v>1.0</v>
      </c>
      <c r="N85" s="83">
        <v>1.0</v>
      </c>
      <c r="O85" s="77">
        <f t="shared" si="8"/>
        <v>4</v>
      </c>
      <c r="P85" s="83" t="str">
        <f t="shared" si="4"/>
        <v>Sim</v>
      </c>
      <c r="Q85" s="84" t="str">
        <f t="shared" si="5"/>
        <v>Igual</v>
      </c>
      <c r="R85" s="55" t="s">
        <v>1626</v>
      </c>
      <c r="S85" s="55" t="s">
        <v>1627</v>
      </c>
      <c r="T85" s="55" t="s">
        <v>1236</v>
      </c>
      <c r="U85" s="84" t="str">
        <f t="shared" si="6"/>
        <v>Sim</v>
      </c>
    </row>
    <row r="86">
      <c r="A86" s="55" t="s">
        <v>1628</v>
      </c>
      <c r="B86" s="47" t="s">
        <v>754</v>
      </c>
      <c r="C86" s="55">
        <v>0.0</v>
      </c>
      <c r="D86" s="55">
        <v>0.0</v>
      </c>
      <c r="E86" s="55">
        <v>0.0</v>
      </c>
      <c r="F86" s="55">
        <v>0.0</v>
      </c>
      <c r="G86" s="83">
        <v>0.0</v>
      </c>
      <c r="H86" s="77">
        <f t="shared" si="7"/>
        <v>0</v>
      </c>
      <c r="I86" s="83" t="str">
        <f t="shared" si="2"/>
        <v>Não</v>
      </c>
      <c r="J86" s="83">
        <v>0.0</v>
      </c>
      <c r="K86" s="83">
        <v>0.5</v>
      </c>
      <c r="L86" s="83">
        <v>0.0</v>
      </c>
      <c r="M86" s="83">
        <v>0.0</v>
      </c>
      <c r="N86" s="83">
        <v>0.0</v>
      </c>
      <c r="O86" s="77">
        <f t="shared" si="8"/>
        <v>0.5</v>
      </c>
      <c r="P86" s="83" t="str">
        <f t="shared" si="4"/>
        <v>Não</v>
      </c>
      <c r="Q86" s="84" t="str">
        <f t="shared" si="5"/>
        <v>Igual</v>
      </c>
      <c r="R86" s="55" t="s">
        <v>1629</v>
      </c>
      <c r="S86" s="55" t="s">
        <v>1630</v>
      </c>
      <c r="T86" s="55" t="s">
        <v>1236</v>
      </c>
      <c r="U86" s="84" t="str">
        <f t="shared" si="6"/>
        <v>Não</v>
      </c>
      <c r="V86" s="55" t="s">
        <v>31</v>
      </c>
    </row>
    <row r="87">
      <c r="A87" s="55" t="s">
        <v>1631</v>
      </c>
      <c r="B87" s="47" t="s">
        <v>757</v>
      </c>
      <c r="C87" s="55">
        <v>0.5</v>
      </c>
      <c r="D87" s="55">
        <v>0.0</v>
      </c>
      <c r="E87" s="55">
        <v>0.0</v>
      </c>
      <c r="F87" s="55">
        <v>0.0</v>
      </c>
      <c r="G87" s="83">
        <v>0.0</v>
      </c>
      <c r="H87" s="77">
        <f t="shared" si="7"/>
        <v>0.5</v>
      </c>
      <c r="I87" s="83" t="str">
        <f t="shared" si="2"/>
        <v>Não</v>
      </c>
      <c r="J87" s="83">
        <v>1.0</v>
      </c>
      <c r="K87" s="83">
        <v>0.0</v>
      </c>
      <c r="L87" s="83">
        <v>0.0</v>
      </c>
      <c r="M87" s="83">
        <v>0.0</v>
      </c>
      <c r="N87" s="83">
        <v>0.0</v>
      </c>
      <c r="O87" s="77">
        <f t="shared" si="8"/>
        <v>1</v>
      </c>
      <c r="P87" s="83" t="str">
        <f t="shared" si="4"/>
        <v>Não</v>
      </c>
      <c r="Q87" s="84" t="str">
        <f t="shared" si="5"/>
        <v>Igual</v>
      </c>
      <c r="R87" s="55" t="s">
        <v>1632</v>
      </c>
      <c r="S87" s="55" t="s">
        <v>1633</v>
      </c>
      <c r="T87" s="55" t="s">
        <v>199</v>
      </c>
      <c r="U87" s="84" t="str">
        <f t="shared" si="6"/>
        <v>Não</v>
      </c>
      <c r="V87" s="55" t="s">
        <v>31</v>
      </c>
    </row>
    <row r="88">
      <c r="A88" s="55" t="s">
        <v>1634</v>
      </c>
      <c r="B88" s="47" t="s">
        <v>760</v>
      </c>
      <c r="C88" s="55">
        <v>0.5</v>
      </c>
      <c r="D88" s="55">
        <v>0.5</v>
      </c>
      <c r="E88" s="55">
        <v>0.5</v>
      </c>
      <c r="F88" s="55">
        <v>0.0</v>
      </c>
      <c r="G88" s="83">
        <v>0.0</v>
      </c>
      <c r="H88" s="77">
        <f t="shared" si="7"/>
        <v>1.5</v>
      </c>
      <c r="I88" s="83" t="str">
        <f t="shared" si="2"/>
        <v>Não</v>
      </c>
      <c r="J88" s="83">
        <v>0.5</v>
      </c>
      <c r="K88" s="83">
        <v>1.0</v>
      </c>
      <c r="L88" s="83">
        <v>1.0</v>
      </c>
      <c r="M88" s="83">
        <v>0.5</v>
      </c>
      <c r="N88" s="83">
        <v>0.5</v>
      </c>
      <c r="O88" s="77">
        <f t="shared" si="8"/>
        <v>3.5</v>
      </c>
      <c r="P88" s="83" t="str">
        <f t="shared" si="4"/>
        <v>Sim</v>
      </c>
      <c r="Q88" s="84" t="str">
        <f t="shared" si="5"/>
        <v>Diferente</v>
      </c>
      <c r="R88" s="55" t="s">
        <v>1635</v>
      </c>
      <c r="S88" s="55" t="s">
        <v>1636</v>
      </c>
      <c r="T88" s="55" t="s">
        <v>169</v>
      </c>
      <c r="U88" s="84" t="str">
        <f t="shared" si="6"/>
        <v>Sim</v>
      </c>
    </row>
    <row r="89">
      <c r="A89" s="55" t="s">
        <v>1637</v>
      </c>
      <c r="B89" s="47" t="s">
        <v>763</v>
      </c>
      <c r="C89" s="55">
        <v>0.0</v>
      </c>
      <c r="D89" s="55">
        <v>0.0</v>
      </c>
      <c r="E89" s="55">
        <v>0.5</v>
      </c>
      <c r="F89" s="55">
        <v>0.0</v>
      </c>
      <c r="G89" s="83">
        <v>0.0</v>
      </c>
      <c r="H89" s="77">
        <f t="shared" si="7"/>
        <v>0.5</v>
      </c>
      <c r="I89" s="83" t="str">
        <f t="shared" si="2"/>
        <v>Não</v>
      </c>
      <c r="J89" s="83">
        <v>0.0</v>
      </c>
      <c r="K89" s="83">
        <v>0.5</v>
      </c>
      <c r="L89" s="83">
        <v>1.0</v>
      </c>
      <c r="M89" s="83">
        <v>0.5</v>
      </c>
      <c r="N89" s="83">
        <v>0.0</v>
      </c>
      <c r="O89" s="77">
        <f t="shared" si="8"/>
        <v>2</v>
      </c>
      <c r="P89" s="83" t="str">
        <f t="shared" si="4"/>
        <v>Não</v>
      </c>
      <c r="Q89" s="84" t="str">
        <f t="shared" si="5"/>
        <v>Igual</v>
      </c>
      <c r="R89" s="55" t="s">
        <v>1638</v>
      </c>
      <c r="S89" s="55" t="s">
        <v>1639</v>
      </c>
      <c r="T89" s="55" t="s">
        <v>199</v>
      </c>
      <c r="U89" s="84" t="str">
        <f t="shared" si="6"/>
        <v>Não</v>
      </c>
      <c r="V89" s="55" t="s">
        <v>31</v>
      </c>
    </row>
    <row r="90">
      <c r="A90" s="55" t="s">
        <v>1640</v>
      </c>
      <c r="B90" s="47" t="s">
        <v>769</v>
      </c>
      <c r="C90" s="55">
        <v>0.5</v>
      </c>
      <c r="D90" s="55">
        <v>1.0</v>
      </c>
      <c r="E90" s="55">
        <v>0.0</v>
      </c>
      <c r="F90" s="55">
        <v>0.5</v>
      </c>
      <c r="G90" s="83">
        <v>0.0</v>
      </c>
      <c r="H90" s="77">
        <f t="shared" si="7"/>
        <v>2</v>
      </c>
      <c r="I90" s="83" t="str">
        <f t="shared" si="2"/>
        <v>Não</v>
      </c>
      <c r="J90" s="83">
        <v>0.0</v>
      </c>
      <c r="K90" s="83">
        <v>0.5</v>
      </c>
      <c r="L90" s="83">
        <v>0.0</v>
      </c>
      <c r="M90" s="83">
        <v>1.0</v>
      </c>
      <c r="N90" s="83">
        <v>0.0</v>
      </c>
      <c r="O90" s="77">
        <f t="shared" si="8"/>
        <v>1.5</v>
      </c>
      <c r="P90" s="83" t="str">
        <f t="shared" si="4"/>
        <v>Não</v>
      </c>
      <c r="Q90" s="84" t="str">
        <f t="shared" si="5"/>
        <v>Igual</v>
      </c>
      <c r="R90" s="55" t="s">
        <v>1641</v>
      </c>
      <c r="S90" s="55" t="s">
        <v>1642</v>
      </c>
      <c r="T90" s="55" t="s">
        <v>199</v>
      </c>
      <c r="U90" s="84" t="str">
        <f t="shared" si="6"/>
        <v>Não</v>
      </c>
    </row>
    <row r="91">
      <c r="A91" s="55" t="s">
        <v>1643</v>
      </c>
      <c r="B91" s="47" t="s">
        <v>783</v>
      </c>
      <c r="C91" s="55">
        <v>0.0</v>
      </c>
      <c r="D91" s="55">
        <v>0.0</v>
      </c>
      <c r="E91" s="55">
        <v>0.0</v>
      </c>
      <c r="F91" s="55">
        <v>0.5</v>
      </c>
      <c r="G91" s="83">
        <v>0.0</v>
      </c>
      <c r="H91" s="77">
        <f t="shared" si="7"/>
        <v>0.5</v>
      </c>
      <c r="I91" s="83" t="str">
        <f t="shared" si="2"/>
        <v>Não</v>
      </c>
      <c r="J91" s="83">
        <v>0.0</v>
      </c>
      <c r="K91" s="83">
        <v>0.0</v>
      </c>
      <c r="L91" s="83">
        <v>0.5</v>
      </c>
      <c r="M91" s="83">
        <v>0.0</v>
      </c>
      <c r="N91" s="83">
        <v>0.0</v>
      </c>
      <c r="O91" s="77">
        <f t="shared" si="8"/>
        <v>0.5</v>
      </c>
      <c r="P91" s="83" t="str">
        <f t="shared" si="4"/>
        <v>Não</v>
      </c>
      <c r="Q91" s="84" t="str">
        <f t="shared" si="5"/>
        <v>Igual</v>
      </c>
      <c r="R91" s="55" t="s">
        <v>1644</v>
      </c>
      <c r="S91" s="55" t="s">
        <v>1645</v>
      </c>
      <c r="T91" s="55" t="s">
        <v>199</v>
      </c>
      <c r="U91" s="84" t="str">
        <f t="shared" si="6"/>
        <v>Não</v>
      </c>
      <c r="V91" s="55" t="s">
        <v>31</v>
      </c>
    </row>
    <row r="92">
      <c r="A92" s="55" t="s">
        <v>1646</v>
      </c>
      <c r="B92" s="47" t="s">
        <v>820</v>
      </c>
      <c r="C92" s="55">
        <v>1.0</v>
      </c>
      <c r="D92" s="55">
        <v>0.5</v>
      </c>
      <c r="E92" s="55">
        <v>0.0</v>
      </c>
      <c r="F92" s="55">
        <v>0.5</v>
      </c>
      <c r="G92" s="83">
        <v>0.0</v>
      </c>
      <c r="H92" s="77">
        <f t="shared" si="7"/>
        <v>2</v>
      </c>
      <c r="I92" s="83" t="str">
        <f t="shared" si="2"/>
        <v>Não</v>
      </c>
      <c r="J92" s="83">
        <v>0.5</v>
      </c>
      <c r="K92" s="83">
        <v>1.0</v>
      </c>
      <c r="L92" s="83">
        <v>0.0</v>
      </c>
      <c r="M92" s="83">
        <v>0.5</v>
      </c>
      <c r="N92" s="83">
        <v>0.0</v>
      </c>
      <c r="O92" s="77">
        <f t="shared" si="8"/>
        <v>2</v>
      </c>
      <c r="P92" s="83" t="str">
        <f t="shared" si="4"/>
        <v>Não</v>
      </c>
      <c r="Q92" s="84" t="str">
        <f t="shared" si="5"/>
        <v>Igual</v>
      </c>
      <c r="R92" s="55" t="s">
        <v>1647</v>
      </c>
      <c r="S92" s="55" t="s">
        <v>1648</v>
      </c>
      <c r="T92" s="55" t="s">
        <v>199</v>
      </c>
      <c r="U92" s="84" t="str">
        <f t="shared" si="6"/>
        <v>Não</v>
      </c>
      <c r="V92" s="55" t="s">
        <v>31</v>
      </c>
    </row>
    <row r="93">
      <c r="A93" s="55" t="s">
        <v>1649</v>
      </c>
      <c r="B93" s="47" t="s">
        <v>847</v>
      </c>
      <c r="C93" s="55">
        <v>0.0</v>
      </c>
      <c r="D93" s="55">
        <v>0.0</v>
      </c>
      <c r="E93" s="55">
        <v>0.0</v>
      </c>
      <c r="F93" s="55">
        <v>0.0</v>
      </c>
      <c r="G93" s="83">
        <v>0.0</v>
      </c>
      <c r="H93" s="77">
        <f t="shared" si="7"/>
        <v>0</v>
      </c>
      <c r="I93" s="83" t="str">
        <f t="shared" si="2"/>
        <v>Não</v>
      </c>
      <c r="J93" s="83">
        <v>0.0</v>
      </c>
      <c r="K93" s="83">
        <v>0.5</v>
      </c>
      <c r="L93" s="83">
        <v>0.0</v>
      </c>
      <c r="M93" s="83">
        <v>0.0</v>
      </c>
      <c r="N93" s="83">
        <v>0.0</v>
      </c>
      <c r="O93" s="77">
        <f t="shared" si="8"/>
        <v>0.5</v>
      </c>
      <c r="P93" s="83" t="str">
        <f t="shared" si="4"/>
        <v>Não</v>
      </c>
      <c r="Q93" s="84" t="str">
        <f t="shared" si="5"/>
        <v>Igual</v>
      </c>
      <c r="R93" s="55" t="s">
        <v>1650</v>
      </c>
      <c r="S93" s="55" t="s">
        <v>1651</v>
      </c>
      <c r="T93" s="55" t="s">
        <v>169</v>
      </c>
      <c r="U93" s="84" t="str">
        <f t="shared" si="6"/>
        <v>Não</v>
      </c>
      <c r="V93" s="55" t="s">
        <v>31</v>
      </c>
    </row>
    <row r="94">
      <c r="A94" s="55" t="s">
        <v>1652</v>
      </c>
      <c r="B94" s="47" t="s">
        <v>850</v>
      </c>
      <c r="C94" s="55">
        <v>0.0</v>
      </c>
      <c r="D94" s="55">
        <v>0.5</v>
      </c>
      <c r="E94" s="55">
        <v>0.0</v>
      </c>
      <c r="F94" s="55">
        <v>0.5</v>
      </c>
      <c r="G94" s="83">
        <v>0.0</v>
      </c>
      <c r="H94" s="77">
        <f t="shared" si="7"/>
        <v>1</v>
      </c>
      <c r="I94" s="83" t="str">
        <f t="shared" si="2"/>
        <v>Não</v>
      </c>
      <c r="J94" s="83">
        <v>0.0</v>
      </c>
      <c r="K94" s="83">
        <v>0.5</v>
      </c>
      <c r="L94" s="83">
        <v>0.0</v>
      </c>
      <c r="M94" s="83">
        <v>0.5</v>
      </c>
      <c r="N94" s="83">
        <v>0.0</v>
      </c>
      <c r="O94" s="77">
        <f t="shared" si="8"/>
        <v>1</v>
      </c>
      <c r="P94" s="83" t="str">
        <f t="shared" si="4"/>
        <v>Não</v>
      </c>
      <c r="Q94" s="84" t="str">
        <f t="shared" si="5"/>
        <v>Igual</v>
      </c>
      <c r="R94" s="55" t="s">
        <v>1653</v>
      </c>
      <c r="S94" s="55" t="s">
        <v>1654</v>
      </c>
      <c r="T94" s="55" t="s">
        <v>169</v>
      </c>
      <c r="U94" s="84" t="str">
        <f t="shared" si="6"/>
        <v>Não</v>
      </c>
      <c r="V94" s="55" t="s">
        <v>31</v>
      </c>
    </row>
    <row r="95">
      <c r="A95" s="55" t="s">
        <v>1655</v>
      </c>
      <c r="B95" s="47" t="s">
        <v>856</v>
      </c>
      <c r="C95" s="55">
        <v>0.0</v>
      </c>
      <c r="D95" s="55">
        <v>0.5</v>
      </c>
      <c r="E95" s="55">
        <v>0.0</v>
      </c>
      <c r="F95" s="55">
        <v>0.5</v>
      </c>
      <c r="G95" s="83">
        <v>0.0</v>
      </c>
      <c r="H95" s="77">
        <f t="shared" si="7"/>
        <v>1</v>
      </c>
      <c r="I95" s="83" t="str">
        <f t="shared" si="2"/>
        <v>Não</v>
      </c>
      <c r="J95" s="83">
        <v>0.0</v>
      </c>
      <c r="K95" s="83">
        <v>0.5</v>
      </c>
      <c r="L95" s="83">
        <v>0.0</v>
      </c>
      <c r="M95" s="83">
        <v>0.5</v>
      </c>
      <c r="N95" s="83">
        <v>0.0</v>
      </c>
      <c r="O95" s="77">
        <f t="shared" si="8"/>
        <v>1</v>
      </c>
      <c r="P95" s="83" t="str">
        <f t="shared" si="4"/>
        <v>Não</v>
      </c>
      <c r="Q95" s="84" t="str">
        <f t="shared" si="5"/>
        <v>Igual</v>
      </c>
      <c r="R95" s="55" t="s">
        <v>1656</v>
      </c>
      <c r="S95" s="55" t="s">
        <v>1657</v>
      </c>
      <c r="T95" s="55" t="s">
        <v>1236</v>
      </c>
      <c r="U95" s="84" t="str">
        <f t="shared" si="6"/>
        <v>Não</v>
      </c>
      <c r="V95" s="55" t="s">
        <v>31</v>
      </c>
    </row>
    <row r="96">
      <c r="A96" s="55" t="s">
        <v>1658</v>
      </c>
      <c r="B96" s="47" t="s">
        <v>859</v>
      </c>
      <c r="C96" s="55">
        <v>0.0</v>
      </c>
      <c r="D96" s="55">
        <v>1.0</v>
      </c>
      <c r="E96" s="55">
        <v>0.0</v>
      </c>
      <c r="F96" s="55">
        <v>1.0</v>
      </c>
      <c r="G96" s="83">
        <v>0.0</v>
      </c>
      <c r="H96" s="77">
        <f t="shared" si="7"/>
        <v>2</v>
      </c>
      <c r="I96" s="83" t="str">
        <f t="shared" si="2"/>
        <v>Não</v>
      </c>
      <c r="J96" s="83">
        <v>0.0</v>
      </c>
      <c r="K96" s="83">
        <v>1.0</v>
      </c>
      <c r="L96" s="83">
        <v>0.0</v>
      </c>
      <c r="M96" s="83">
        <v>1.0</v>
      </c>
      <c r="N96" s="83">
        <v>0.0</v>
      </c>
      <c r="O96" s="77">
        <f t="shared" si="8"/>
        <v>2</v>
      </c>
      <c r="P96" s="83" t="str">
        <f t="shared" si="4"/>
        <v>Não</v>
      </c>
      <c r="Q96" s="84" t="str">
        <f t="shared" si="5"/>
        <v>Igual</v>
      </c>
      <c r="R96" s="55" t="s">
        <v>1659</v>
      </c>
      <c r="S96" s="55" t="s">
        <v>1660</v>
      </c>
      <c r="T96" s="55" t="s">
        <v>199</v>
      </c>
      <c r="U96" s="84" t="str">
        <f t="shared" si="6"/>
        <v>Não</v>
      </c>
      <c r="V96" s="55" t="s">
        <v>31</v>
      </c>
    </row>
    <row r="97">
      <c r="A97" s="55" t="s">
        <v>1661</v>
      </c>
      <c r="B97" s="47" t="s">
        <v>863</v>
      </c>
      <c r="C97" s="55">
        <v>1.0</v>
      </c>
      <c r="D97" s="55">
        <v>0.5</v>
      </c>
      <c r="E97" s="55">
        <v>0.0</v>
      </c>
      <c r="F97" s="55">
        <v>1.0</v>
      </c>
      <c r="G97" s="83">
        <v>1.0</v>
      </c>
      <c r="H97" s="77">
        <f t="shared" si="7"/>
        <v>3.5</v>
      </c>
      <c r="I97" s="83" t="str">
        <f t="shared" si="2"/>
        <v>Sim</v>
      </c>
      <c r="J97" s="83">
        <v>1.0</v>
      </c>
      <c r="K97" s="83">
        <v>1.0</v>
      </c>
      <c r="L97" s="83">
        <v>0.0</v>
      </c>
      <c r="M97" s="83">
        <v>1.0</v>
      </c>
      <c r="N97" s="83">
        <v>1.0</v>
      </c>
      <c r="O97" s="77">
        <f t="shared" si="8"/>
        <v>4</v>
      </c>
      <c r="P97" s="83" t="str">
        <f t="shared" si="4"/>
        <v>Sim</v>
      </c>
      <c r="Q97" s="84" t="str">
        <f t="shared" si="5"/>
        <v>Igual</v>
      </c>
      <c r="R97" s="55" t="s">
        <v>1662</v>
      </c>
      <c r="S97" s="55" t="s">
        <v>1663</v>
      </c>
      <c r="T97" s="55" t="s">
        <v>199</v>
      </c>
      <c r="U97" s="84" t="str">
        <f t="shared" si="6"/>
        <v>Sim</v>
      </c>
    </row>
    <row r="98">
      <c r="A98" s="55" t="s">
        <v>1664</v>
      </c>
      <c r="B98" s="55" t="s">
        <v>576</v>
      </c>
      <c r="C98" s="55">
        <v>0.5</v>
      </c>
      <c r="D98" s="55">
        <v>0.0</v>
      </c>
      <c r="E98" s="55">
        <v>0.0</v>
      </c>
      <c r="F98" s="55">
        <v>0.5</v>
      </c>
      <c r="G98" s="83">
        <v>0.0</v>
      </c>
      <c r="H98" s="77">
        <f t="shared" si="7"/>
        <v>1</v>
      </c>
      <c r="I98" s="83" t="str">
        <f t="shared" si="2"/>
        <v>Não</v>
      </c>
      <c r="J98" s="83">
        <v>0.0</v>
      </c>
      <c r="K98" s="83">
        <v>0.0</v>
      </c>
      <c r="L98" s="83">
        <v>0.0</v>
      </c>
      <c r="M98" s="83">
        <v>0.0</v>
      </c>
      <c r="N98" s="83">
        <v>0.0</v>
      </c>
      <c r="O98" s="77">
        <f t="shared" si="8"/>
        <v>0</v>
      </c>
      <c r="P98" s="83" t="str">
        <f t="shared" si="4"/>
        <v>Não</v>
      </c>
      <c r="Q98" s="84" t="str">
        <f t="shared" si="5"/>
        <v>Igual</v>
      </c>
      <c r="R98" s="55" t="s">
        <v>1665</v>
      </c>
      <c r="S98" s="55" t="s">
        <v>1666</v>
      </c>
      <c r="T98" s="55" t="s">
        <v>169</v>
      </c>
      <c r="U98" s="84" t="str">
        <f t="shared" si="6"/>
        <v>Não</v>
      </c>
      <c r="V98" s="55" t="s">
        <v>31</v>
      </c>
    </row>
    <row r="99">
      <c r="A99" s="55" t="s">
        <v>1667</v>
      </c>
      <c r="B99" s="55" t="s">
        <v>580</v>
      </c>
      <c r="C99" s="55">
        <v>0.0</v>
      </c>
      <c r="D99" s="55">
        <v>0.5</v>
      </c>
      <c r="E99" s="55">
        <v>0.0</v>
      </c>
      <c r="F99" s="55">
        <v>1.0</v>
      </c>
      <c r="G99" s="83">
        <v>0.5</v>
      </c>
      <c r="H99" s="77">
        <f t="shared" si="7"/>
        <v>2</v>
      </c>
      <c r="I99" s="83" t="str">
        <f t="shared" si="2"/>
        <v>Não</v>
      </c>
      <c r="J99" s="83">
        <v>0.0</v>
      </c>
      <c r="K99" s="83">
        <v>0.5</v>
      </c>
      <c r="L99" s="83">
        <v>0.0</v>
      </c>
      <c r="M99" s="83">
        <v>1.0</v>
      </c>
      <c r="N99" s="83">
        <v>0.5</v>
      </c>
      <c r="O99" s="77">
        <f t="shared" si="8"/>
        <v>2</v>
      </c>
      <c r="P99" s="83" t="str">
        <f t="shared" si="4"/>
        <v>Não</v>
      </c>
      <c r="Q99" s="84" t="str">
        <f t="shared" si="5"/>
        <v>Igual</v>
      </c>
      <c r="R99" s="55" t="s">
        <v>1668</v>
      </c>
      <c r="S99" s="55" t="s">
        <v>1669</v>
      </c>
      <c r="T99" s="55" t="s">
        <v>1512</v>
      </c>
      <c r="U99" s="84" t="str">
        <f t="shared" si="6"/>
        <v>Não</v>
      </c>
      <c r="V99" s="55" t="s">
        <v>31</v>
      </c>
    </row>
    <row r="100">
      <c r="A100" s="55" t="s">
        <v>1670</v>
      </c>
      <c r="B100" s="55" t="s">
        <v>583</v>
      </c>
      <c r="C100" s="55">
        <v>1.0</v>
      </c>
      <c r="D100" s="55">
        <v>0.5</v>
      </c>
      <c r="E100" s="55">
        <v>0.5</v>
      </c>
      <c r="F100" s="55">
        <v>1.0</v>
      </c>
      <c r="G100" s="83">
        <v>0.5</v>
      </c>
      <c r="H100" s="77">
        <f t="shared" si="7"/>
        <v>3.5</v>
      </c>
      <c r="I100" s="83" t="str">
        <f t="shared" si="2"/>
        <v>Sim</v>
      </c>
      <c r="J100" s="83">
        <v>1.0</v>
      </c>
      <c r="K100" s="83">
        <v>0.5</v>
      </c>
      <c r="L100" s="83">
        <v>1.0</v>
      </c>
      <c r="M100" s="83">
        <v>1.0</v>
      </c>
      <c r="N100" s="83">
        <v>0.5</v>
      </c>
      <c r="O100" s="77">
        <f t="shared" si="8"/>
        <v>4</v>
      </c>
      <c r="P100" s="83" t="str">
        <f t="shared" si="4"/>
        <v>Sim</v>
      </c>
      <c r="Q100" s="84" t="str">
        <f t="shared" si="5"/>
        <v>Igual</v>
      </c>
      <c r="R100" s="55" t="s">
        <v>1671</v>
      </c>
      <c r="S100" s="55" t="s">
        <v>1672</v>
      </c>
      <c r="T100" s="55" t="s">
        <v>169</v>
      </c>
      <c r="U100" s="84" t="str">
        <f t="shared" si="6"/>
        <v>Sim</v>
      </c>
    </row>
    <row r="101">
      <c r="A101" s="55" t="s">
        <v>1673</v>
      </c>
      <c r="B101" s="55" t="s">
        <v>591</v>
      </c>
      <c r="C101" s="55">
        <v>1.0</v>
      </c>
      <c r="D101" s="55">
        <v>0.5</v>
      </c>
      <c r="E101" s="55">
        <v>1.0</v>
      </c>
      <c r="F101" s="55">
        <v>0.5</v>
      </c>
      <c r="G101" s="83">
        <v>0.0</v>
      </c>
      <c r="H101" s="77">
        <f t="shared" si="7"/>
        <v>3</v>
      </c>
      <c r="I101" s="83" t="str">
        <f t="shared" si="2"/>
        <v>Sim</v>
      </c>
      <c r="J101" s="83">
        <v>1.0</v>
      </c>
      <c r="K101" s="83">
        <v>0.5</v>
      </c>
      <c r="L101" s="83">
        <v>1.0</v>
      </c>
      <c r="M101" s="83">
        <v>1.0</v>
      </c>
      <c r="N101" s="83">
        <v>0.5</v>
      </c>
      <c r="O101" s="77">
        <f t="shared" si="8"/>
        <v>4</v>
      </c>
      <c r="P101" s="83" t="str">
        <f t="shared" si="4"/>
        <v>Sim</v>
      </c>
      <c r="Q101" s="84" t="str">
        <f t="shared" si="5"/>
        <v>Igual</v>
      </c>
      <c r="R101" s="55" t="s">
        <v>1674</v>
      </c>
      <c r="S101" s="55" t="s">
        <v>1675</v>
      </c>
      <c r="T101" s="55" t="s">
        <v>199</v>
      </c>
      <c r="U101" s="84" t="str">
        <f t="shared" si="6"/>
        <v>Sim</v>
      </c>
    </row>
    <row r="102">
      <c r="A102" s="55" t="s">
        <v>1676</v>
      </c>
      <c r="B102" s="55" t="s">
        <v>603</v>
      </c>
      <c r="C102" s="55">
        <v>1.0</v>
      </c>
      <c r="D102" s="55">
        <v>1.0</v>
      </c>
      <c r="E102" s="55">
        <v>1.0</v>
      </c>
      <c r="F102" s="55">
        <v>1.0</v>
      </c>
      <c r="G102" s="83">
        <v>1.0</v>
      </c>
      <c r="H102" s="77">
        <f t="shared" si="7"/>
        <v>5</v>
      </c>
      <c r="I102" s="83" t="str">
        <f t="shared" si="2"/>
        <v>Sim</v>
      </c>
      <c r="J102" s="55">
        <v>0.5</v>
      </c>
      <c r="K102" s="55">
        <v>0.0</v>
      </c>
      <c r="L102" s="55">
        <v>1.0</v>
      </c>
      <c r="M102" s="55">
        <v>1.0</v>
      </c>
      <c r="N102" s="83">
        <v>1.0</v>
      </c>
      <c r="O102" s="77">
        <f t="shared" si="8"/>
        <v>3.5</v>
      </c>
      <c r="P102" s="83" t="str">
        <f t="shared" si="4"/>
        <v>Sim</v>
      </c>
      <c r="Q102" s="84" t="str">
        <f t="shared" si="5"/>
        <v>Igual</v>
      </c>
      <c r="R102" s="55" t="s">
        <v>1677</v>
      </c>
      <c r="S102" s="55" t="s">
        <v>1678</v>
      </c>
      <c r="T102" s="55" t="s">
        <v>169</v>
      </c>
      <c r="U102" s="84" t="str">
        <f t="shared" si="6"/>
        <v>Sim</v>
      </c>
    </row>
    <row r="103">
      <c r="A103" s="55" t="s">
        <v>1679</v>
      </c>
      <c r="B103" s="55" t="s">
        <v>649</v>
      </c>
      <c r="C103" s="55">
        <v>1.0</v>
      </c>
      <c r="D103" s="55">
        <v>1.0</v>
      </c>
      <c r="E103" s="55">
        <v>0.5</v>
      </c>
      <c r="F103" s="55">
        <v>1.0</v>
      </c>
      <c r="G103" s="83">
        <v>1.0</v>
      </c>
      <c r="H103" s="77">
        <f t="shared" si="7"/>
        <v>4.5</v>
      </c>
      <c r="I103" s="83" t="str">
        <f t="shared" si="2"/>
        <v>Sim</v>
      </c>
      <c r="J103" s="55">
        <v>1.0</v>
      </c>
      <c r="K103" s="55">
        <v>0.5</v>
      </c>
      <c r="L103" s="55">
        <v>0.5</v>
      </c>
      <c r="M103" s="55">
        <v>1.0</v>
      </c>
      <c r="N103" s="83">
        <v>1.0</v>
      </c>
      <c r="O103" s="77">
        <f t="shared" si="8"/>
        <v>4</v>
      </c>
      <c r="P103" s="83" t="str">
        <f t="shared" si="4"/>
        <v>Sim</v>
      </c>
      <c r="Q103" s="84" t="str">
        <f t="shared" si="5"/>
        <v>Igual</v>
      </c>
      <c r="R103" s="55" t="s">
        <v>1680</v>
      </c>
      <c r="S103" s="55" t="s">
        <v>1681</v>
      </c>
      <c r="T103" s="55" t="s">
        <v>169</v>
      </c>
      <c r="U103" s="84" t="str">
        <f t="shared" si="6"/>
        <v>Sim</v>
      </c>
    </row>
    <row r="104">
      <c r="A104" s="55" t="s">
        <v>1682</v>
      </c>
      <c r="B104" s="55" t="s">
        <v>673</v>
      </c>
      <c r="C104" s="55">
        <v>1.0</v>
      </c>
      <c r="D104" s="55">
        <v>0.5</v>
      </c>
      <c r="E104" s="55">
        <v>0.5</v>
      </c>
      <c r="F104" s="55">
        <v>0.5</v>
      </c>
      <c r="G104" s="83">
        <v>0.5</v>
      </c>
      <c r="H104" s="77">
        <f t="shared" si="7"/>
        <v>3</v>
      </c>
      <c r="I104" s="83" t="str">
        <f t="shared" si="2"/>
        <v>Sim</v>
      </c>
      <c r="J104" s="83">
        <v>1.0</v>
      </c>
      <c r="K104" s="83">
        <v>0.0</v>
      </c>
      <c r="L104" s="83">
        <v>0.0</v>
      </c>
      <c r="M104" s="83">
        <v>0.0</v>
      </c>
      <c r="N104" s="83">
        <v>0.0</v>
      </c>
      <c r="O104" s="77">
        <f t="shared" si="8"/>
        <v>1</v>
      </c>
      <c r="P104" s="83" t="str">
        <f t="shared" si="4"/>
        <v>Não</v>
      </c>
      <c r="Q104" s="84" t="str">
        <f t="shared" si="5"/>
        <v>Diferente</v>
      </c>
      <c r="R104" s="55" t="s">
        <v>1683</v>
      </c>
      <c r="S104" s="55" t="s">
        <v>1684</v>
      </c>
      <c r="T104" s="55" t="s">
        <v>1512</v>
      </c>
      <c r="U104" s="84" t="str">
        <f t="shared" si="6"/>
        <v>Sim</v>
      </c>
    </row>
    <row r="105">
      <c r="A105" s="55" t="s">
        <v>1685</v>
      </c>
      <c r="B105" s="55" t="s">
        <v>683</v>
      </c>
      <c r="C105" s="55">
        <v>1.0</v>
      </c>
      <c r="D105" s="55">
        <v>1.0</v>
      </c>
      <c r="E105" s="55">
        <v>0.5</v>
      </c>
      <c r="F105" s="55">
        <v>1.0</v>
      </c>
      <c r="G105" s="83">
        <v>0.5</v>
      </c>
      <c r="H105" s="77">
        <f t="shared" si="7"/>
        <v>4</v>
      </c>
      <c r="I105" s="83" t="str">
        <f t="shared" si="2"/>
        <v>Sim</v>
      </c>
      <c r="J105" s="83">
        <v>1.0</v>
      </c>
      <c r="K105" s="83">
        <v>1.0</v>
      </c>
      <c r="L105" s="83">
        <v>0.0</v>
      </c>
      <c r="M105" s="83">
        <v>1.0</v>
      </c>
      <c r="N105" s="83">
        <v>1.0</v>
      </c>
      <c r="O105" s="77">
        <f t="shared" si="8"/>
        <v>4</v>
      </c>
      <c r="P105" s="83" t="str">
        <f t="shared" si="4"/>
        <v>Sim</v>
      </c>
      <c r="Q105" s="84" t="str">
        <f t="shared" si="5"/>
        <v>Igual</v>
      </c>
      <c r="R105" s="55" t="s">
        <v>1686</v>
      </c>
      <c r="S105" s="55" t="s">
        <v>1687</v>
      </c>
      <c r="T105" s="55" t="s">
        <v>169</v>
      </c>
      <c r="U105" s="84" t="str">
        <f t="shared" si="6"/>
        <v>Sim</v>
      </c>
    </row>
    <row r="106">
      <c r="G106" s="77"/>
      <c r="H106" s="77"/>
      <c r="I106" s="83"/>
      <c r="J106" s="83"/>
      <c r="K106" s="83"/>
      <c r="L106" s="83"/>
      <c r="M106" s="83"/>
      <c r="N106" s="83"/>
      <c r="O106" s="77"/>
      <c r="P106" s="83"/>
      <c r="Q106" s="84"/>
      <c r="U106" s="84"/>
    </row>
    <row r="107">
      <c r="G107" s="77"/>
      <c r="H107" s="77"/>
      <c r="I107" s="83"/>
      <c r="J107" s="83"/>
      <c r="K107" s="83"/>
      <c r="L107" s="83"/>
      <c r="M107" s="83"/>
      <c r="N107" s="83"/>
      <c r="O107" s="77"/>
      <c r="P107" s="83"/>
      <c r="Q107" s="84"/>
      <c r="U107" s="84"/>
    </row>
    <row r="108">
      <c r="G108" s="77"/>
      <c r="H108" s="77"/>
      <c r="I108" s="83"/>
      <c r="J108" s="83"/>
      <c r="K108" s="83"/>
      <c r="L108" s="83"/>
      <c r="M108" s="83"/>
      <c r="N108" s="83"/>
      <c r="O108" s="77"/>
      <c r="P108" s="83"/>
      <c r="Q108" s="84"/>
      <c r="U108" s="84"/>
    </row>
    <row r="109">
      <c r="G109" s="77"/>
      <c r="H109" s="77"/>
      <c r="I109" s="83"/>
      <c r="J109" s="83"/>
      <c r="K109" s="83"/>
      <c r="L109" s="83"/>
      <c r="M109" s="83"/>
      <c r="N109" s="83"/>
      <c r="O109" s="77"/>
      <c r="P109" s="83"/>
      <c r="Q109" s="84"/>
      <c r="U109" s="84"/>
    </row>
    <row r="110">
      <c r="G110" s="77"/>
      <c r="H110" s="77"/>
      <c r="I110" s="83"/>
      <c r="J110" s="83"/>
      <c r="K110" s="83"/>
      <c r="L110" s="83"/>
      <c r="M110" s="83"/>
      <c r="N110" s="83"/>
      <c r="O110" s="77"/>
      <c r="P110" s="83"/>
      <c r="Q110" s="84"/>
      <c r="U110" s="84"/>
    </row>
    <row r="111">
      <c r="G111" s="77"/>
      <c r="H111" s="77"/>
      <c r="I111" s="83"/>
      <c r="J111" s="83"/>
      <c r="K111" s="83"/>
      <c r="L111" s="83"/>
      <c r="M111" s="83"/>
      <c r="N111" s="83"/>
      <c r="O111" s="77"/>
      <c r="P111" s="83"/>
      <c r="Q111" s="84"/>
      <c r="U111" s="84"/>
    </row>
    <row r="112">
      <c r="G112" s="77"/>
      <c r="H112" s="77"/>
      <c r="I112" s="83"/>
      <c r="J112" s="83"/>
      <c r="K112" s="83"/>
      <c r="L112" s="83"/>
      <c r="M112" s="83"/>
      <c r="N112" s="83"/>
      <c r="O112" s="77"/>
      <c r="P112" s="83"/>
      <c r="Q112" s="84"/>
      <c r="U112" s="84"/>
    </row>
    <row r="113">
      <c r="G113" s="77"/>
      <c r="H113" s="77"/>
      <c r="I113" s="83"/>
      <c r="J113" s="83"/>
      <c r="K113" s="83"/>
      <c r="L113" s="83"/>
      <c r="M113" s="83"/>
      <c r="N113" s="83"/>
      <c r="O113" s="77"/>
      <c r="P113" s="83"/>
      <c r="Q113" s="84"/>
      <c r="U113" s="84"/>
    </row>
    <row r="114">
      <c r="G114" s="77"/>
      <c r="H114" s="77"/>
      <c r="I114" s="83"/>
      <c r="J114" s="83"/>
      <c r="K114" s="83"/>
      <c r="L114" s="83"/>
      <c r="M114" s="83"/>
      <c r="N114" s="83"/>
      <c r="O114" s="77"/>
      <c r="P114" s="83"/>
      <c r="Q114" s="84"/>
      <c r="U114" s="84"/>
    </row>
    <row r="115">
      <c r="G115" s="77"/>
      <c r="H115" s="77"/>
      <c r="I115" s="83"/>
      <c r="J115" s="83"/>
      <c r="K115" s="83"/>
      <c r="L115" s="83"/>
      <c r="M115" s="83"/>
      <c r="N115" s="83"/>
      <c r="O115" s="77"/>
      <c r="P115" s="83"/>
      <c r="Q115" s="84"/>
      <c r="U115" s="84"/>
    </row>
    <row r="116">
      <c r="G116" s="77"/>
      <c r="H116" s="77"/>
      <c r="I116" s="83"/>
      <c r="J116" s="83"/>
      <c r="K116" s="83"/>
      <c r="L116" s="83"/>
      <c r="M116" s="83"/>
      <c r="N116" s="83"/>
      <c r="O116" s="77"/>
      <c r="P116" s="83"/>
      <c r="Q116" s="84"/>
      <c r="U116" s="84"/>
    </row>
    <row r="117">
      <c r="G117" s="77"/>
      <c r="H117" s="77"/>
      <c r="I117" s="83"/>
      <c r="J117" s="83"/>
      <c r="K117" s="83"/>
      <c r="L117" s="83"/>
      <c r="M117" s="83"/>
      <c r="N117" s="83"/>
      <c r="O117" s="77"/>
      <c r="P117" s="83"/>
      <c r="Q117" s="84"/>
      <c r="U117" s="84"/>
    </row>
    <row r="118">
      <c r="G118" s="77"/>
      <c r="H118" s="77"/>
      <c r="I118" s="83"/>
      <c r="J118" s="83"/>
      <c r="K118" s="83"/>
      <c r="L118" s="83"/>
      <c r="M118" s="83"/>
      <c r="N118" s="83"/>
      <c r="O118" s="77"/>
      <c r="P118" s="83"/>
      <c r="Q118" s="84"/>
      <c r="U118" s="84"/>
    </row>
    <row r="119">
      <c r="G119" s="77"/>
      <c r="H119" s="77"/>
      <c r="I119" s="83"/>
      <c r="J119" s="83"/>
      <c r="K119" s="83"/>
      <c r="L119" s="83"/>
      <c r="M119" s="83"/>
      <c r="N119" s="83"/>
      <c r="O119" s="77"/>
      <c r="P119" s="83"/>
      <c r="Q119" s="84"/>
      <c r="U119" s="84"/>
    </row>
    <row r="128">
      <c r="O128" s="77"/>
      <c r="P128" s="77"/>
      <c r="Q128" s="77"/>
      <c r="R128" s="77"/>
      <c r="S128" s="77"/>
      <c r="T128" s="77"/>
      <c r="U128" s="77"/>
      <c r="V128" s="77"/>
    </row>
    <row r="129">
      <c r="O129" s="77"/>
      <c r="P129" s="77"/>
      <c r="Q129" s="77"/>
      <c r="R129" s="77"/>
      <c r="S129" s="77"/>
      <c r="T129" s="77"/>
      <c r="U129" s="77"/>
      <c r="V129" s="77"/>
    </row>
    <row r="130">
      <c r="O130" s="77"/>
      <c r="P130" s="77"/>
      <c r="Q130" s="77"/>
      <c r="R130" s="77"/>
      <c r="S130" s="77"/>
      <c r="T130" s="77"/>
      <c r="U130" s="77"/>
      <c r="V130" s="77"/>
    </row>
    <row r="131">
      <c r="O131" s="77"/>
      <c r="P131" s="77"/>
      <c r="Q131" s="77"/>
      <c r="R131" s="77"/>
      <c r="S131" s="77"/>
      <c r="T131" s="77"/>
      <c r="U131" s="77"/>
      <c r="V131" s="77"/>
    </row>
    <row r="132">
      <c r="G132" s="77"/>
      <c r="H132" s="77"/>
      <c r="I132" s="83"/>
      <c r="J132" s="83"/>
      <c r="K132" s="83"/>
      <c r="L132" s="83"/>
      <c r="M132" s="83"/>
      <c r="N132" s="83"/>
      <c r="O132" s="77"/>
      <c r="P132" s="83"/>
      <c r="Q132" s="77"/>
      <c r="R132" s="77"/>
      <c r="S132" s="77"/>
      <c r="T132" s="77"/>
      <c r="U132" s="77"/>
      <c r="V132" s="77"/>
    </row>
    <row r="133">
      <c r="G133" s="77"/>
      <c r="H133" s="77"/>
      <c r="I133" s="83"/>
      <c r="J133" s="83"/>
      <c r="K133" s="83"/>
      <c r="L133" s="83"/>
      <c r="M133" s="83"/>
      <c r="N133" s="83"/>
      <c r="O133" s="77"/>
      <c r="P133" s="83"/>
      <c r="Q133" s="77"/>
      <c r="R133" s="77"/>
      <c r="S133" s="77"/>
      <c r="T133" s="77"/>
      <c r="U133" s="77"/>
      <c r="V133" s="77"/>
    </row>
    <row r="134">
      <c r="G134" s="77"/>
      <c r="H134" s="77"/>
      <c r="I134" s="83"/>
      <c r="J134" s="83"/>
      <c r="K134" s="83"/>
      <c r="L134" s="83"/>
      <c r="M134" s="83"/>
      <c r="N134" s="83"/>
      <c r="O134" s="77"/>
      <c r="P134" s="83"/>
      <c r="Q134" s="77"/>
      <c r="R134" s="77"/>
      <c r="S134" s="77"/>
      <c r="T134" s="77"/>
      <c r="U134" s="77"/>
      <c r="V134" s="77"/>
    </row>
    <row r="135">
      <c r="G135" s="77"/>
      <c r="H135" s="77"/>
      <c r="I135" s="83"/>
      <c r="J135" s="83"/>
      <c r="K135" s="83"/>
      <c r="L135" s="83"/>
      <c r="M135" s="83"/>
      <c r="N135" s="83"/>
      <c r="O135" s="77"/>
      <c r="P135" s="83"/>
      <c r="Q135" s="77"/>
      <c r="R135" s="77"/>
      <c r="S135" s="77"/>
      <c r="T135" s="77"/>
      <c r="U135" s="77"/>
      <c r="V135" s="77"/>
    </row>
    <row r="136">
      <c r="G136" s="77"/>
      <c r="H136" s="77"/>
      <c r="I136" s="83"/>
      <c r="J136" s="83"/>
      <c r="K136" s="83"/>
      <c r="L136" s="83"/>
      <c r="M136" s="83"/>
      <c r="N136" s="83"/>
      <c r="O136" s="77"/>
      <c r="P136" s="83"/>
      <c r="Q136" s="77"/>
      <c r="R136" s="77"/>
      <c r="S136" s="77"/>
      <c r="T136" s="77"/>
      <c r="U136" s="77"/>
      <c r="V136" s="77"/>
    </row>
    <row r="137">
      <c r="G137" s="77"/>
      <c r="H137" s="77"/>
      <c r="I137" s="83"/>
      <c r="J137" s="83"/>
      <c r="K137" s="83"/>
      <c r="L137" s="83"/>
      <c r="M137" s="83"/>
      <c r="N137" s="83"/>
      <c r="O137" s="77"/>
      <c r="P137" s="83"/>
      <c r="Q137" s="77"/>
      <c r="R137" s="77"/>
      <c r="S137" s="77"/>
      <c r="T137" s="77"/>
      <c r="U137" s="77"/>
      <c r="V137" s="77"/>
    </row>
    <row r="138">
      <c r="G138" s="77"/>
      <c r="H138" s="77"/>
      <c r="I138" s="83"/>
      <c r="J138" s="83"/>
      <c r="K138" s="83"/>
      <c r="L138" s="83"/>
      <c r="M138" s="83"/>
      <c r="N138" s="83"/>
      <c r="O138" s="77"/>
      <c r="P138" s="83"/>
      <c r="Q138" s="77"/>
      <c r="R138" s="77"/>
      <c r="S138" s="77"/>
      <c r="T138" s="77"/>
      <c r="U138" s="77"/>
      <c r="V138" s="77"/>
    </row>
    <row r="139">
      <c r="G139" s="77"/>
      <c r="H139" s="77"/>
      <c r="I139" s="83"/>
      <c r="J139" s="83"/>
      <c r="K139" s="83"/>
      <c r="L139" s="83"/>
      <c r="M139" s="83"/>
      <c r="N139" s="83"/>
      <c r="O139" s="77"/>
      <c r="P139" s="83"/>
      <c r="Q139" s="77"/>
      <c r="R139" s="77"/>
      <c r="S139" s="77"/>
      <c r="T139" s="77"/>
      <c r="U139" s="77"/>
      <c r="V139" s="77"/>
    </row>
    <row r="140">
      <c r="G140" s="77"/>
      <c r="H140" s="77"/>
      <c r="I140" s="83"/>
      <c r="J140" s="83"/>
      <c r="K140" s="83"/>
      <c r="L140" s="83"/>
      <c r="M140" s="83"/>
      <c r="N140" s="83"/>
      <c r="O140" s="77"/>
      <c r="P140" s="83"/>
      <c r="Q140" s="77"/>
      <c r="R140" s="77"/>
      <c r="S140" s="77"/>
      <c r="T140" s="77"/>
      <c r="U140" s="77"/>
      <c r="V140" s="77"/>
    </row>
    <row r="141">
      <c r="G141" s="77"/>
      <c r="H141" s="77"/>
      <c r="I141" s="83"/>
      <c r="J141" s="83"/>
      <c r="K141" s="83"/>
      <c r="L141" s="83"/>
      <c r="M141" s="83"/>
      <c r="N141" s="83"/>
      <c r="O141" s="77"/>
      <c r="P141" s="83"/>
      <c r="Q141" s="77"/>
      <c r="R141" s="77"/>
      <c r="S141" s="77"/>
      <c r="T141" s="77"/>
      <c r="U141" s="77"/>
      <c r="V141" s="77"/>
    </row>
    <row r="142">
      <c r="G142" s="77"/>
      <c r="H142" s="77"/>
      <c r="I142" s="83"/>
      <c r="J142" s="83"/>
      <c r="K142" s="83"/>
      <c r="L142" s="83"/>
      <c r="M142" s="83"/>
      <c r="N142" s="83"/>
      <c r="O142" s="77"/>
      <c r="P142" s="83"/>
      <c r="Q142" s="77"/>
      <c r="R142" s="77"/>
      <c r="S142" s="77"/>
      <c r="T142" s="77"/>
      <c r="U142" s="77"/>
      <c r="V142" s="77"/>
    </row>
    <row r="143">
      <c r="G143" s="77"/>
      <c r="H143" s="77"/>
      <c r="I143" s="83"/>
      <c r="J143" s="83"/>
      <c r="K143" s="83"/>
      <c r="L143" s="83"/>
      <c r="M143" s="83"/>
      <c r="N143" s="83"/>
      <c r="O143" s="77"/>
      <c r="P143" s="83"/>
      <c r="Q143" s="77"/>
      <c r="R143" s="77"/>
      <c r="S143" s="77"/>
      <c r="T143" s="77"/>
      <c r="U143" s="77"/>
      <c r="V143" s="77"/>
    </row>
    <row r="144">
      <c r="G144" s="77"/>
      <c r="H144" s="77"/>
      <c r="I144" s="83"/>
      <c r="J144" s="83"/>
      <c r="K144" s="83"/>
      <c r="L144" s="83"/>
      <c r="M144" s="83"/>
      <c r="N144" s="83"/>
      <c r="O144" s="77"/>
      <c r="P144" s="83"/>
      <c r="Q144" s="77"/>
      <c r="R144" s="77"/>
      <c r="S144" s="77"/>
      <c r="T144" s="77"/>
      <c r="U144" s="77"/>
      <c r="V144" s="77"/>
    </row>
    <row r="145">
      <c r="G145" s="77"/>
      <c r="H145" s="77"/>
      <c r="I145" s="83"/>
      <c r="J145" s="83"/>
      <c r="K145" s="83"/>
      <c r="L145" s="83"/>
      <c r="M145" s="83"/>
      <c r="N145" s="83"/>
      <c r="O145" s="77"/>
      <c r="P145" s="83"/>
      <c r="Q145" s="77"/>
      <c r="R145" s="77"/>
      <c r="S145" s="77"/>
      <c r="T145" s="77"/>
      <c r="U145" s="77"/>
      <c r="V145" s="77"/>
    </row>
    <row r="146">
      <c r="G146" s="77"/>
      <c r="H146" s="77"/>
      <c r="I146" s="83"/>
      <c r="J146" s="83"/>
      <c r="K146" s="83"/>
      <c r="L146" s="83"/>
      <c r="M146" s="83"/>
      <c r="N146" s="83"/>
      <c r="O146" s="77"/>
      <c r="P146" s="83"/>
      <c r="Q146" s="77"/>
      <c r="R146" s="77"/>
      <c r="S146" s="77"/>
      <c r="T146" s="77"/>
      <c r="U146" s="77"/>
      <c r="V146" s="77"/>
    </row>
    <row r="147">
      <c r="G147" s="77"/>
      <c r="H147" s="77"/>
      <c r="I147" s="83"/>
      <c r="J147" s="83"/>
      <c r="K147" s="83"/>
      <c r="L147" s="83"/>
      <c r="M147" s="83"/>
      <c r="N147" s="83"/>
      <c r="O147" s="77"/>
      <c r="P147" s="83"/>
      <c r="Q147" s="77"/>
      <c r="R147" s="77"/>
      <c r="S147" s="77"/>
      <c r="T147" s="77"/>
      <c r="U147" s="77"/>
      <c r="V147" s="77"/>
    </row>
    <row r="148">
      <c r="G148" s="77"/>
      <c r="H148" s="77"/>
      <c r="I148" s="83"/>
      <c r="J148" s="83"/>
      <c r="K148" s="83"/>
      <c r="L148" s="83"/>
      <c r="M148" s="83"/>
      <c r="N148" s="83"/>
      <c r="O148" s="77"/>
      <c r="P148" s="83"/>
      <c r="Q148" s="77"/>
      <c r="R148" s="77"/>
      <c r="S148" s="77"/>
      <c r="T148" s="77"/>
      <c r="U148" s="77"/>
      <c r="V148" s="77"/>
    </row>
    <row r="149">
      <c r="G149" s="77"/>
      <c r="H149" s="77"/>
      <c r="I149" s="83"/>
      <c r="J149" s="83"/>
      <c r="K149" s="83"/>
      <c r="L149" s="83"/>
      <c r="M149" s="83"/>
      <c r="N149" s="83"/>
      <c r="O149" s="77"/>
      <c r="P149" s="83"/>
      <c r="Q149" s="77"/>
      <c r="R149" s="77"/>
      <c r="S149" s="77"/>
      <c r="T149" s="77"/>
      <c r="U149" s="77"/>
      <c r="V149" s="77"/>
    </row>
    <row r="150">
      <c r="G150" s="77"/>
      <c r="H150" s="77"/>
      <c r="I150" s="83"/>
      <c r="J150" s="83"/>
      <c r="K150" s="83"/>
      <c r="L150" s="83"/>
      <c r="M150" s="83"/>
      <c r="N150" s="83"/>
      <c r="O150" s="77"/>
      <c r="P150" s="83"/>
      <c r="Q150" s="77"/>
      <c r="R150" s="77"/>
      <c r="S150" s="77"/>
      <c r="T150" s="77"/>
      <c r="U150" s="77"/>
      <c r="V150" s="77"/>
    </row>
    <row r="151">
      <c r="G151" s="77"/>
      <c r="H151" s="77"/>
      <c r="I151" s="83"/>
      <c r="J151" s="83"/>
      <c r="K151" s="83"/>
      <c r="L151" s="83"/>
      <c r="M151" s="83"/>
      <c r="N151" s="83"/>
      <c r="O151" s="77"/>
      <c r="P151" s="83"/>
      <c r="Q151" s="77"/>
      <c r="R151" s="77"/>
      <c r="S151" s="77"/>
      <c r="T151" s="77"/>
      <c r="U151" s="77"/>
      <c r="V151" s="77"/>
    </row>
    <row r="152">
      <c r="G152" s="77"/>
      <c r="H152" s="77"/>
      <c r="I152" s="83"/>
      <c r="J152" s="83"/>
      <c r="K152" s="83"/>
      <c r="L152" s="83"/>
      <c r="M152" s="83"/>
      <c r="N152" s="83"/>
      <c r="O152" s="77"/>
      <c r="P152" s="83"/>
      <c r="Q152" s="77"/>
      <c r="R152" s="77"/>
      <c r="S152" s="77"/>
      <c r="T152" s="77"/>
      <c r="U152" s="77"/>
      <c r="V152" s="77"/>
    </row>
    <row r="153">
      <c r="G153" s="77"/>
      <c r="H153" s="77"/>
      <c r="I153" s="83"/>
      <c r="J153" s="83"/>
      <c r="K153" s="83"/>
      <c r="L153" s="83"/>
      <c r="M153" s="83"/>
      <c r="N153" s="83"/>
      <c r="O153" s="77"/>
      <c r="P153" s="83"/>
      <c r="Q153" s="77"/>
      <c r="R153" s="77"/>
      <c r="S153" s="77"/>
      <c r="T153" s="77"/>
      <c r="U153" s="77"/>
      <c r="V153" s="77"/>
    </row>
    <row r="154">
      <c r="G154" s="77"/>
      <c r="H154" s="77"/>
      <c r="I154" s="83"/>
      <c r="J154" s="83"/>
      <c r="K154" s="83"/>
      <c r="L154" s="83"/>
      <c r="M154" s="83"/>
      <c r="N154" s="83"/>
      <c r="O154" s="77"/>
      <c r="P154" s="83"/>
      <c r="Q154" s="77"/>
      <c r="R154" s="77"/>
      <c r="S154" s="77"/>
      <c r="T154" s="77"/>
      <c r="U154" s="77"/>
      <c r="V154" s="77"/>
    </row>
    <row r="155">
      <c r="G155" s="77"/>
      <c r="H155" s="77"/>
      <c r="I155" s="83"/>
      <c r="J155" s="83"/>
      <c r="K155" s="83"/>
      <c r="L155" s="83"/>
      <c r="M155" s="83"/>
      <c r="N155" s="83"/>
      <c r="O155" s="77"/>
      <c r="P155" s="83"/>
      <c r="Q155" s="77"/>
      <c r="R155" s="77"/>
      <c r="S155" s="77"/>
      <c r="T155" s="77"/>
      <c r="U155" s="77"/>
      <c r="V155" s="77"/>
    </row>
    <row r="156">
      <c r="G156" s="77"/>
      <c r="H156" s="77"/>
      <c r="I156" s="83"/>
      <c r="J156" s="83"/>
      <c r="K156" s="83"/>
      <c r="L156" s="83"/>
      <c r="M156" s="83"/>
      <c r="N156" s="83"/>
      <c r="O156" s="77"/>
      <c r="P156" s="83"/>
      <c r="Q156" s="77"/>
      <c r="R156" s="77"/>
      <c r="S156" s="77"/>
      <c r="T156" s="77"/>
      <c r="U156" s="77"/>
      <c r="V156" s="77"/>
    </row>
    <row r="157">
      <c r="G157" s="77"/>
      <c r="H157" s="77"/>
      <c r="I157" s="83"/>
      <c r="J157" s="83"/>
      <c r="K157" s="83"/>
      <c r="L157" s="83"/>
      <c r="M157" s="83"/>
      <c r="N157" s="83"/>
      <c r="O157" s="77"/>
      <c r="P157" s="83"/>
      <c r="Q157" s="77"/>
      <c r="R157" s="77"/>
      <c r="S157" s="77"/>
      <c r="T157" s="77"/>
      <c r="U157" s="77"/>
      <c r="V157" s="77"/>
    </row>
    <row r="158">
      <c r="G158" s="77"/>
      <c r="H158" s="77"/>
      <c r="I158" s="83"/>
      <c r="J158" s="83"/>
      <c r="K158" s="83"/>
      <c r="L158" s="83"/>
      <c r="M158" s="83"/>
      <c r="N158" s="83"/>
      <c r="O158" s="77"/>
      <c r="P158" s="83"/>
      <c r="Q158" s="77"/>
      <c r="R158" s="77"/>
      <c r="S158" s="77"/>
      <c r="T158" s="77"/>
      <c r="U158" s="77"/>
      <c r="V158" s="77"/>
    </row>
    <row r="159">
      <c r="G159" s="77"/>
      <c r="H159" s="77"/>
      <c r="I159" s="83"/>
      <c r="J159" s="83"/>
      <c r="K159" s="83"/>
      <c r="L159" s="83"/>
      <c r="M159" s="83"/>
      <c r="N159" s="83"/>
      <c r="O159" s="77"/>
      <c r="P159" s="83"/>
      <c r="Q159" s="77"/>
      <c r="R159" s="77"/>
      <c r="S159" s="77"/>
      <c r="T159" s="77"/>
      <c r="U159" s="77"/>
      <c r="V159" s="77"/>
    </row>
    <row r="160">
      <c r="G160" s="77"/>
      <c r="H160" s="77"/>
      <c r="I160" s="83"/>
      <c r="J160" s="83"/>
      <c r="K160" s="83"/>
      <c r="L160" s="83"/>
      <c r="M160" s="83"/>
      <c r="N160" s="83"/>
      <c r="O160" s="77"/>
      <c r="P160" s="83"/>
      <c r="Q160" s="77"/>
      <c r="R160" s="77"/>
      <c r="S160" s="77"/>
      <c r="T160" s="77"/>
      <c r="U160" s="77"/>
      <c r="V160" s="77"/>
    </row>
    <row r="161">
      <c r="G161" s="77"/>
      <c r="H161" s="77"/>
      <c r="I161" s="83"/>
      <c r="J161" s="83"/>
      <c r="K161" s="83"/>
      <c r="L161" s="83"/>
      <c r="M161" s="83"/>
      <c r="N161" s="83"/>
      <c r="O161" s="77"/>
      <c r="P161" s="83"/>
      <c r="Q161" s="77"/>
      <c r="R161" s="77"/>
      <c r="S161" s="77"/>
      <c r="T161" s="77"/>
      <c r="U161" s="77"/>
      <c r="V161" s="77"/>
    </row>
    <row r="162">
      <c r="G162" s="77"/>
      <c r="H162" s="77"/>
      <c r="I162" s="83"/>
      <c r="J162" s="83"/>
      <c r="K162" s="83"/>
      <c r="L162" s="83"/>
      <c r="M162" s="83"/>
      <c r="N162" s="83"/>
      <c r="O162" s="77"/>
      <c r="P162" s="83"/>
      <c r="Q162" s="77"/>
      <c r="R162" s="77"/>
      <c r="S162" s="77"/>
      <c r="T162" s="77"/>
      <c r="U162" s="77"/>
      <c r="V162" s="77"/>
    </row>
    <row r="163">
      <c r="G163" s="77"/>
      <c r="H163" s="77"/>
      <c r="I163" s="83"/>
      <c r="J163" s="83"/>
      <c r="K163" s="83"/>
      <c r="L163" s="83"/>
      <c r="M163" s="83"/>
      <c r="N163" s="83"/>
      <c r="O163" s="77"/>
      <c r="P163" s="83"/>
      <c r="Q163" s="77"/>
      <c r="R163" s="77"/>
      <c r="S163" s="77"/>
      <c r="T163" s="77"/>
      <c r="U163" s="77"/>
      <c r="V163" s="77"/>
    </row>
    <row r="164">
      <c r="G164" s="77"/>
      <c r="H164" s="77"/>
      <c r="I164" s="83"/>
      <c r="J164" s="83"/>
      <c r="K164" s="83"/>
      <c r="L164" s="83"/>
      <c r="M164" s="83"/>
      <c r="N164" s="83"/>
      <c r="O164" s="77"/>
      <c r="P164" s="83"/>
      <c r="Q164" s="77"/>
      <c r="R164" s="77"/>
      <c r="S164" s="77"/>
      <c r="T164" s="77"/>
      <c r="U164" s="77"/>
      <c r="V164" s="77"/>
    </row>
    <row r="165">
      <c r="G165" s="77"/>
      <c r="H165" s="77"/>
      <c r="I165" s="83"/>
      <c r="J165" s="83"/>
      <c r="K165" s="83"/>
      <c r="L165" s="83"/>
      <c r="M165" s="83"/>
      <c r="N165" s="83"/>
      <c r="O165" s="77"/>
      <c r="P165" s="83"/>
      <c r="Q165" s="77"/>
      <c r="R165" s="77"/>
      <c r="S165" s="77"/>
      <c r="T165" s="77"/>
      <c r="U165" s="77"/>
      <c r="V165" s="77"/>
    </row>
    <row r="166">
      <c r="G166" s="77"/>
      <c r="H166" s="77"/>
      <c r="I166" s="83"/>
      <c r="J166" s="83"/>
      <c r="K166" s="83"/>
      <c r="L166" s="83"/>
      <c r="M166" s="83"/>
      <c r="N166" s="83"/>
      <c r="O166" s="77"/>
      <c r="P166" s="83"/>
      <c r="Q166" s="77"/>
      <c r="R166" s="77"/>
      <c r="S166" s="77"/>
      <c r="T166" s="77"/>
      <c r="U166" s="77"/>
      <c r="V166" s="77"/>
    </row>
    <row r="167">
      <c r="G167" s="77"/>
      <c r="H167" s="77"/>
      <c r="I167" s="83"/>
      <c r="J167" s="83"/>
      <c r="K167" s="83"/>
      <c r="L167" s="83"/>
      <c r="M167" s="83"/>
      <c r="N167" s="83"/>
      <c r="O167" s="77"/>
      <c r="P167" s="83"/>
      <c r="Q167" s="77"/>
      <c r="R167" s="77"/>
      <c r="S167" s="77"/>
      <c r="T167" s="77"/>
      <c r="U167" s="77"/>
      <c r="V167" s="77"/>
    </row>
    <row r="168">
      <c r="G168" s="77"/>
      <c r="H168" s="77"/>
      <c r="I168" s="83"/>
      <c r="J168" s="83"/>
      <c r="K168" s="83"/>
      <c r="L168" s="83"/>
      <c r="M168" s="83"/>
      <c r="N168" s="83"/>
      <c r="O168" s="77"/>
      <c r="P168" s="83"/>
      <c r="Q168" s="77"/>
      <c r="R168" s="77"/>
      <c r="S168" s="77"/>
      <c r="T168" s="77"/>
      <c r="U168" s="77"/>
      <c r="V168" s="77"/>
    </row>
    <row r="169">
      <c r="G169" s="77"/>
      <c r="H169" s="77"/>
      <c r="I169" s="83"/>
      <c r="J169" s="83"/>
      <c r="K169" s="83"/>
      <c r="L169" s="83"/>
      <c r="M169" s="83"/>
      <c r="N169" s="83"/>
      <c r="O169" s="77"/>
      <c r="P169" s="83"/>
      <c r="Q169" s="77"/>
      <c r="R169" s="77"/>
      <c r="S169" s="77"/>
      <c r="T169" s="77"/>
      <c r="U169" s="77"/>
      <c r="V169" s="77"/>
    </row>
    <row r="170">
      <c r="G170" s="77"/>
      <c r="H170" s="77"/>
      <c r="I170" s="83"/>
      <c r="J170" s="83"/>
      <c r="K170" s="83"/>
      <c r="L170" s="83"/>
      <c r="M170" s="83"/>
      <c r="N170" s="83"/>
      <c r="O170" s="77"/>
      <c r="P170" s="83"/>
      <c r="Q170" s="77"/>
      <c r="R170" s="77"/>
      <c r="S170" s="77"/>
      <c r="T170" s="77"/>
      <c r="U170" s="77"/>
      <c r="V170" s="77"/>
    </row>
    <row r="171">
      <c r="G171" s="77"/>
      <c r="H171" s="77"/>
      <c r="I171" s="83"/>
      <c r="J171" s="83"/>
      <c r="K171" s="83"/>
      <c r="L171" s="83"/>
      <c r="M171" s="83"/>
      <c r="N171" s="83"/>
      <c r="O171" s="77"/>
      <c r="P171" s="83"/>
      <c r="Q171" s="77"/>
      <c r="R171" s="77"/>
      <c r="S171" s="77"/>
      <c r="T171" s="77"/>
      <c r="U171" s="77"/>
      <c r="V171" s="77"/>
    </row>
    <row r="172">
      <c r="G172" s="77"/>
      <c r="H172" s="77"/>
      <c r="I172" s="83"/>
      <c r="J172" s="83"/>
      <c r="K172" s="83"/>
      <c r="L172" s="83"/>
      <c r="M172" s="83"/>
      <c r="N172" s="83"/>
      <c r="O172" s="77"/>
      <c r="P172" s="83"/>
      <c r="Q172" s="77"/>
      <c r="R172" s="77"/>
      <c r="S172" s="77"/>
      <c r="T172" s="77"/>
      <c r="U172" s="77"/>
      <c r="V172" s="77"/>
    </row>
    <row r="173">
      <c r="G173" s="77"/>
      <c r="H173" s="77"/>
      <c r="I173" s="83"/>
      <c r="J173" s="83"/>
      <c r="K173" s="83"/>
      <c r="L173" s="83"/>
      <c r="M173" s="83"/>
      <c r="N173" s="83"/>
      <c r="O173" s="77"/>
      <c r="P173" s="83"/>
      <c r="Q173" s="77"/>
      <c r="R173" s="77"/>
      <c r="S173" s="77"/>
      <c r="T173" s="77"/>
      <c r="U173" s="77"/>
      <c r="V173" s="77"/>
    </row>
    <row r="174">
      <c r="G174" s="77"/>
      <c r="H174" s="77"/>
      <c r="I174" s="83"/>
      <c r="J174" s="83"/>
      <c r="K174" s="83"/>
      <c r="L174" s="83"/>
      <c r="M174" s="83"/>
      <c r="N174" s="83"/>
      <c r="O174" s="77"/>
      <c r="P174" s="83"/>
      <c r="Q174" s="77"/>
      <c r="R174" s="77"/>
      <c r="S174" s="77"/>
      <c r="T174" s="77"/>
      <c r="U174" s="77"/>
      <c r="V174" s="77"/>
    </row>
    <row r="175">
      <c r="G175" s="77"/>
      <c r="H175" s="77"/>
      <c r="I175" s="83"/>
      <c r="J175" s="83"/>
      <c r="K175" s="83"/>
      <c r="L175" s="83"/>
      <c r="M175" s="83"/>
      <c r="N175" s="83"/>
      <c r="O175" s="77"/>
      <c r="P175" s="83"/>
      <c r="Q175" s="77"/>
      <c r="R175" s="77"/>
      <c r="S175" s="77"/>
      <c r="T175" s="77"/>
      <c r="U175" s="77"/>
      <c r="V175" s="77"/>
    </row>
    <row r="176">
      <c r="G176" s="77"/>
      <c r="H176" s="77"/>
      <c r="I176" s="83"/>
      <c r="J176" s="83"/>
      <c r="K176" s="83"/>
      <c r="L176" s="83"/>
      <c r="M176" s="83"/>
      <c r="N176" s="83"/>
      <c r="O176" s="77"/>
      <c r="P176" s="83"/>
      <c r="Q176" s="77"/>
      <c r="R176" s="77"/>
      <c r="S176" s="77"/>
      <c r="T176" s="77"/>
      <c r="U176" s="77"/>
      <c r="V176" s="77"/>
    </row>
    <row r="177">
      <c r="G177" s="77"/>
      <c r="H177" s="77"/>
      <c r="I177" s="83"/>
      <c r="J177" s="83"/>
      <c r="K177" s="83"/>
      <c r="L177" s="83"/>
      <c r="M177" s="83"/>
      <c r="N177" s="83"/>
      <c r="O177" s="77"/>
      <c r="P177" s="83"/>
      <c r="Q177" s="77"/>
      <c r="R177" s="77"/>
      <c r="S177" s="77"/>
      <c r="T177" s="77"/>
      <c r="U177" s="77"/>
      <c r="V177" s="77"/>
    </row>
    <row r="178">
      <c r="G178" s="77"/>
      <c r="H178" s="77"/>
      <c r="I178" s="83"/>
      <c r="J178" s="83"/>
      <c r="K178" s="83"/>
      <c r="L178" s="83"/>
      <c r="M178" s="83"/>
      <c r="N178" s="83"/>
      <c r="O178" s="77"/>
      <c r="P178" s="83"/>
      <c r="Q178" s="77"/>
      <c r="R178" s="77"/>
      <c r="S178" s="77"/>
      <c r="T178" s="77"/>
      <c r="U178" s="77"/>
      <c r="V178" s="77"/>
    </row>
    <row r="179">
      <c r="G179" s="77"/>
      <c r="H179" s="77"/>
      <c r="I179" s="83"/>
      <c r="J179" s="83"/>
      <c r="K179" s="83"/>
      <c r="L179" s="83"/>
      <c r="M179" s="83"/>
      <c r="N179" s="83"/>
      <c r="O179" s="77"/>
      <c r="P179" s="83"/>
      <c r="Q179" s="77"/>
      <c r="R179" s="77"/>
      <c r="S179" s="77"/>
      <c r="T179" s="77"/>
      <c r="U179" s="77"/>
      <c r="V179" s="77"/>
    </row>
    <row r="180">
      <c r="G180" s="77"/>
      <c r="H180" s="77"/>
      <c r="I180" s="83"/>
      <c r="J180" s="83"/>
      <c r="K180" s="83"/>
      <c r="L180" s="83"/>
      <c r="M180" s="83"/>
      <c r="N180" s="83"/>
      <c r="O180" s="77"/>
      <c r="P180" s="83"/>
      <c r="Q180" s="77"/>
      <c r="R180" s="77"/>
      <c r="S180" s="77"/>
      <c r="T180" s="77"/>
      <c r="U180" s="77"/>
      <c r="V180" s="77"/>
    </row>
    <row r="181">
      <c r="G181" s="77"/>
      <c r="H181" s="77"/>
      <c r="I181" s="83"/>
      <c r="J181" s="83"/>
      <c r="K181" s="83"/>
      <c r="L181" s="83"/>
      <c r="M181" s="83"/>
      <c r="N181" s="83"/>
      <c r="O181" s="77"/>
      <c r="P181" s="83"/>
      <c r="Q181" s="77"/>
      <c r="R181" s="77"/>
      <c r="S181" s="77"/>
      <c r="T181" s="77"/>
      <c r="U181" s="77"/>
      <c r="V181" s="77"/>
    </row>
    <row r="182">
      <c r="G182" s="77"/>
      <c r="H182" s="77"/>
      <c r="I182" s="83"/>
      <c r="J182" s="77"/>
      <c r="K182" s="77"/>
      <c r="L182" s="77"/>
      <c r="M182" s="77"/>
      <c r="N182" s="77"/>
      <c r="O182" s="77"/>
      <c r="P182" s="83"/>
      <c r="Q182" s="77"/>
      <c r="R182" s="77"/>
      <c r="S182" s="77"/>
      <c r="T182" s="77"/>
      <c r="U182" s="77"/>
      <c r="V182" s="77"/>
    </row>
    <row r="183">
      <c r="G183" s="77"/>
      <c r="H183" s="77"/>
      <c r="I183" s="83"/>
      <c r="J183" s="77"/>
      <c r="K183" s="77"/>
      <c r="L183" s="77"/>
      <c r="M183" s="77"/>
      <c r="N183" s="77"/>
      <c r="O183" s="77"/>
      <c r="P183" s="83"/>
      <c r="Q183" s="77"/>
      <c r="R183" s="77"/>
      <c r="S183" s="77"/>
      <c r="T183" s="77"/>
      <c r="U183" s="77"/>
      <c r="V183" s="77"/>
    </row>
    <row r="184">
      <c r="G184" s="77"/>
      <c r="H184" s="77"/>
      <c r="I184" s="83"/>
      <c r="J184" s="77"/>
      <c r="K184" s="77"/>
      <c r="L184" s="77"/>
      <c r="M184" s="77"/>
      <c r="N184" s="77"/>
      <c r="O184" s="77"/>
      <c r="P184" s="83"/>
      <c r="Q184" s="77"/>
      <c r="R184" s="77"/>
      <c r="S184" s="77"/>
      <c r="T184" s="77"/>
      <c r="U184" s="77"/>
      <c r="V184" s="77"/>
    </row>
    <row r="185">
      <c r="G185" s="77"/>
      <c r="H185" s="77"/>
      <c r="I185" s="83"/>
      <c r="J185" s="77"/>
      <c r="K185" s="77"/>
      <c r="L185" s="77"/>
      <c r="M185" s="77"/>
      <c r="N185" s="77"/>
      <c r="O185" s="77"/>
      <c r="P185" s="83"/>
      <c r="Q185" s="77"/>
      <c r="R185" s="77"/>
      <c r="S185" s="77"/>
      <c r="T185" s="77"/>
      <c r="U185" s="77"/>
      <c r="V185" s="77"/>
    </row>
    <row r="186">
      <c r="G186" s="77"/>
      <c r="H186" s="77"/>
      <c r="I186" s="83"/>
      <c r="J186" s="77"/>
      <c r="K186" s="77"/>
      <c r="L186" s="77"/>
      <c r="M186" s="77"/>
      <c r="N186" s="77"/>
      <c r="O186" s="77"/>
      <c r="P186" s="83"/>
      <c r="Q186" s="77"/>
      <c r="R186" s="77"/>
      <c r="S186" s="77"/>
      <c r="T186" s="77"/>
      <c r="U186" s="77"/>
      <c r="V186" s="77"/>
    </row>
    <row r="187">
      <c r="G187" s="77"/>
      <c r="H187" s="77"/>
      <c r="I187" s="83"/>
      <c r="J187" s="77"/>
      <c r="K187" s="77"/>
      <c r="L187" s="77"/>
      <c r="M187" s="77"/>
      <c r="N187" s="77"/>
      <c r="O187" s="77"/>
      <c r="P187" s="83"/>
      <c r="Q187" s="77"/>
      <c r="R187" s="77"/>
      <c r="S187" s="77"/>
      <c r="T187" s="77"/>
      <c r="U187" s="77"/>
      <c r="V187" s="77"/>
    </row>
    <row r="188">
      <c r="G188" s="77"/>
      <c r="H188" s="77"/>
      <c r="I188" s="83"/>
      <c r="J188" s="77"/>
      <c r="K188" s="77"/>
      <c r="L188" s="77"/>
      <c r="M188" s="77"/>
      <c r="N188" s="77"/>
      <c r="O188" s="77"/>
      <c r="P188" s="83"/>
      <c r="Q188" s="77"/>
      <c r="R188" s="77"/>
      <c r="S188" s="77"/>
      <c r="T188" s="77"/>
      <c r="U188" s="77"/>
      <c r="V188" s="77"/>
    </row>
    <row r="189">
      <c r="G189" s="77"/>
      <c r="H189" s="77"/>
      <c r="I189" s="83"/>
      <c r="J189" s="77"/>
      <c r="K189" s="77"/>
      <c r="L189" s="77"/>
      <c r="M189" s="77"/>
      <c r="N189" s="77"/>
      <c r="O189" s="77"/>
      <c r="P189" s="83"/>
      <c r="Q189" s="77"/>
      <c r="R189" s="77"/>
      <c r="S189" s="77"/>
      <c r="T189" s="77"/>
      <c r="U189" s="77"/>
      <c r="V189" s="77"/>
    </row>
    <row r="190">
      <c r="G190" s="77"/>
      <c r="H190" s="77"/>
      <c r="I190" s="83"/>
      <c r="J190" s="77"/>
      <c r="K190" s="77"/>
      <c r="L190" s="77"/>
      <c r="M190" s="77"/>
      <c r="N190" s="77"/>
      <c r="O190" s="77"/>
      <c r="P190" s="83"/>
      <c r="Q190" s="77"/>
      <c r="R190" s="77"/>
      <c r="S190" s="77"/>
      <c r="T190" s="77"/>
      <c r="U190" s="77"/>
      <c r="V190" s="77"/>
    </row>
    <row r="191">
      <c r="G191" s="77"/>
      <c r="H191" s="77"/>
      <c r="I191" s="83"/>
      <c r="J191" s="77"/>
      <c r="K191" s="77"/>
      <c r="L191" s="77"/>
      <c r="M191" s="77"/>
      <c r="N191" s="77"/>
      <c r="O191" s="77"/>
      <c r="P191" s="83"/>
      <c r="Q191" s="77"/>
      <c r="R191" s="77"/>
      <c r="S191" s="77"/>
      <c r="T191" s="77"/>
      <c r="U191" s="77"/>
      <c r="V191" s="77"/>
    </row>
    <row r="192">
      <c r="G192" s="77"/>
      <c r="H192" s="77"/>
      <c r="I192" s="83"/>
      <c r="J192" s="77"/>
      <c r="K192" s="77"/>
      <c r="L192" s="77"/>
      <c r="M192" s="77"/>
      <c r="N192" s="77"/>
      <c r="O192" s="77"/>
      <c r="P192" s="83"/>
      <c r="Q192" s="77"/>
      <c r="R192" s="77"/>
      <c r="S192" s="77"/>
      <c r="T192" s="77"/>
      <c r="U192" s="77"/>
      <c r="V192" s="77"/>
    </row>
    <row r="193">
      <c r="G193" s="77"/>
      <c r="H193" s="77"/>
      <c r="I193" s="83"/>
      <c r="J193" s="77"/>
      <c r="K193" s="77"/>
      <c r="L193" s="77"/>
      <c r="M193" s="77"/>
      <c r="N193" s="77"/>
      <c r="O193" s="77"/>
      <c r="P193" s="83"/>
      <c r="Q193" s="77"/>
      <c r="R193" s="77"/>
      <c r="S193" s="77"/>
      <c r="T193" s="77"/>
      <c r="U193" s="77"/>
      <c r="V193" s="77"/>
    </row>
    <row r="194">
      <c r="G194" s="77"/>
      <c r="H194" s="77"/>
      <c r="I194" s="83"/>
      <c r="J194" s="77"/>
      <c r="K194" s="77"/>
      <c r="L194" s="77"/>
      <c r="M194" s="77"/>
      <c r="N194" s="77"/>
      <c r="O194" s="77"/>
      <c r="P194" s="83"/>
      <c r="Q194" s="77"/>
      <c r="R194" s="77"/>
      <c r="S194" s="77"/>
      <c r="T194" s="77"/>
      <c r="U194" s="77"/>
      <c r="V194" s="77"/>
    </row>
    <row r="195">
      <c r="G195" s="77"/>
      <c r="H195" s="77"/>
      <c r="I195" s="83"/>
      <c r="J195" s="77"/>
      <c r="K195" s="77"/>
      <c r="L195" s="77"/>
      <c r="M195" s="77"/>
      <c r="N195" s="77"/>
      <c r="O195" s="77"/>
      <c r="P195" s="83"/>
      <c r="Q195" s="77"/>
      <c r="R195" s="77"/>
      <c r="S195" s="77"/>
      <c r="T195" s="77"/>
      <c r="U195" s="77"/>
      <c r="V195" s="77"/>
    </row>
    <row r="196">
      <c r="G196" s="77"/>
      <c r="H196" s="77"/>
      <c r="I196" s="83"/>
      <c r="J196" s="77"/>
      <c r="K196" s="77"/>
      <c r="L196" s="77"/>
      <c r="M196" s="77"/>
      <c r="N196" s="77"/>
      <c r="O196" s="77"/>
      <c r="P196" s="83"/>
      <c r="Q196" s="77"/>
      <c r="R196" s="77"/>
      <c r="S196" s="77"/>
      <c r="T196" s="77"/>
      <c r="U196" s="77"/>
      <c r="V196" s="77"/>
    </row>
    <row r="197">
      <c r="G197" s="77"/>
      <c r="H197" s="77"/>
      <c r="I197" s="83"/>
      <c r="J197" s="77"/>
      <c r="K197" s="77"/>
      <c r="L197" s="77"/>
      <c r="M197" s="77"/>
      <c r="N197" s="77"/>
      <c r="O197" s="77"/>
      <c r="P197" s="83"/>
      <c r="Q197" s="77"/>
      <c r="R197" s="77"/>
      <c r="S197" s="77"/>
      <c r="T197" s="77"/>
      <c r="U197" s="77"/>
      <c r="V197" s="77"/>
    </row>
    <row r="198">
      <c r="G198" s="77"/>
      <c r="H198" s="77"/>
      <c r="I198" s="83"/>
      <c r="J198" s="77"/>
      <c r="K198" s="77"/>
      <c r="L198" s="77"/>
      <c r="M198" s="77"/>
      <c r="N198" s="77"/>
      <c r="O198" s="77"/>
      <c r="P198" s="83"/>
      <c r="Q198" s="77"/>
      <c r="R198" s="77"/>
      <c r="S198" s="77"/>
      <c r="T198" s="77"/>
      <c r="U198" s="77"/>
      <c r="V198" s="77"/>
    </row>
    <row r="199">
      <c r="G199" s="77"/>
      <c r="H199" s="77"/>
      <c r="I199" s="83"/>
      <c r="J199" s="77"/>
      <c r="K199" s="77"/>
      <c r="L199" s="77"/>
      <c r="M199" s="77"/>
      <c r="N199" s="77"/>
      <c r="O199" s="77"/>
      <c r="P199" s="83"/>
      <c r="Q199" s="77"/>
      <c r="R199" s="77"/>
      <c r="S199" s="77"/>
      <c r="T199" s="77"/>
      <c r="U199" s="77"/>
      <c r="V199" s="77"/>
    </row>
    <row r="200">
      <c r="G200" s="77"/>
      <c r="H200" s="77"/>
      <c r="I200" s="83"/>
      <c r="J200" s="77"/>
      <c r="K200" s="77"/>
      <c r="L200" s="77"/>
      <c r="M200" s="77"/>
      <c r="N200" s="77"/>
      <c r="O200" s="77"/>
      <c r="P200" s="83"/>
      <c r="Q200" s="77"/>
      <c r="R200" s="77"/>
      <c r="S200" s="77"/>
      <c r="T200" s="77"/>
      <c r="U200" s="77"/>
      <c r="V200" s="77"/>
    </row>
    <row r="201">
      <c r="G201" s="77"/>
      <c r="H201" s="77"/>
      <c r="I201" s="83"/>
      <c r="J201" s="77"/>
      <c r="K201" s="77"/>
      <c r="L201" s="77"/>
      <c r="M201" s="77"/>
      <c r="N201" s="77"/>
      <c r="O201" s="77"/>
      <c r="P201" s="83"/>
      <c r="Q201" s="77"/>
      <c r="R201" s="77"/>
      <c r="S201" s="77"/>
      <c r="T201" s="77"/>
      <c r="U201" s="77"/>
      <c r="V201" s="77"/>
    </row>
    <row r="202">
      <c r="G202" s="77"/>
      <c r="H202" s="77"/>
      <c r="I202" s="83"/>
      <c r="J202" s="77"/>
      <c r="K202" s="77"/>
      <c r="L202" s="77"/>
      <c r="M202" s="77"/>
      <c r="N202" s="77"/>
      <c r="O202" s="77"/>
      <c r="P202" s="83"/>
      <c r="Q202" s="77"/>
      <c r="R202" s="77"/>
      <c r="S202" s="77"/>
      <c r="T202" s="77"/>
      <c r="U202" s="77"/>
      <c r="V202" s="77"/>
    </row>
    <row r="203">
      <c r="G203" s="77"/>
      <c r="H203" s="77"/>
      <c r="I203" s="83"/>
      <c r="J203" s="77"/>
      <c r="K203" s="77"/>
      <c r="L203" s="77"/>
      <c r="M203" s="77"/>
      <c r="N203" s="77"/>
      <c r="O203" s="77"/>
      <c r="P203" s="83"/>
      <c r="Q203" s="77"/>
      <c r="R203" s="77"/>
      <c r="S203" s="77"/>
      <c r="T203" s="77"/>
      <c r="U203" s="77"/>
      <c r="V203" s="77"/>
    </row>
    <row r="204">
      <c r="G204" s="77"/>
      <c r="H204" s="77"/>
      <c r="I204" s="83"/>
      <c r="J204" s="77"/>
      <c r="K204" s="77"/>
      <c r="L204" s="77"/>
      <c r="M204" s="77"/>
      <c r="N204" s="77"/>
      <c r="O204" s="77"/>
      <c r="P204" s="83"/>
      <c r="Q204" s="77"/>
      <c r="R204" s="77"/>
      <c r="S204" s="77"/>
      <c r="T204" s="77"/>
      <c r="U204" s="77"/>
      <c r="V204" s="77"/>
    </row>
    <row r="205">
      <c r="G205" s="77"/>
      <c r="H205" s="77"/>
      <c r="I205" s="83"/>
      <c r="J205" s="77"/>
      <c r="K205" s="77"/>
      <c r="L205" s="77"/>
      <c r="M205" s="77"/>
      <c r="N205" s="77"/>
      <c r="O205" s="77"/>
      <c r="P205" s="83"/>
      <c r="Q205" s="77"/>
      <c r="R205" s="77"/>
      <c r="S205" s="77"/>
      <c r="T205" s="77"/>
      <c r="U205" s="77"/>
      <c r="V205" s="77"/>
    </row>
    <row r="206">
      <c r="G206" s="77"/>
      <c r="H206" s="77"/>
      <c r="I206" s="83"/>
      <c r="J206" s="77"/>
      <c r="K206" s="77"/>
      <c r="L206" s="77"/>
      <c r="M206" s="77"/>
      <c r="N206" s="77"/>
      <c r="O206" s="77"/>
      <c r="P206" s="83"/>
      <c r="Q206" s="77"/>
      <c r="R206" s="77"/>
      <c r="S206" s="77"/>
      <c r="T206" s="77"/>
      <c r="U206" s="77"/>
      <c r="V206" s="77"/>
    </row>
    <row r="207">
      <c r="G207" s="77"/>
      <c r="H207" s="77"/>
      <c r="I207" s="83"/>
      <c r="J207" s="77"/>
      <c r="K207" s="77"/>
      <c r="L207" s="77"/>
      <c r="M207" s="77"/>
      <c r="N207" s="77"/>
      <c r="O207" s="77"/>
      <c r="P207" s="83"/>
      <c r="Q207" s="77"/>
      <c r="R207" s="77"/>
      <c r="S207" s="77"/>
      <c r="T207" s="77"/>
      <c r="U207" s="77"/>
      <c r="V207" s="77"/>
    </row>
    <row r="208">
      <c r="G208" s="77"/>
      <c r="H208" s="77"/>
      <c r="I208" s="83"/>
      <c r="J208" s="77"/>
      <c r="K208" s="77"/>
      <c r="L208" s="77"/>
      <c r="M208" s="77"/>
      <c r="N208" s="77"/>
      <c r="O208" s="77"/>
      <c r="P208" s="83"/>
      <c r="Q208" s="77"/>
      <c r="R208" s="77"/>
      <c r="S208" s="77"/>
      <c r="T208" s="77"/>
      <c r="U208" s="77"/>
      <c r="V208" s="77"/>
    </row>
    <row r="209">
      <c r="G209" s="77"/>
      <c r="H209" s="77"/>
      <c r="I209" s="83"/>
      <c r="J209" s="77"/>
      <c r="K209" s="77"/>
      <c r="L209" s="77"/>
      <c r="M209" s="77"/>
      <c r="N209" s="77"/>
      <c r="O209" s="77"/>
      <c r="P209" s="83"/>
      <c r="Q209" s="77"/>
      <c r="R209" s="77"/>
      <c r="S209" s="77"/>
      <c r="T209" s="77"/>
      <c r="U209" s="77"/>
      <c r="V209" s="77"/>
    </row>
    <row r="210">
      <c r="G210" s="77"/>
      <c r="H210" s="77"/>
      <c r="I210" s="83"/>
      <c r="J210" s="77"/>
      <c r="K210" s="77"/>
      <c r="L210" s="77"/>
      <c r="M210" s="77"/>
      <c r="N210" s="77"/>
      <c r="O210" s="77"/>
      <c r="P210" s="83"/>
      <c r="Q210" s="77"/>
      <c r="R210" s="77"/>
      <c r="S210" s="77"/>
      <c r="T210" s="77"/>
      <c r="U210" s="77"/>
      <c r="V210" s="77"/>
    </row>
    <row r="211">
      <c r="G211" s="77"/>
      <c r="H211" s="77"/>
      <c r="I211" s="83"/>
      <c r="J211" s="77"/>
      <c r="K211" s="77"/>
      <c r="L211" s="77"/>
      <c r="M211" s="77"/>
      <c r="N211" s="77"/>
      <c r="O211" s="77"/>
      <c r="P211" s="83"/>
      <c r="Q211" s="77"/>
      <c r="R211" s="77"/>
      <c r="S211" s="77"/>
      <c r="T211" s="77"/>
      <c r="U211" s="77"/>
      <c r="V211" s="77"/>
    </row>
    <row r="212">
      <c r="G212" s="77"/>
      <c r="H212" s="77"/>
      <c r="I212" s="83"/>
      <c r="J212" s="77"/>
      <c r="K212" s="77"/>
      <c r="L212" s="77"/>
      <c r="M212" s="77"/>
      <c r="N212" s="77"/>
      <c r="O212" s="77"/>
      <c r="P212" s="83"/>
      <c r="Q212" s="77"/>
      <c r="R212" s="77"/>
      <c r="S212" s="77"/>
      <c r="T212" s="77"/>
      <c r="U212" s="77"/>
      <c r="V212" s="77"/>
    </row>
    <row r="213">
      <c r="G213" s="77"/>
      <c r="H213" s="77"/>
      <c r="I213" s="83"/>
      <c r="J213" s="77"/>
      <c r="K213" s="77"/>
      <c r="L213" s="77"/>
      <c r="M213" s="77"/>
      <c r="N213" s="77"/>
      <c r="O213" s="77"/>
      <c r="P213" s="83"/>
      <c r="Q213" s="77"/>
      <c r="R213" s="77"/>
      <c r="S213" s="77"/>
      <c r="T213" s="77"/>
      <c r="U213" s="77"/>
      <c r="V213" s="77"/>
    </row>
    <row r="214">
      <c r="G214" s="77"/>
      <c r="H214" s="77"/>
      <c r="I214" s="83"/>
      <c r="J214" s="77"/>
      <c r="K214" s="77"/>
      <c r="L214" s="77"/>
      <c r="M214" s="77"/>
      <c r="N214" s="77"/>
      <c r="O214" s="77"/>
      <c r="P214" s="83"/>
      <c r="Q214" s="77"/>
      <c r="R214" s="77"/>
      <c r="S214" s="77"/>
      <c r="T214" s="77"/>
      <c r="U214" s="77"/>
      <c r="V214" s="77"/>
    </row>
    <row r="215">
      <c r="G215" s="77"/>
      <c r="H215" s="77"/>
      <c r="I215" s="83"/>
      <c r="J215" s="77"/>
      <c r="K215" s="77"/>
      <c r="L215" s="77"/>
      <c r="M215" s="77"/>
      <c r="N215" s="77"/>
      <c r="O215" s="77"/>
      <c r="P215" s="83"/>
      <c r="Q215" s="77"/>
      <c r="R215" s="77"/>
      <c r="S215" s="77"/>
      <c r="T215" s="77"/>
      <c r="U215" s="77"/>
      <c r="V215" s="77"/>
    </row>
    <row r="216">
      <c r="G216" s="77"/>
      <c r="H216" s="77"/>
      <c r="I216" s="83"/>
      <c r="J216" s="77"/>
      <c r="K216" s="77"/>
      <c r="L216" s="77"/>
      <c r="M216" s="77"/>
      <c r="N216" s="77"/>
      <c r="O216" s="77"/>
      <c r="P216" s="83"/>
      <c r="Q216" s="77"/>
      <c r="R216" s="77"/>
      <c r="S216" s="77"/>
      <c r="T216" s="77"/>
      <c r="U216" s="77"/>
      <c r="V216" s="77"/>
    </row>
    <row r="217">
      <c r="G217" s="77"/>
      <c r="H217" s="77"/>
      <c r="I217" s="83"/>
      <c r="J217" s="77"/>
      <c r="K217" s="77"/>
      <c r="L217" s="77"/>
      <c r="M217" s="77"/>
      <c r="N217" s="77"/>
      <c r="O217" s="77"/>
      <c r="P217" s="83"/>
      <c r="Q217" s="77"/>
      <c r="R217" s="77"/>
      <c r="S217" s="77"/>
      <c r="T217" s="77"/>
      <c r="U217" s="77"/>
      <c r="V217" s="77"/>
    </row>
    <row r="218">
      <c r="G218" s="77"/>
      <c r="H218" s="77"/>
      <c r="I218" s="83"/>
      <c r="J218" s="77"/>
      <c r="K218" s="77"/>
      <c r="L218" s="77"/>
      <c r="M218" s="77"/>
      <c r="N218" s="77"/>
      <c r="O218" s="77"/>
      <c r="P218" s="83"/>
      <c r="Q218" s="77"/>
      <c r="R218" s="77"/>
      <c r="S218" s="77"/>
      <c r="T218" s="77"/>
      <c r="U218" s="77"/>
      <c r="V218" s="77"/>
    </row>
    <row r="219">
      <c r="G219" s="77"/>
      <c r="H219" s="77"/>
      <c r="I219" s="83"/>
      <c r="J219" s="77"/>
      <c r="K219" s="77"/>
      <c r="L219" s="77"/>
      <c r="M219" s="77"/>
      <c r="N219" s="77"/>
      <c r="O219" s="77"/>
      <c r="P219" s="83"/>
      <c r="Q219" s="77"/>
      <c r="R219" s="77"/>
      <c r="S219" s="77"/>
      <c r="T219" s="77"/>
      <c r="U219" s="77"/>
      <c r="V219" s="77"/>
    </row>
    <row r="220">
      <c r="G220" s="77"/>
      <c r="H220" s="77"/>
      <c r="I220" s="83"/>
      <c r="J220" s="77"/>
      <c r="K220" s="77"/>
      <c r="L220" s="77"/>
      <c r="M220" s="77"/>
      <c r="N220" s="77"/>
      <c r="O220" s="77"/>
      <c r="P220" s="83"/>
      <c r="Q220" s="77"/>
      <c r="R220" s="77"/>
      <c r="S220" s="77"/>
      <c r="T220" s="77"/>
      <c r="U220" s="77"/>
      <c r="V220" s="77"/>
    </row>
    <row r="221">
      <c r="G221" s="77"/>
      <c r="H221" s="77"/>
      <c r="I221" s="83"/>
      <c r="J221" s="77"/>
      <c r="K221" s="77"/>
      <c r="L221" s="77"/>
      <c r="M221" s="77"/>
      <c r="N221" s="77"/>
      <c r="O221" s="77"/>
      <c r="P221" s="83"/>
      <c r="Q221" s="77"/>
      <c r="R221" s="77"/>
      <c r="S221" s="77"/>
      <c r="T221" s="77"/>
      <c r="U221" s="77"/>
      <c r="V221" s="77"/>
    </row>
    <row r="222">
      <c r="G222" s="77"/>
      <c r="H222" s="77"/>
      <c r="I222" s="83"/>
      <c r="J222" s="77"/>
      <c r="K222" s="77"/>
      <c r="L222" s="77"/>
      <c r="M222" s="77"/>
      <c r="N222" s="77"/>
      <c r="O222" s="77"/>
      <c r="P222" s="83"/>
      <c r="Q222" s="77"/>
      <c r="R222" s="77"/>
      <c r="S222" s="77"/>
      <c r="T222" s="77"/>
      <c r="U222" s="77"/>
      <c r="V222" s="77"/>
    </row>
    <row r="223">
      <c r="G223" s="77"/>
      <c r="H223" s="77"/>
      <c r="I223" s="83"/>
      <c r="J223" s="77"/>
      <c r="K223" s="77"/>
      <c r="L223" s="77"/>
      <c r="M223" s="77"/>
      <c r="N223" s="77"/>
      <c r="O223" s="77"/>
      <c r="P223" s="83"/>
      <c r="Q223" s="77"/>
      <c r="R223" s="77"/>
      <c r="S223" s="77"/>
      <c r="T223" s="77"/>
      <c r="U223" s="77"/>
      <c r="V223" s="77"/>
    </row>
    <row r="224">
      <c r="G224" s="77"/>
      <c r="H224" s="77"/>
      <c r="I224" s="83"/>
      <c r="J224" s="77"/>
      <c r="K224" s="77"/>
      <c r="L224" s="77"/>
      <c r="M224" s="77"/>
      <c r="N224" s="77"/>
      <c r="O224" s="77"/>
      <c r="P224" s="83"/>
      <c r="Q224" s="77"/>
      <c r="R224" s="77"/>
      <c r="S224" s="77"/>
      <c r="T224" s="77"/>
      <c r="U224" s="77"/>
      <c r="V224" s="77"/>
    </row>
    <row r="225">
      <c r="G225" s="77"/>
      <c r="H225" s="77"/>
      <c r="I225" s="83"/>
      <c r="J225" s="77"/>
      <c r="K225" s="77"/>
      <c r="L225" s="77"/>
      <c r="M225" s="77"/>
      <c r="N225" s="77"/>
      <c r="O225" s="77"/>
      <c r="P225" s="83"/>
      <c r="Q225" s="77"/>
      <c r="R225" s="77"/>
      <c r="S225" s="77"/>
      <c r="T225" s="77"/>
      <c r="U225" s="77"/>
      <c r="V225" s="77"/>
    </row>
    <row r="226">
      <c r="G226" s="77"/>
      <c r="H226" s="77"/>
      <c r="I226" s="83"/>
      <c r="J226" s="77"/>
      <c r="K226" s="77"/>
      <c r="L226" s="77"/>
      <c r="M226" s="77"/>
      <c r="N226" s="77"/>
      <c r="O226" s="77"/>
      <c r="P226" s="83"/>
      <c r="Q226" s="77"/>
      <c r="R226" s="77"/>
      <c r="S226" s="77"/>
      <c r="T226" s="77"/>
      <c r="U226" s="77"/>
      <c r="V226" s="77"/>
    </row>
    <row r="227">
      <c r="G227" s="77"/>
      <c r="H227" s="77"/>
      <c r="I227" s="83"/>
      <c r="J227" s="77"/>
      <c r="K227" s="77"/>
      <c r="L227" s="77"/>
      <c r="M227" s="77"/>
      <c r="N227" s="77"/>
      <c r="O227" s="77"/>
      <c r="P227" s="83"/>
      <c r="Q227" s="77"/>
      <c r="R227" s="77"/>
      <c r="S227" s="77"/>
      <c r="T227" s="77"/>
      <c r="U227" s="77"/>
      <c r="V227" s="77"/>
    </row>
    <row r="228">
      <c r="G228" s="77"/>
      <c r="H228" s="77"/>
      <c r="I228" s="83"/>
      <c r="J228" s="77"/>
      <c r="K228" s="77"/>
      <c r="L228" s="77"/>
      <c r="M228" s="77"/>
      <c r="N228" s="77"/>
      <c r="O228" s="77"/>
      <c r="P228" s="83"/>
      <c r="Q228" s="77"/>
      <c r="R228" s="77"/>
      <c r="S228" s="77"/>
      <c r="T228" s="77"/>
      <c r="U228" s="77"/>
      <c r="V228" s="77"/>
    </row>
    <row r="229">
      <c r="G229" s="77"/>
      <c r="H229" s="77"/>
      <c r="I229" s="83"/>
      <c r="J229" s="77"/>
      <c r="K229" s="77"/>
      <c r="L229" s="77"/>
      <c r="M229" s="77"/>
      <c r="N229" s="77"/>
      <c r="O229" s="77"/>
      <c r="P229" s="83"/>
      <c r="Q229" s="77"/>
      <c r="R229" s="77"/>
      <c r="S229" s="77"/>
      <c r="T229" s="77"/>
      <c r="U229" s="77"/>
      <c r="V229" s="77"/>
    </row>
    <row r="230">
      <c r="G230" s="77"/>
      <c r="H230" s="77"/>
      <c r="I230" s="83"/>
      <c r="J230" s="77"/>
      <c r="K230" s="77"/>
      <c r="L230" s="77"/>
      <c r="M230" s="77"/>
      <c r="N230" s="77"/>
      <c r="O230" s="77"/>
      <c r="P230" s="83"/>
      <c r="Q230" s="77"/>
      <c r="R230" s="77"/>
      <c r="S230" s="77"/>
      <c r="T230" s="77"/>
      <c r="U230" s="77"/>
      <c r="V230" s="77"/>
    </row>
    <row r="231">
      <c r="G231" s="77"/>
      <c r="H231" s="77"/>
      <c r="I231" s="83"/>
      <c r="J231" s="77"/>
      <c r="K231" s="77"/>
      <c r="L231" s="77"/>
      <c r="M231" s="77"/>
      <c r="N231" s="77"/>
      <c r="O231" s="77"/>
      <c r="P231" s="83"/>
      <c r="Q231" s="77"/>
      <c r="R231" s="77"/>
      <c r="S231" s="77"/>
      <c r="T231" s="77"/>
      <c r="U231" s="77"/>
      <c r="V231" s="77"/>
    </row>
    <row r="232">
      <c r="G232" s="77"/>
      <c r="H232" s="77"/>
      <c r="I232" s="83"/>
      <c r="J232" s="77"/>
      <c r="K232" s="77"/>
      <c r="L232" s="77"/>
      <c r="M232" s="77"/>
      <c r="N232" s="77"/>
      <c r="O232" s="77"/>
      <c r="P232" s="83"/>
      <c r="Q232" s="77"/>
      <c r="R232" s="77"/>
      <c r="S232" s="77"/>
      <c r="T232" s="77"/>
      <c r="U232" s="77"/>
      <c r="V232" s="77"/>
    </row>
    <row r="233">
      <c r="G233" s="77"/>
      <c r="H233" s="77"/>
      <c r="I233" s="83"/>
      <c r="J233" s="77"/>
      <c r="K233" s="77"/>
      <c r="L233" s="77"/>
      <c r="M233" s="77"/>
      <c r="N233" s="77"/>
      <c r="O233" s="77"/>
      <c r="P233" s="83"/>
      <c r="Q233" s="77"/>
      <c r="R233" s="77"/>
      <c r="S233" s="77"/>
      <c r="T233" s="77"/>
      <c r="U233" s="77"/>
      <c r="V233" s="77"/>
    </row>
    <row r="234">
      <c r="G234" s="77"/>
      <c r="H234" s="77"/>
      <c r="I234" s="83"/>
      <c r="J234" s="77"/>
      <c r="K234" s="77"/>
      <c r="L234" s="77"/>
      <c r="M234" s="77"/>
      <c r="N234" s="77"/>
      <c r="O234" s="77"/>
      <c r="P234" s="83"/>
      <c r="Q234" s="77"/>
      <c r="R234" s="77"/>
      <c r="S234" s="77"/>
      <c r="T234" s="77"/>
      <c r="U234" s="77"/>
      <c r="V234" s="77"/>
    </row>
    <row r="235">
      <c r="G235" s="77"/>
      <c r="H235" s="77"/>
      <c r="I235" s="83"/>
      <c r="J235" s="77"/>
      <c r="K235" s="77"/>
      <c r="L235" s="77"/>
      <c r="M235" s="77"/>
      <c r="N235" s="77"/>
      <c r="O235" s="77"/>
      <c r="P235" s="83"/>
      <c r="Q235" s="77"/>
      <c r="R235" s="77"/>
      <c r="S235" s="77"/>
      <c r="T235" s="77"/>
      <c r="U235" s="77"/>
      <c r="V235" s="77"/>
    </row>
    <row r="236">
      <c r="G236" s="77"/>
      <c r="H236" s="77"/>
      <c r="I236" s="83"/>
      <c r="J236" s="77"/>
      <c r="K236" s="77"/>
      <c r="L236" s="77"/>
      <c r="M236" s="77"/>
      <c r="N236" s="77"/>
      <c r="O236" s="77"/>
      <c r="P236" s="83"/>
      <c r="Q236" s="77"/>
      <c r="R236" s="77"/>
      <c r="S236" s="77"/>
      <c r="T236" s="77"/>
      <c r="U236" s="77"/>
      <c r="V236" s="77"/>
    </row>
    <row r="237">
      <c r="G237" s="77"/>
      <c r="H237" s="77"/>
      <c r="I237" s="83"/>
      <c r="J237" s="77"/>
      <c r="K237" s="77"/>
      <c r="L237" s="77"/>
      <c r="M237" s="77"/>
      <c r="N237" s="77"/>
      <c r="O237" s="77"/>
      <c r="P237" s="83"/>
      <c r="Q237" s="77"/>
      <c r="R237" s="77"/>
      <c r="S237" s="77"/>
      <c r="T237" s="77"/>
      <c r="U237" s="77"/>
      <c r="V237" s="77"/>
    </row>
    <row r="238">
      <c r="G238" s="77"/>
      <c r="H238" s="77"/>
      <c r="I238" s="83"/>
      <c r="J238" s="77"/>
      <c r="K238" s="77"/>
      <c r="L238" s="77"/>
      <c r="M238" s="77"/>
      <c r="N238" s="77"/>
      <c r="O238" s="77"/>
      <c r="P238" s="83"/>
      <c r="Q238" s="77"/>
      <c r="R238" s="77"/>
      <c r="S238" s="77"/>
      <c r="T238" s="77"/>
      <c r="U238" s="77"/>
      <c r="V238" s="77"/>
    </row>
    <row r="239">
      <c r="G239" s="77"/>
      <c r="H239" s="77"/>
      <c r="I239" s="83"/>
      <c r="J239" s="77"/>
      <c r="K239" s="77"/>
      <c r="L239" s="77"/>
      <c r="M239" s="77"/>
      <c r="N239" s="77"/>
      <c r="O239" s="77"/>
      <c r="P239" s="83"/>
      <c r="Q239" s="77"/>
      <c r="R239" s="77"/>
      <c r="S239" s="77"/>
      <c r="T239" s="77"/>
      <c r="U239" s="77"/>
      <c r="V239" s="77"/>
    </row>
    <row r="240">
      <c r="G240" s="77"/>
      <c r="H240" s="77"/>
      <c r="I240" s="83"/>
      <c r="J240" s="77"/>
      <c r="K240" s="77"/>
      <c r="L240" s="77"/>
      <c r="M240" s="77"/>
      <c r="N240" s="77"/>
      <c r="O240" s="77"/>
      <c r="P240" s="83"/>
      <c r="Q240" s="77"/>
      <c r="R240" s="77"/>
      <c r="S240" s="77"/>
      <c r="T240" s="77"/>
      <c r="U240" s="77"/>
      <c r="V240" s="77"/>
    </row>
    <row r="241">
      <c r="G241" s="77"/>
      <c r="H241" s="77"/>
      <c r="I241" s="83"/>
      <c r="J241" s="77"/>
      <c r="K241" s="77"/>
      <c r="L241" s="77"/>
      <c r="M241" s="77"/>
      <c r="N241" s="77"/>
      <c r="O241" s="77"/>
      <c r="P241" s="83"/>
      <c r="Q241" s="77"/>
      <c r="R241" s="77"/>
      <c r="S241" s="77"/>
      <c r="T241" s="77"/>
      <c r="U241" s="77"/>
      <c r="V241" s="77"/>
    </row>
    <row r="242">
      <c r="G242" s="77"/>
      <c r="H242" s="77"/>
      <c r="I242" s="83"/>
      <c r="J242" s="77"/>
      <c r="K242" s="77"/>
      <c r="L242" s="77"/>
      <c r="M242" s="77"/>
      <c r="N242" s="77"/>
      <c r="O242" s="77"/>
      <c r="P242" s="83"/>
      <c r="Q242" s="77"/>
      <c r="R242" s="77"/>
      <c r="S242" s="77"/>
      <c r="T242" s="77"/>
      <c r="U242" s="77"/>
      <c r="V242" s="77"/>
    </row>
    <row r="243">
      <c r="G243" s="77"/>
      <c r="H243" s="77"/>
      <c r="I243" s="83"/>
      <c r="J243" s="77"/>
      <c r="K243" s="77"/>
      <c r="L243" s="77"/>
      <c r="M243" s="77"/>
      <c r="N243" s="77"/>
      <c r="O243" s="77"/>
      <c r="P243" s="83"/>
      <c r="Q243" s="77"/>
      <c r="R243" s="77"/>
      <c r="S243" s="77"/>
      <c r="T243" s="77"/>
      <c r="U243" s="77"/>
      <c r="V243" s="77"/>
    </row>
    <row r="244">
      <c r="G244" s="77"/>
      <c r="H244" s="77"/>
      <c r="I244" s="83"/>
      <c r="J244" s="77"/>
      <c r="K244" s="77"/>
      <c r="L244" s="77"/>
      <c r="M244" s="77"/>
      <c r="N244" s="77"/>
      <c r="O244" s="77"/>
      <c r="P244" s="83"/>
      <c r="Q244" s="77"/>
      <c r="R244" s="77"/>
      <c r="S244" s="77"/>
      <c r="T244" s="77"/>
      <c r="U244" s="77"/>
      <c r="V244" s="77"/>
    </row>
    <row r="245">
      <c r="G245" s="77"/>
      <c r="H245" s="77"/>
      <c r="I245" s="83"/>
      <c r="J245" s="77"/>
      <c r="K245" s="77"/>
      <c r="L245" s="77"/>
      <c r="M245" s="77"/>
      <c r="N245" s="77"/>
      <c r="O245" s="77"/>
      <c r="P245" s="83"/>
      <c r="Q245" s="77"/>
      <c r="R245" s="77"/>
      <c r="S245" s="77"/>
      <c r="T245" s="77"/>
      <c r="U245" s="77"/>
      <c r="V245" s="77"/>
    </row>
    <row r="246">
      <c r="G246" s="77"/>
      <c r="H246" s="77"/>
      <c r="I246" s="83"/>
      <c r="J246" s="77"/>
      <c r="K246" s="77"/>
      <c r="L246" s="77"/>
      <c r="M246" s="77"/>
      <c r="N246" s="77"/>
      <c r="O246" s="77"/>
      <c r="P246" s="83"/>
      <c r="Q246" s="77"/>
      <c r="R246" s="77"/>
      <c r="S246" s="77"/>
      <c r="T246" s="77"/>
      <c r="U246" s="77"/>
      <c r="V246" s="77"/>
    </row>
    <row r="247">
      <c r="G247" s="77"/>
      <c r="H247" s="77"/>
      <c r="I247" s="83"/>
      <c r="J247" s="77"/>
      <c r="K247" s="77"/>
      <c r="L247" s="77"/>
      <c r="M247" s="77"/>
      <c r="N247" s="77"/>
      <c r="O247" s="77"/>
      <c r="P247" s="83"/>
      <c r="Q247" s="77"/>
      <c r="R247" s="77"/>
      <c r="S247" s="77"/>
      <c r="T247" s="77"/>
      <c r="U247" s="77"/>
      <c r="V247" s="77"/>
    </row>
    <row r="248">
      <c r="G248" s="77"/>
      <c r="H248" s="77"/>
      <c r="I248" s="83"/>
      <c r="J248" s="77"/>
      <c r="K248" s="77"/>
      <c r="L248" s="77"/>
      <c r="M248" s="77"/>
      <c r="N248" s="77"/>
      <c r="O248" s="77"/>
      <c r="P248" s="83"/>
      <c r="Q248" s="77"/>
      <c r="R248" s="77"/>
      <c r="S248" s="77"/>
      <c r="T248" s="77"/>
      <c r="U248" s="77"/>
      <c r="V248" s="77"/>
    </row>
    <row r="249">
      <c r="G249" s="77"/>
      <c r="H249" s="77"/>
      <c r="I249" s="83"/>
      <c r="J249" s="77"/>
      <c r="K249" s="77"/>
      <c r="L249" s="77"/>
      <c r="M249" s="77"/>
      <c r="N249" s="77"/>
      <c r="O249" s="77"/>
      <c r="P249" s="83"/>
      <c r="Q249" s="77"/>
      <c r="R249" s="77"/>
      <c r="S249" s="77"/>
      <c r="T249" s="77"/>
      <c r="U249" s="77"/>
      <c r="V249" s="77"/>
    </row>
    <row r="250">
      <c r="G250" s="77"/>
      <c r="H250" s="77"/>
      <c r="I250" s="83"/>
      <c r="J250" s="77"/>
      <c r="K250" s="77"/>
      <c r="L250" s="77"/>
      <c r="M250" s="77"/>
      <c r="N250" s="77"/>
      <c r="O250" s="77"/>
      <c r="P250" s="83"/>
      <c r="Q250" s="77"/>
      <c r="R250" s="77"/>
      <c r="S250" s="77"/>
      <c r="T250" s="77"/>
      <c r="U250" s="77"/>
      <c r="V250" s="77"/>
    </row>
    <row r="251">
      <c r="G251" s="77"/>
      <c r="H251" s="77"/>
      <c r="I251" s="83"/>
      <c r="J251" s="77"/>
      <c r="K251" s="77"/>
      <c r="L251" s="77"/>
      <c r="M251" s="77"/>
      <c r="N251" s="77"/>
      <c r="O251" s="77"/>
      <c r="P251" s="83"/>
      <c r="Q251" s="77"/>
      <c r="R251" s="77"/>
      <c r="S251" s="77"/>
      <c r="T251" s="77"/>
      <c r="U251" s="77"/>
      <c r="V251" s="77"/>
    </row>
    <row r="252">
      <c r="G252" s="77"/>
      <c r="H252" s="77"/>
      <c r="I252" s="83"/>
      <c r="J252" s="77"/>
      <c r="K252" s="77"/>
      <c r="L252" s="77"/>
      <c r="M252" s="77"/>
      <c r="N252" s="77"/>
      <c r="O252" s="77"/>
      <c r="P252" s="83"/>
      <c r="Q252" s="77"/>
      <c r="R252" s="77"/>
      <c r="S252" s="77"/>
      <c r="T252" s="77"/>
      <c r="U252" s="77"/>
      <c r="V252" s="77"/>
    </row>
    <row r="253">
      <c r="G253" s="77"/>
      <c r="H253" s="77"/>
      <c r="I253" s="83"/>
      <c r="J253" s="77"/>
      <c r="K253" s="77"/>
      <c r="L253" s="77"/>
      <c r="M253" s="77"/>
      <c r="N253" s="77"/>
      <c r="O253" s="77"/>
      <c r="P253" s="83"/>
      <c r="Q253" s="77"/>
      <c r="R253" s="77"/>
      <c r="S253" s="77"/>
      <c r="T253" s="77"/>
      <c r="U253" s="77"/>
      <c r="V253" s="77"/>
    </row>
    <row r="254">
      <c r="G254" s="77"/>
      <c r="H254" s="77"/>
      <c r="I254" s="83"/>
      <c r="J254" s="77"/>
      <c r="K254" s="77"/>
      <c r="L254" s="77"/>
      <c r="M254" s="77"/>
      <c r="N254" s="77"/>
      <c r="O254" s="77"/>
      <c r="P254" s="83"/>
      <c r="Q254" s="77"/>
      <c r="R254" s="77"/>
      <c r="S254" s="77"/>
      <c r="T254" s="77"/>
      <c r="U254" s="77"/>
      <c r="V254" s="77"/>
    </row>
    <row r="255">
      <c r="G255" s="77"/>
      <c r="H255" s="77"/>
      <c r="I255" s="83"/>
      <c r="J255" s="77"/>
      <c r="K255" s="77"/>
      <c r="L255" s="77"/>
      <c r="M255" s="77"/>
      <c r="N255" s="77"/>
      <c r="O255" s="77"/>
      <c r="P255" s="83"/>
      <c r="Q255" s="77"/>
      <c r="R255" s="77"/>
      <c r="S255" s="77"/>
      <c r="T255" s="77"/>
      <c r="U255" s="77"/>
      <c r="V255" s="77"/>
    </row>
    <row r="256">
      <c r="G256" s="77"/>
      <c r="H256" s="77"/>
      <c r="I256" s="83"/>
      <c r="J256" s="77"/>
      <c r="K256" s="77"/>
      <c r="L256" s="77"/>
      <c r="M256" s="77"/>
      <c r="N256" s="77"/>
      <c r="O256" s="77"/>
      <c r="P256" s="83"/>
      <c r="Q256" s="77"/>
      <c r="R256" s="77"/>
      <c r="S256" s="77"/>
      <c r="T256" s="77"/>
      <c r="U256" s="77"/>
      <c r="V256" s="77"/>
    </row>
    <row r="257">
      <c r="G257" s="77"/>
      <c r="H257" s="77"/>
      <c r="I257" s="83"/>
      <c r="J257" s="77"/>
      <c r="K257" s="77"/>
      <c r="L257" s="77"/>
      <c r="M257" s="77"/>
      <c r="N257" s="77"/>
      <c r="O257" s="77"/>
      <c r="P257" s="83"/>
      <c r="Q257" s="77"/>
      <c r="R257" s="77"/>
      <c r="S257" s="77"/>
      <c r="T257" s="77"/>
      <c r="U257" s="77"/>
      <c r="V257" s="77"/>
    </row>
    <row r="258">
      <c r="G258" s="77"/>
      <c r="H258" s="77"/>
      <c r="I258" s="83"/>
      <c r="J258" s="77"/>
      <c r="K258" s="77"/>
      <c r="L258" s="77"/>
      <c r="M258" s="77"/>
      <c r="N258" s="77"/>
      <c r="O258" s="77"/>
      <c r="P258" s="83"/>
      <c r="Q258" s="77"/>
      <c r="R258" s="77"/>
      <c r="S258" s="77"/>
      <c r="T258" s="77"/>
      <c r="U258" s="77"/>
      <c r="V258" s="77"/>
    </row>
    <row r="259">
      <c r="G259" s="77"/>
      <c r="H259" s="77"/>
      <c r="I259" s="83"/>
      <c r="J259" s="77"/>
      <c r="K259" s="77"/>
      <c r="L259" s="77"/>
      <c r="M259" s="77"/>
      <c r="N259" s="77"/>
      <c r="O259" s="77"/>
      <c r="P259" s="83"/>
      <c r="Q259" s="77"/>
      <c r="R259" s="77"/>
      <c r="S259" s="77"/>
      <c r="T259" s="77"/>
      <c r="U259" s="77"/>
      <c r="V259" s="77"/>
    </row>
    <row r="260">
      <c r="G260" s="77"/>
      <c r="H260" s="77"/>
      <c r="I260" s="83"/>
      <c r="J260" s="77"/>
      <c r="K260" s="77"/>
      <c r="L260" s="77"/>
      <c r="M260" s="77"/>
      <c r="N260" s="77"/>
      <c r="O260" s="77"/>
      <c r="P260" s="83"/>
      <c r="Q260" s="77"/>
      <c r="R260" s="77"/>
      <c r="S260" s="77"/>
      <c r="T260" s="77"/>
      <c r="U260" s="77"/>
      <c r="V260" s="77"/>
    </row>
    <row r="261">
      <c r="G261" s="77"/>
      <c r="H261" s="77"/>
      <c r="I261" s="83"/>
      <c r="J261" s="77"/>
      <c r="K261" s="77"/>
      <c r="L261" s="77"/>
      <c r="M261" s="77"/>
      <c r="N261" s="77"/>
      <c r="O261" s="77"/>
      <c r="P261" s="83"/>
      <c r="Q261" s="77"/>
      <c r="R261" s="77"/>
      <c r="S261" s="77"/>
      <c r="T261" s="77"/>
      <c r="U261" s="77"/>
      <c r="V261" s="77"/>
    </row>
    <row r="262">
      <c r="G262" s="77"/>
      <c r="H262" s="77"/>
      <c r="I262" s="83"/>
      <c r="J262" s="77"/>
      <c r="K262" s="77"/>
      <c r="L262" s="77"/>
      <c r="M262" s="77"/>
      <c r="N262" s="77"/>
      <c r="O262" s="77"/>
      <c r="P262" s="83"/>
      <c r="Q262" s="77"/>
      <c r="R262" s="77"/>
      <c r="S262" s="77"/>
      <c r="T262" s="77"/>
      <c r="U262" s="77"/>
      <c r="V262" s="77"/>
    </row>
    <row r="263">
      <c r="G263" s="77"/>
      <c r="H263" s="77"/>
      <c r="I263" s="83"/>
      <c r="J263" s="77"/>
      <c r="K263" s="77"/>
      <c r="L263" s="77"/>
      <c r="M263" s="77"/>
      <c r="N263" s="77"/>
      <c r="O263" s="77"/>
      <c r="P263" s="83"/>
      <c r="Q263" s="77"/>
      <c r="R263" s="77"/>
      <c r="S263" s="77"/>
      <c r="T263" s="77"/>
      <c r="U263" s="77"/>
      <c r="V263" s="77"/>
    </row>
    <row r="264">
      <c r="G264" s="77"/>
      <c r="H264" s="77"/>
      <c r="I264" s="83"/>
      <c r="J264" s="77"/>
      <c r="K264" s="77"/>
      <c r="L264" s="77"/>
      <c r="M264" s="77"/>
      <c r="N264" s="77"/>
      <c r="O264" s="77"/>
      <c r="P264" s="83"/>
      <c r="Q264" s="77"/>
      <c r="R264" s="77"/>
      <c r="S264" s="77"/>
      <c r="T264" s="77"/>
      <c r="U264" s="77"/>
      <c r="V264" s="77"/>
    </row>
    <row r="265">
      <c r="G265" s="77"/>
      <c r="H265" s="77"/>
      <c r="I265" s="83"/>
      <c r="J265" s="77"/>
      <c r="K265" s="77"/>
      <c r="L265" s="77"/>
      <c r="M265" s="77"/>
      <c r="N265" s="77"/>
      <c r="O265" s="77"/>
      <c r="P265" s="83"/>
      <c r="Q265" s="77"/>
      <c r="R265" s="77"/>
      <c r="S265" s="77"/>
      <c r="T265" s="77"/>
      <c r="U265" s="77"/>
      <c r="V265" s="77"/>
    </row>
    <row r="266">
      <c r="G266" s="77"/>
      <c r="H266" s="77"/>
      <c r="I266" s="83"/>
      <c r="J266" s="77"/>
      <c r="K266" s="77"/>
      <c r="L266" s="77"/>
      <c r="M266" s="77"/>
      <c r="N266" s="77"/>
      <c r="O266" s="77"/>
      <c r="P266" s="83"/>
      <c r="Q266" s="77"/>
      <c r="R266" s="77"/>
      <c r="S266" s="77"/>
      <c r="T266" s="77"/>
      <c r="U266" s="77"/>
      <c r="V266" s="77"/>
    </row>
    <row r="267">
      <c r="G267" s="77"/>
      <c r="H267" s="77"/>
      <c r="I267" s="83"/>
      <c r="J267" s="77"/>
      <c r="K267" s="77"/>
      <c r="L267" s="77"/>
      <c r="M267" s="77"/>
      <c r="N267" s="77"/>
      <c r="O267" s="77"/>
      <c r="P267" s="83"/>
      <c r="Q267" s="77"/>
      <c r="R267" s="77"/>
      <c r="S267" s="77"/>
      <c r="T267" s="77"/>
      <c r="U267" s="77"/>
      <c r="V267" s="77"/>
    </row>
    <row r="268">
      <c r="G268" s="77"/>
      <c r="H268" s="77"/>
      <c r="I268" s="83"/>
      <c r="J268" s="77"/>
      <c r="K268" s="77"/>
      <c r="L268" s="77"/>
      <c r="M268" s="77"/>
      <c r="N268" s="77"/>
      <c r="O268" s="77"/>
      <c r="P268" s="83"/>
      <c r="Q268" s="77"/>
      <c r="R268" s="77"/>
      <c r="S268" s="77"/>
      <c r="T268" s="77"/>
      <c r="U268" s="77"/>
      <c r="V268" s="77"/>
    </row>
    <row r="269">
      <c r="G269" s="77"/>
      <c r="H269" s="77"/>
      <c r="I269" s="83"/>
      <c r="J269" s="77"/>
      <c r="K269" s="77"/>
      <c r="L269" s="77"/>
      <c r="M269" s="77"/>
      <c r="N269" s="77"/>
      <c r="O269" s="77"/>
      <c r="P269" s="83"/>
      <c r="Q269" s="77"/>
      <c r="R269" s="77"/>
      <c r="S269" s="77"/>
      <c r="T269" s="77"/>
      <c r="U269" s="77"/>
      <c r="V269" s="77"/>
    </row>
    <row r="270">
      <c r="G270" s="77"/>
      <c r="H270" s="77"/>
      <c r="I270" s="83"/>
      <c r="J270" s="77"/>
      <c r="K270" s="77"/>
      <c r="L270" s="77"/>
      <c r="M270" s="77"/>
      <c r="N270" s="77"/>
      <c r="O270" s="77"/>
      <c r="P270" s="83"/>
      <c r="Q270" s="77"/>
      <c r="R270" s="77"/>
      <c r="S270" s="77"/>
      <c r="T270" s="77"/>
      <c r="U270" s="77"/>
      <c r="V270" s="77"/>
    </row>
    <row r="271">
      <c r="G271" s="77"/>
      <c r="H271" s="77"/>
      <c r="I271" s="83"/>
      <c r="J271" s="77"/>
      <c r="K271" s="77"/>
      <c r="L271" s="77"/>
      <c r="M271" s="77"/>
      <c r="N271" s="77"/>
      <c r="O271" s="77"/>
      <c r="P271" s="83"/>
      <c r="Q271" s="77"/>
      <c r="R271" s="77"/>
      <c r="S271" s="77"/>
      <c r="T271" s="77"/>
      <c r="U271" s="77"/>
      <c r="V271" s="77"/>
    </row>
    <row r="272">
      <c r="G272" s="77"/>
      <c r="H272" s="77"/>
      <c r="I272" s="83"/>
      <c r="J272" s="77"/>
      <c r="K272" s="77"/>
      <c r="L272" s="77"/>
      <c r="M272" s="77"/>
      <c r="N272" s="77"/>
      <c r="O272" s="77"/>
      <c r="P272" s="83"/>
      <c r="Q272" s="77"/>
      <c r="R272" s="77"/>
      <c r="S272" s="77"/>
      <c r="T272" s="77"/>
      <c r="U272" s="77"/>
      <c r="V272" s="77"/>
    </row>
    <row r="273">
      <c r="G273" s="77"/>
      <c r="H273" s="77"/>
      <c r="I273" s="83"/>
      <c r="J273" s="77"/>
      <c r="K273" s="77"/>
      <c r="L273" s="77"/>
      <c r="M273" s="77"/>
      <c r="N273" s="77"/>
      <c r="O273" s="77"/>
      <c r="P273" s="83"/>
      <c r="Q273" s="77"/>
      <c r="R273" s="77"/>
      <c r="S273" s="77"/>
      <c r="T273" s="77"/>
      <c r="U273" s="77"/>
      <c r="V273" s="77"/>
    </row>
    <row r="274">
      <c r="G274" s="77"/>
      <c r="H274" s="77"/>
      <c r="I274" s="83"/>
      <c r="J274" s="77"/>
      <c r="K274" s="77"/>
      <c r="L274" s="77"/>
      <c r="M274" s="77"/>
      <c r="N274" s="77"/>
      <c r="O274" s="77"/>
      <c r="P274" s="83"/>
      <c r="Q274" s="77"/>
      <c r="R274" s="77"/>
      <c r="S274" s="77"/>
      <c r="T274" s="77"/>
      <c r="U274" s="77"/>
      <c r="V274" s="77"/>
    </row>
    <row r="275">
      <c r="G275" s="77"/>
      <c r="H275" s="77"/>
      <c r="I275" s="83"/>
      <c r="J275" s="77"/>
      <c r="K275" s="77"/>
      <c r="L275" s="77"/>
      <c r="M275" s="77"/>
      <c r="N275" s="77"/>
      <c r="O275" s="77"/>
      <c r="P275" s="83"/>
      <c r="Q275" s="77"/>
      <c r="R275" s="77"/>
      <c r="S275" s="77"/>
      <c r="T275" s="77"/>
      <c r="U275" s="77"/>
      <c r="V275" s="77"/>
    </row>
    <row r="276">
      <c r="G276" s="77"/>
      <c r="H276" s="77"/>
      <c r="I276" s="83"/>
      <c r="J276" s="77"/>
      <c r="K276" s="77"/>
      <c r="L276" s="77"/>
      <c r="M276" s="77"/>
      <c r="N276" s="77"/>
      <c r="O276" s="77"/>
      <c r="P276" s="83"/>
      <c r="Q276" s="77"/>
      <c r="R276" s="77"/>
      <c r="S276" s="77"/>
      <c r="T276" s="77"/>
      <c r="U276" s="77"/>
      <c r="V276" s="77"/>
    </row>
    <row r="277">
      <c r="G277" s="77"/>
      <c r="H277" s="77"/>
      <c r="I277" s="83"/>
      <c r="J277" s="77"/>
      <c r="K277" s="77"/>
      <c r="L277" s="77"/>
      <c r="M277" s="77"/>
      <c r="N277" s="77"/>
      <c r="O277" s="77"/>
      <c r="P277" s="83"/>
      <c r="Q277" s="77"/>
      <c r="R277" s="77"/>
      <c r="S277" s="77"/>
      <c r="T277" s="77"/>
      <c r="U277" s="77"/>
      <c r="V277" s="77"/>
    </row>
    <row r="278">
      <c r="G278" s="77"/>
      <c r="H278" s="77"/>
      <c r="I278" s="83"/>
      <c r="J278" s="77"/>
      <c r="K278" s="77"/>
      <c r="L278" s="77"/>
      <c r="M278" s="77"/>
      <c r="N278" s="77"/>
      <c r="O278" s="77"/>
      <c r="P278" s="83"/>
      <c r="Q278" s="77"/>
      <c r="R278" s="77"/>
      <c r="S278" s="77"/>
      <c r="T278" s="77"/>
      <c r="U278" s="77"/>
      <c r="V278" s="77"/>
    </row>
    <row r="279">
      <c r="G279" s="77"/>
      <c r="H279" s="77"/>
      <c r="I279" s="83"/>
      <c r="J279" s="77"/>
      <c r="K279" s="77"/>
      <c r="L279" s="77"/>
      <c r="M279" s="77"/>
      <c r="N279" s="77"/>
      <c r="O279" s="77"/>
      <c r="P279" s="83"/>
      <c r="Q279" s="77"/>
      <c r="R279" s="77"/>
      <c r="S279" s="77"/>
      <c r="T279" s="77"/>
      <c r="U279" s="77"/>
      <c r="V279" s="77"/>
    </row>
    <row r="280">
      <c r="G280" s="77"/>
      <c r="H280" s="77"/>
      <c r="I280" s="83"/>
      <c r="J280" s="77"/>
      <c r="K280" s="77"/>
      <c r="L280" s="77"/>
      <c r="M280" s="77"/>
      <c r="N280" s="77"/>
      <c r="O280" s="77"/>
      <c r="P280" s="83"/>
      <c r="Q280" s="77"/>
      <c r="R280" s="77"/>
      <c r="S280" s="77"/>
      <c r="T280" s="77"/>
      <c r="U280" s="77"/>
      <c r="V280" s="77"/>
    </row>
    <row r="281">
      <c r="G281" s="77"/>
      <c r="H281" s="77"/>
      <c r="I281" s="83"/>
      <c r="J281" s="77"/>
      <c r="K281" s="77"/>
      <c r="L281" s="77"/>
      <c r="M281" s="77"/>
      <c r="N281" s="77"/>
      <c r="O281" s="77"/>
      <c r="P281" s="83"/>
      <c r="Q281" s="77"/>
      <c r="R281" s="77"/>
      <c r="S281" s="77"/>
      <c r="T281" s="77"/>
      <c r="U281" s="77"/>
      <c r="V281" s="77"/>
    </row>
    <row r="282">
      <c r="G282" s="77"/>
      <c r="H282" s="77"/>
      <c r="I282" s="83"/>
      <c r="J282" s="77"/>
      <c r="K282" s="77"/>
      <c r="L282" s="77"/>
      <c r="M282" s="77"/>
      <c r="N282" s="77"/>
      <c r="O282" s="77"/>
      <c r="P282" s="83"/>
      <c r="Q282" s="77"/>
      <c r="R282" s="77"/>
      <c r="S282" s="77"/>
      <c r="T282" s="77"/>
      <c r="U282" s="77"/>
      <c r="V282" s="77"/>
    </row>
    <row r="283">
      <c r="G283" s="77"/>
      <c r="H283" s="77"/>
      <c r="I283" s="83"/>
      <c r="J283" s="77"/>
      <c r="K283" s="77"/>
      <c r="L283" s="77"/>
      <c r="M283" s="77"/>
      <c r="N283" s="77"/>
      <c r="O283" s="77"/>
      <c r="P283" s="83"/>
      <c r="Q283" s="77"/>
      <c r="R283" s="77"/>
      <c r="S283" s="77"/>
      <c r="T283" s="77"/>
      <c r="U283" s="77"/>
      <c r="V283" s="77"/>
    </row>
    <row r="284">
      <c r="G284" s="77"/>
      <c r="H284" s="77"/>
      <c r="I284" s="83"/>
      <c r="J284" s="77"/>
      <c r="K284" s="77"/>
      <c r="L284" s="77"/>
      <c r="M284" s="77"/>
      <c r="N284" s="77"/>
      <c r="O284" s="77"/>
      <c r="P284" s="83"/>
      <c r="Q284" s="77"/>
      <c r="R284" s="77"/>
      <c r="S284" s="77"/>
      <c r="T284" s="77"/>
      <c r="U284" s="77"/>
      <c r="V284" s="77"/>
    </row>
    <row r="285">
      <c r="G285" s="77"/>
      <c r="H285" s="77"/>
      <c r="I285" s="83"/>
      <c r="J285" s="77"/>
      <c r="K285" s="77"/>
      <c r="L285" s="77"/>
      <c r="M285" s="77"/>
      <c r="N285" s="77"/>
      <c r="O285" s="77"/>
      <c r="P285" s="83"/>
      <c r="Q285" s="77"/>
      <c r="R285" s="77"/>
      <c r="S285" s="77"/>
      <c r="T285" s="77"/>
      <c r="U285" s="77"/>
      <c r="V285" s="77"/>
    </row>
    <row r="286">
      <c r="G286" s="77"/>
      <c r="H286" s="77"/>
      <c r="I286" s="83"/>
      <c r="J286" s="77"/>
      <c r="K286" s="77"/>
      <c r="L286" s="77"/>
      <c r="M286" s="77"/>
      <c r="N286" s="77"/>
      <c r="O286" s="77"/>
      <c r="P286" s="83"/>
      <c r="Q286" s="77"/>
      <c r="R286" s="77"/>
      <c r="S286" s="77"/>
      <c r="T286" s="77"/>
      <c r="U286" s="77"/>
      <c r="V286" s="77"/>
    </row>
    <row r="287">
      <c r="G287" s="77"/>
      <c r="H287" s="77"/>
      <c r="I287" s="83"/>
      <c r="J287" s="77"/>
      <c r="K287" s="77"/>
      <c r="L287" s="77"/>
      <c r="M287" s="77"/>
      <c r="N287" s="77"/>
      <c r="O287" s="77"/>
      <c r="P287" s="83"/>
      <c r="Q287" s="77"/>
      <c r="R287" s="77"/>
      <c r="S287" s="77"/>
      <c r="T287" s="77"/>
      <c r="U287" s="77"/>
      <c r="V287" s="77"/>
    </row>
    <row r="288">
      <c r="G288" s="77"/>
      <c r="H288" s="77"/>
      <c r="I288" s="83"/>
      <c r="J288" s="77"/>
      <c r="K288" s="77"/>
      <c r="L288" s="77"/>
      <c r="M288" s="77"/>
      <c r="N288" s="77"/>
      <c r="O288" s="77"/>
      <c r="P288" s="83"/>
      <c r="Q288" s="77"/>
      <c r="R288" s="77"/>
      <c r="S288" s="77"/>
      <c r="T288" s="77"/>
      <c r="U288" s="77"/>
      <c r="V288" s="77"/>
    </row>
    <row r="289">
      <c r="G289" s="77"/>
      <c r="H289" s="77"/>
      <c r="I289" s="83"/>
      <c r="J289" s="77"/>
      <c r="K289" s="77"/>
      <c r="L289" s="77"/>
      <c r="M289" s="77"/>
      <c r="N289" s="77"/>
      <c r="O289" s="77"/>
      <c r="P289" s="83"/>
      <c r="Q289" s="77"/>
      <c r="R289" s="77"/>
      <c r="S289" s="77"/>
      <c r="T289" s="77"/>
      <c r="U289" s="77"/>
      <c r="V289" s="77"/>
    </row>
    <row r="290">
      <c r="G290" s="77"/>
      <c r="H290" s="77"/>
      <c r="I290" s="83"/>
      <c r="J290" s="77"/>
      <c r="K290" s="77"/>
      <c r="L290" s="77"/>
      <c r="M290" s="77"/>
      <c r="N290" s="77"/>
      <c r="O290" s="77"/>
      <c r="P290" s="83"/>
      <c r="Q290" s="77"/>
      <c r="R290" s="77"/>
      <c r="S290" s="77"/>
      <c r="T290" s="77"/>
      <c r="U290" s="77"/>
      <c r="V290" s="77"/>
    </row>
    <row r="291">
      <c r="G291" s="77"/>
      <c r="H291" s="77"/>
      <c r="I291" s="83"/>
      <c r="J291" s="77"/>
      <c r="K291" s="77"/>
      <c r="L291" s="77"/>
      <c r="M291" s="77"/>
      <c r="N291" s="77"/>
      <c r="O291" s="77"/>
      <c r="P291" s="83"/>
      <c r="Q291" s="77"/>
      <c r="R291" s="77"/>
      <c r="S291" s="77"/>
      <c r="T291" s="77"/>
      <c r="U291" s="77"/>
      <c r="V291" s="77"/>
    </row>
    <row r="292">
      <c r="G292" s="77"/>
      <c r="H292" s="77"/>
      <c r="I292" s="83"/>
      <c r="J292" s="77"/>
      <c r="K292" s="77"/>
      <c r="L292" s="77"/>
      <c r="M292" s="77"/>
      <c r="N292" s="77"/>
      <c r="O292" s="77"/>
      <c r="P292" s="83"/>
      <c r="Q292" s="77"/>
      <c r="R292" s="77"/>
      <c r="S292" s="77"/>
      <c r="T292" s="77"/>
      <c r="U292" s="77"/>
      <c r="V292" s="77"/>
    </row>
    <row r="293">
      <c r="G293" s="77"/>
      <c r="H293" s="77"/>
      <c r="I293" s="83"/>
      <c r="J293" s="77"/>
      <c r="K293" s="77"/>
      <c r="L293" s="77"/>
      <c r="M293" s="77"/>
      <c r="N293" s="77"/>
      <c r="O293" s="77"/>
      <c r="P293" s="83"/>
      <c r="Q293" s="77"/>
      <c r="R293" s="77"/>
      <c r="S293" s="77"/>
      <c r="T293" s="77"/>
      <c r="U293" s="77"/>
      <c r="V293" s="77"/>
    </row>
    <row r="294">
      <c r="G294" s="77"/>
      <c r="H294" s="77"/>
      <c r="I294" s="83"/>
      <c r="J294" s="77"/>
      <c r="K294" s="77"/>
      <c r="L294" s="77"/>
      <c r="M294" s="77"/>
      <c r="N294" s="77"/>
      <c r="O294" s="77"/>
      <c r="P294" s="83"/>
      <c r="Q294" s="77"/>
      <c r="R294" s="77"/>
      <c r="S294" s="77"/>
      <c r="T294" s="77"/>
      <c r="U294" s="77"/>
      <c r="V294" s="77"/>
    </row>
    <row r="295">
      <c r="G295" s="77"/>
      <c r="H295" s="77"/>
      <c r="I295" s="83"/>
      <c r="J295" s="77"/>
      <c r="K295" s="77"/>
      <c r="L295" s="77"/>
      <c r="M295" s="77"/>
      <c r="N295" s="77"/>
      <c r="O295" s="77"/>
      <c r="P295" s="83"/>
      <c r="Q295" s="77"/>
      <c r="R295" s="77"/>
      <c r="S295" s="77"/>
      <c r="T295" s="77"/>
      <c r="U295" s="77"/>
      <c r="V295" s="77"/>
    </row>
    <row r="296">
      <c r="G296" s="77"/>
      <c r="H296" s="77"/>
      <c r="I296" s="83"/>
      <c r="J296" s="77"/>
      <c r="K296" s="77"/>
      <c r="L296" s="77"/>
      <c r="M296" s="77"/>
      <c r="N296" s="77"/>
      <c r="O296" s="77"/>
      <c r="P296" s="83"/>
      <c r="Q296" s="77"/>
      <c r="R296" s="77"/>
      <c r="S296" s="77"/>
      <c r="T296" s="77"/>
      <c r="U296" s="77"/>
      <c r="V296" s="77"/>
    </row>
    <row r="297">
      <c r="G297" s="77"/>
      <c r="H297" s="77"/>
      <c r="I297" s="83"/>
      <c r="J297" s="77"/>
      <c r="K297" s="77"/>
      <c r="L297" s="77"/>
      <c r="M297" s="77"/>
      <c r="N297" s="77"/>
      <c r="O297" s="77"/>
      <c r="P297" s="83"/>
      <c r="Q297" s="77"/>
      <c r="R297" s="77"/>
      <c r="S297" s="77"/>
      <c r="T297" s="77"/>
      <c r="U297" s="77"/>
      <c r="V297" s="77"/>
    </row>
    <row r="298">
      <c r="G298" s="77"/>
      <c r="H298" s="77"/>
      <c r="I298" s="83"/>
      <c r="J298" s="77"/>
      <c r="K298" s="77"/>
      <c r="L298" s="77"/>
      <c r="M298" s="77"/>
      <c r="N298" s="77"/>
      <c r="O298" s="77"/>
      <c r="P298" s="83"/>
      <c r="Q298" s="77"/>
      <c r="R298" s="77"/>
      <c r="S298" s="77"/>
      <c r="T298" s="77"/>
      <c r="U298" s="77"/>
      <c r="V298" s="77"/>
    </row>
    <row r="299">
      <c r="G299" s="77"/>
      <c r="H299" s="77"/>
      <c r="I299" s="83"/>
      <c r="J299" s="77"/>
      <c r="K299" s="77"/>
      <c r="L299" s="77"/>
      <c r="M299" s="77"/>
      <c r="N299" s="77"/>
      <c r="O299" s="77"/>
      <c r="P299" s="83"/>
      <c r="Q299" s="77"/>
      <c r="R299" s="77"/>
      <c r="S299" s="77"/>
      <c r="T299" s="77"/>
      <c r="U299" s="77"/>
      <c r="V299" s="77"/>
    </row>
    <row r="300">
      <c r="G300" s="77"/>
      <c r="H300" s="77"/>
      <c r="I300" s="83"/>
      <c r="J300" s="77"/>
      <c r="K300" s="77"/>
      <c r="L300" s="77"/>
      <c r="M300" s="77"/>
      <c r="N300" s="77"/>
      <c r="O300" s="77"/>
      <c r="P300" s="83"/>
      <c r="Q300" s="77"/>
      <c r="R300" s="77"/>
      <c r="S300" s="77"/>
      <c r="T300" s="77"/>
      <c r="U300" s="77"/>
      <c r="V300" s="77"/>
    </row>
    <row r="301">
      <c r="G301" s="77"/>
      <c r="H301" s="77"/>
      <c r="I301" s="83"/>
      <c r="J301" s="77"/>
      <c r="K301" s="77"/>
      <c r="L301" s="77"/>
      <c r="M301" s="77"/>
      <c r="N301" s="77"/>
      <c r="O301" s="77"/>
      <c r="P301" s="83"/>
      <c r="Q301" s="77"/>
      <c r="R301" s="77"/>
      <c r="S301" s="77"/>
      <c r="T301" s="77"/>
      <c r="U301" s="77"/>
      <c r="V301" s="77"/>
    </row>
    <row r="302">
      <c r="G302" s="77"/>
      <c r="H302" s="77"/>
      <c r="I302" s="83"/>
      <c r="J302" s="77"/>
      <c r="K302" s="77"/>
      <c r="L302" s="77"/>
      <c r="M302" s="77"/>
      <c r="N302" s="77"/>
      <c r="O302" s="77"/>
      <c r="P302" s="83"/>
      <c r="Q302" s="77"/>
      <c r="R302" s="77"/>
      <c r="S302" s="77"/>
      <c r="T302" s="77"/>
      <c r="U302" s="77"/>
      <c r="V302" s="77"/>
    </row>
    <row r="303">
      <c r="G303" s="77"/>
      <c r="H303" s="77"/>
      <c r="I303" s="83"/>
      <c r="J303" s="77"/>
      <c r="K303" s="77"/>
      <c r="L303" s="77"/>
      <c r="M303" s="77"/>
      <c r="N303" s="77"/>
      <c r="O303" s="77"/>
      <c r="P303" s="83"/>
      <c r="Q303" s="77"/>
      <c r="R303" s="77"/>
      <c r="S303" s="77"/>
      <c r="T303" s="77"/>
      <c r="U303" s="77"/>
      <c r="V303" s="77"/>
    </row>
    <row r="304">
      <c r="G304" s="77"/>
      <c r="H304" s="77"/>
      <c r="I304" s="83"/>
      <c r="J304" s="77"/>
      <c r="K304" s="77"/>
      <c r="L304" s="77"/>
      <c r="M304" s="77"/>
      <c r="N304" s="77"/>
      <c r="O304" s="77"/>
      <c r="P304" s="83"/>
      <c r="Q304" s="77"/>
      <c r="R304" s="77"/>
      <c r="S304" s="77"/>
      <c r="T304" s="77"/>
      <c r="U304" s="77"/>
      <c r="V304" s="77"/>
    </row>
    <row r="305">
      <c r="G305" s="77"/>
      <c r="H305" s="77"/>
      <c r="I305" s="83"/>
      <c r="J305" s="77"/>
      <c r="K305" s="77"/>
      <c r="L305" s="77"/>
      <c r="M305" s="77"/>
      <c r="N305" s="77"/>
      <c r="O305" s="77"/>
      <c r="P305" s="83"/>
      <c r="Q305" s="77"/>
      <c r="R305" s="77"/>
      <c r="S305" s="77"/>
      <c r="T305" s="77"/>
      <c r="U305" s="77"/>
      <c r="V305" s="77"/>
    </row>
    <row r="306">
      <c r="G306" s="77"/>
      <c r="H306" s="77"/>
      <c r="I306" s="83"/>
      <c r="J306" s="77"/>
      <c r="K306" s="77"/>
      <c r="L306" s="77"/>
      <c r="M306" s="77"/>
      <c r="N306" s="77"/>
      <c r="O306" s="77"/>
      <c r="P306" s="83"/>
      <c r="Q306" s="77"/>
      <c r="R306" s="77"/>
      <c r="S306" s="77"/>
      <c r="T306" s="77"/>
      <c r="U306" s="77"/>
      <c r="V306" s="77"/>
    </row>
    <row r="307">
      <c r="G307" s="77"/>
      <c r="H307" s="77"/>
      <c r="I307" s="83"/>
      <c r="J307" s="77"/>
      <c r="K307" s="77"/>
      <c r="L307" s="77"/>
      <c r="M307" s="77"/>
      <c r="N307" s="77"/>
      <c r="O307" s="77"/>
      <c r="P307" s="83"/>
      <c r="Q307" s="77"/>
      <c r="R307" s="77"/>
      <c r="S307" s="77"/>
      <c r="T307" s="77"/>
      <c r="U307" s="77"/>
      <c r="V307" s="77"/>
    </row>
    <row r="308">
      <c r="G308" s="77"/>
      <c r="H308" s="77"/>
      <c r="I308" s="83"/>
      <c r="J308" s="77"/>
      <c r="K308" s="77"/>
      <c r="L308" s="77"/>
      <c r="M308" s="77"/>
      <c r="N308" s="77"/>
      <c r="O308" s="77"/>
      <c r="P308" s="83"/>
      <c r="Q308" s="77"/>
      <c r="R308" s="77"/>
      <c r="S308" s="77"/>
      <c r="T308" s="77"/>
      <c r="U308" s="77"/>
      <c r="V308" s="77"/>
    </row>
    <row r="309">
      <c r="G309" s="77"/>
      <c r="H309" s="77"/>
      <c r="I309" s="83"/>
      <c r="J309" s="77"/>
      <c r="K309" s="77"/>
      <c r="L309" s="77"/>
      <c r="M309" s="77"/>
      <c r="N309" s="77"/>
      <c r="O309" s="77"/>
      <c r="P309" s="83"/>
      <c r="Q309" s="77"/>
      <c r="R309" s="77"/>
      <c r="S309" s="77"/>
      <c r="T309" s="77"/>
      <c r="U309" s="77"/>
      <c r="V309" s="77"/>
    </row>
    <row r="310">
      <c r="G310" s="77"/>
      <c r="H310" s="77"/>
      <c r="I310" s="83"/>
      <c r="J310" s="77"/>
      <c r="K310" s="77"/>
      <c r="L310" s="77"/>
      <c r="M310" s="77"/>
      <c r="N310" s="77"/>
      <c r="O310" s="77"/>
      <c r="P310" s="83"/>
      <c r="Q310" s="77"/>
      <c r="R310" s="77"/>
      <c r="S310" s="77"/>
      <c r="T310" s="77"/>
      <c r="U310" s="77"/>
      <c r="V310" s="77"/>
    </row>
    <row r="311">
      <c r="G311" s="77"/>
      <c r="H311" s="77"/>
      <c r="I311" s="83"/>
      <c r="J311" s="77"/>
      <c r="K311" s="77"/>
      <c r="L311" s="77"/>
      <c r="M311" s="77"/>
      <c r="N311" s="77"/>
      <c r="O311" s="77"/>
      <c r="P311" s="83"/>
      <c r="Q311" s="77"/>
      <c r="R311" s="77"/>
      <c r="S311" s="77"/>
      <c r="T311" s="77"/>
      <c r="U311" s="77"/>
      <c r="V311" s="77"/>
    </row>
    <row r="312">
      <c r="G312" s="77"/>
      <c r="H312" s="77"/>
      <c r="I312" s="83"/>
      <c r="J312" s="77"/>
      <c r="K312" s="77"/>
      <c r="L312" s="77"/>
      <c r="M312" s="77"/>
      <c r="N312" s="77"/>
      <c r="O312" s="77"/>
      <c r="P312" s="83"/>
      <c r="Q312" s="77"/>
      <c r="R312" s="77"/>
      <c r="S312" s="77"/>
      <c r="T312" s="77"/>
      <c r="U312" s="77"/>
      <c r="V312" s="77"/>
    </row>
    <row r="313">
      <c r="G313" s="77"/>
      <c r="H313" s="77"/>
      <c r="I313" s="83"/>
      <c r="J313" s="77"/>
      <c r="K313" s="77"/>
      <c r="L313" s="77"/>
      <c r="M313" s="77"/>
      <c r="N313" s="77"/>
      <c r="O313" s="77"/>
      <c r="P313" s="83"/>
      <c r="Q313" s="77"/>
      <c r="R313" s="77"/>
      <c r="S313" s="77"/>
      <c r="T313" s="77"/>
      <c r="U313" s="77"/>
      <c r="V313" s="77"/>
    </row>
    <row r="314">
      <c r="G314" s="77"/>
      <c r="H314" s="77"/>
      <c r="I314" s="83"/>
      <c r="J314" s="77"/>
      <c r="K314" s="77"/>
      <c r="L314" s="77"/>
      <c r="M314" s="77"/>
      <c r="N314" s="77"/>
      <c r="O314" s="77"/>
      <c r="P314" s="83"/>
      <c r="Q314" s="77"/>
      <c r="R314" s="77"/>
      <c r="S314" s="77"/>
      <c r="T314" s="77"/>
      <c r="U314" s="77"/>
      <c r="V314" s="77"/>
    </row>
    <row r="315">
      <c r="G315" s="77"/>
      <c r="H315" s="77"/>
      <c r="I315" s="83"/>
      <c r="J315" s="77"/>
      <c r="K315" s="77"/>
      <c r="L315" s="77"/>
      <c r="M315" s="77"/>
      <c r="N315" s="77"/>
      <c r="O315" s="77"/>
      <c r="P315" s="83"/>
      <c r="Q315" s="77"/>
      <c r="R315" s="77"/>
      <c r="S315" s="77"/>
      <c r="T315" s="77"/>
      <c r="U315" s="77"/>
      <c r="V315" s="77"/>
    </row>
    <row r="316">
      <c r="G316" s="77"/>
      <c r="H316" s="77"/>
      <c r="I316" s="83"/>
      <c r="J316" s="77"/>
      <c r="K316" s="77"/>
      <c r="L316" s="77"/>
      <c r="M316" s="77"/>
      <c r="N316" s="77"/>
      <c r="O316" s="77"/>
      <c r="P316" s="83"/>
      <c r="Q316" s="77"/>
      <c r="R316" s="77"/>
      <c r="S316" s="77"/>
      <c r="T316" s="77"/>
      <c r="U316" s="77"/>
      <c r="V316" s="77"/>
    </row>
    <row r="317">
      <c r="G317" s="77"/>
      <c r="H317" s="77"/>
      <c r="I317" s="83"/>
      <c r="J317" s="77"/>
      <c r="K317" s="77"/>
      <c r="L317" s="77"/>
      <c r="M317" s="77"/>
      <c r="N317" s="77"/>
      <c r="O317" s="77"/>
      <c r="P317" s="83"/>
      <c r="Q317" s="77"/>
      <c r="R317" s="77"/>
      <c r="S317" s="77"/>
      <c r="T317" s="77"/>
      <c r="U317" s="77"/>
      <c r="V317" s="77"/>
    </row>
    <row r="318">
      <c r="G318" s="77"/>
      <c r="H318" s="77"/>
      <c r="I318" s="83"/>
      <c r="J318" s="77"/>
      <c r="K318" s="77"/>
      <c r="L318" s="77"/>
      <c r="M318" s="77"/>
      <c r="N318" s="77"/>
      <c r="O318" s="77"/>
      <c r="P318" s="83"/>
      <c r="Q318" s="77"/>
      <c r="R318" s="77"/>
      <c r="S318" s="77"/>
      <c r="T318" s="77"/>
      <c r="U318" s="77"/>
      <c r="V318" s="77"/>
    </row>
    <row r="319">
      <c r="G319" s="77"/>
      <c r="H319" s="77"/>
      <c r="I319" s="83"/>
      <c r="J319" s="77"/>
      <c r="K319" s="77"/>
      <c r="L319" s="77"/>
      <c r="M319" s="77"/>
      <c r="N319" s="77"/>
      <c r="O319" s="77"/>
      <c r="P319" s="83"/>
      <c r="Q319" s="77"/>
      <c r="R319" s="77"/>
      <c r="S319" s="77"/>
      <c r="T319" s="77"/>
      <c r="U319" s="77"/>
      <c r="V319" s="77"/>
    </row>
    <row r="320">
      <c r="G320" s="77"/>
      <c r="H320" s="77"/>
      <c r="I320" s="83"/>
      <c r="J320" s="77"/>
      <c r="K320" s="77"/>
      <c r="L320" s="77"/>
      <c r="M320" s="77"/>
      <c r="N320" s="77"/>
      <c r="O320" s="77"/>
      <c r="P320" s="83"/>
      <c r="Q320" s="77"/>
      <c r="R320" s="77"/>
      <c r="S320" s="77"/>
      <c r="T320" s="77"/>
      <c r="U320" s="77"/>
      <c r="V320" s="77"/>
    </row>
    <row r="321">
      <c r="G321" s="77"/>
      <c r="H321" s="77"/>
      <c r="I321" s="83"/>
      <c r="J321" s="77"/>
      <c r="K321" s="77"/>
      <c r="L321" s="77"/>
      <c r="M321" s="77"/>
      <c r="N321" s="77"/>
      <c r="O321" s="77"/>
      <c r="P321" s="83"/>
      <c r="Q321" s="77"/>
      <c r="R321" s="77"/>
      <c r="S321" s="77"/>
      <c r="T321" s="77"/>
      <c r="U321" s="77"/>
      <c r="V321" s="77"/>
    </row>
    <row r="322">
      <c r="G322" s="77"/>
      <c r="H322" s="77"/>
      <c r="I322" s="83"/>
      <c r="J322" s="77"/>
      <c r="K322" s="77"/>
      <c r="L322" s="77"/>
      <c r="M322" s="77"/>
      <c r="N322" s="77"/>
      <c r="O322" s="77"/>
      <c r="P322" s="83"/>
      <c r="Q322" s="77"/>
      <c r="R322" s="77"/>
      <c r="S322" s="77"/>
      <c r="T322" s="77"/>
      <c r="U322" s="77"/>
      <c r="V322" s="77"/>
    </row>
    <row r="323">
      <c r="G323" s="77"/>
      <c r="H323" s="77"/>
      <c r="I323" s="83"/>
      <c r="J323" s="77"/>
      <c r="K323" s="77"/>
      <c r="L323" s="77"/>
      <c r="M323" s="77"/>
      <c r="N323" s="77"/>
      <c r="O323" s="77"/>
      <c r="P323" s="83"/>
      <c r="Q323" s="77"/>
      <c r="R323" s="77"/>
      <c r="S323" s="77"/>
      <c r="T323" s="77"/>
      <c r="U323" s="77"/>
      <c r="V323" s="77"/>
    </row>
    <row r="324">
      <c r="G324" s="77"/>
      <c r="H324" s="77"/>
      <c r="I324" s="83"/>
      <c r="J324" s="77"/>
      <c r="K324" s="77"/>
      <c r="L324" s="77"/>
      <c r="M324" s="77"/>
      <c r="N324" s="77"/>
      <c r="O324" s="77"/>
      <c r="P324" s="83"/>
      <c r="Q324" s="77"/>
      <c r="R324" s="77"/>
      <c r="S324" s="77"/>
      <c r="T324" s="77"/>
      <c r="U324" s="77"/>
      <c r="V324" s="77"/>
    </row>
    <row r="325">
      <c r="G325" s="77"/>
      <c r="H325" s="77"/>
      <c r="I325" s="83"/>
      <c r="J325" s="77"/>
      <c r="K325" s="77"/>
      <c r="L325" s="77"/>
      <c r="M325" s="77"/>
      <c r="N325" s="77"/>
      <c r="O325" s="77"/>
      <c r="P325" s="83"/>
      <c r="Q325" s="77"/>
      <c r="R325" s="77"/>
      <c r="S325" s="77"/>
      <c r="T325" s="77"/>
      <c r="U325" s="77"/>
      <c r="V325" s="77"/>
    </row>
    <row r="326">
      <c r="G326" s="77"/>
      <c r="H326" s="77"/>
      <c r="I326" s="83"/>
      <c r="J326" s="77"/>
      <c r="K326" s="77"/>
      <c r="L326" s="77"/>
      <c r="M326" s="77"/>
      <c r="N326" s="77"/>
      <c r="O326" s="77"/>
      <c r="P326" s="83"/>
      <c r="Q326" s="77"/>
      <c r="R326" s="77"/>
      <c r="S326" s="77"/>
      <c r="T326" s="77"/>
      <c r="U326" s="77"/>
      <c r="V326" s="77"/>
    </row>
    <row r="327">
      <c r="G327" s="77"/>
      <c r="H327" s="77"/>
      <c r="I327" s="83"/>
      <c r="J327" s="77"/>
      <c r="K327" s="77"/>
      <c r="L327" s="77"/>
      <c r="M327" s="77"/>
      <c r="N327" s="77"/>
      <c r="O327" s="77"/>
      <c r="P327" s="83"/>
      <c r="Q327" s="77"/>
      <c r="R327" s="77"/>
      <c r="S327" s="77"/>
      <c r="T327" s="77"/>
      <c r="U327" s="77"/>
      <c r="V327" s="77"/>
    </row>
    <row r="328">
      <c r="G328" s="77"/>
      <c r="H328" s="77"/>
      <c r="I328" s="83"/>
      <c r="J328" s="77"/>
      <c r="K328" s="77"/>
      <c r="L328" s="77"/>
      <c r="M328" s="77"/>
      <c r="N328" s="77"/>
      <c r="O328" s="77"/>
      <c r="P328" s="83"/>
      <c r="Q328" s="77"/>
      <c r="R328" s="77"/>
      <c r="S328" s="77"/>
      <c r="T328" s="77"/>
      <c r="U328" s="77"/>
      <c r="V328" s="77"/>
    </row>
    <row r="329">
      <c r="G329" s="77"/>
      <c r="H329" s="77"/>
      <c r="I329" s="83"/>
      <c r="J329" s="77"/>
      <c r="K329" s="77"/>
      <c r="L329" s="77"/>
      <c r="M329" s="77"/>
      <c r="N329" s="77"/>
      <c r="O329" s="77"/>
      <c r="P329" s="83"/>
      <c r="Q329" s="77"/>
      <c r="R329" s="77"/>
      <c r="S329" s="77"/>
      <c r="T329" s="77"/>
      <c r="U329" s="77"/>
      <c r="V329" s="77"/>
    </row>
    <row r="330">
      <c r="G330" s="77"/>
      <c r="H330" s="77"/>
      <c r="I330" s="83"/>
      <c r="J330" s="77"/>
      <c r="K330" s="77"/>
      <c r="L330" s="77"/>
      <c r="M330" s="77"/>
      <c r="N330" s="77"/>
      <c r="O330" s="77"/>
      <c r="P330" s="83"/>
      <c r="Q330" s="77"/>
      <c r="R330" s="77"/>
      <c r="S330" s="77"/>
      <c r="T330" s="77"/>
      <c r="U330" s="77"/>
      <c r="V330" s="77"/>
    </row>
    <row r="331">
      <c r="G331" s="77"/>
      <c r="H331" s="77"/>
      <c r="I331" s="83"/>
      <c r="J331" s="77"/>
      <c r="K331" s="77"/>
      <c r="L331" s="77"/>
      <c r="M331" s="77"/>
      <c r="N331" s="77"/>
      <c r="O331" s="77"/>
      <c r="P331" s="83"/>
      <c r="Q331" s="77"/>
      <c r="R331" s="77"/>
      <c r="S331" s="77"/>
      <c r="T331" s="77"/>
      <c r="U331" s="77"/>
      <c r="V331" s="77"/>
    </row>
    <row r="332">
      <c r="G332" s="77"/>
      <c r="H332" s="77"/>
      <c r="I332" s="83"/>
      <c r="J332" s="77"/>
      <c r="K332" s="77"/>
      <c r="L332" s="77"/>
      <c r="M332" s="77"/>
      <c r="N332" s="77"/>
      <c r="O332" s="77"/>
      <c r="P332" s="83"/>
      <c r="Q332" s="77"/>
      <c r="R332" s="77"/>
      <c r="S332" s="77"/>
      <c r="T332" s="77"/>
      <c r="U332" s="77"/>
      <c r="V332" s="77"/>
    </row>
    <row r="333">
      <c r="G333" s="77"/>
      <c r="H333" s="77"/>
      <c r="I333" s="83"/>
      <c r="J333" s="77"/>
      <c r="K333" s="77"/>
      <c r="L333" s="77"/>
      <c r="M333" s="77"/>
      <c r="N333" s="77"/>
      <c r="O333" s="77"/>
      <c r="P333" s="83"/>
      <c r="Q333" s="77"/>
      <c r="R333" s="77"/>
      <c r="S333" s="77"/>
      <c r="T333" s="77"/>
      <c r="U333" s="77"/>
      <c r="V333" s="77"/>
    </row>
    <row r="334">
      <c r="G334" s="77"/>
      <c r="H334" s="77"/>
      <c r="I334" s="83"/>
      <c r="J334" s="77"/>
      <c r="K334" s="77"/>
      <c r="L334" s="77"/>
      <c r="M334" s="77"/>
      <c r="N334" s="77"/>
      <c r="O334" s="77"/>
      <c r="P334" s="83"/>
      <c r="Q334" s="77"/>
      <c r="R334" s="77"/>
      <c r="S334" s="77"/>
      <c r="T334" s="77"/>
      <c r="U334" s="77"/>
      <c r="V334" s="77"/>
    </row>
    <row r="335">
      <c r="G335" s="77"/>
      <c r="H335" s="77"/>
      <c r="I335" s="83"/>
      <c r="J335" s="77"/>
      <c r="K335" s="77"/>
      <c r="L335" s="77"/>
      <c r="M335" s="77"/>
      <c r="N335" s="77"/>
      <c r="O335" s="77"/>
      <c r="P335" s="83"/>
      <c r="Q335" s="77"/>
      <c r="R335" s="77"/>
      <c r="S335" s="77"/>
      <c r="T335" s="77"/>
      <c r="U335" s="77"/>
      <c r="V335" s="77"/>
    </row>
    <row r="336">
      <c r="G336" s="77"/>
      <c r="H336" s="77"/>
      <c r="I336" s="83"/>
      <c r="J336" s="77"/>
      <c r="K336" s="77"/>
      <c r="L336" s="77"/>
      <c r="M336" s="77"/>
      <c r="N336" s="77"/>
      <c r="O336" s="77"/>
      <c r="P336" s="83"/>
      <c r="Q336" s="77"/>
      <c r="R336" s="77"/>
      <c r="S336" s="77"/>
      <c r="T336" s="77"/>
      <c r="U336" s="77"/>
      <c r="V336" s="77"/>
    </row>
    <row r="337">
      <c r="G337" s="77"/>
      <c r="H337" s="77"/>
      <c r="I337" s="83"/>
      <c r="J337" s="77"/>
      <c r="K337" s="77"/>
      <c r="L337" s="77"/>
      <c r="M337" s="77"/>
      <c r="N337" s="77"/>
      <c r="O337" s="77"/>
      <c r="P337" s="83"/>
      <c r="Q337" s="77"/>
      <c r="R337" s="77"/>
      <c r="S337" s="77"/>
      <c r="T337" s="77"/>
      <c r="U337" s="77"/>
      <c r="V337" s="77"/>
    </row>
    <row r="338">
      <c r="G338" s="77"/>
      <c r="H338" s="77"/>
      <c r="I338" s="83"/>
      <c r="J338" s="77"/>
      <c r="K338" s="77"/>
      <c r="L338" s="77"/>
      <c r="M338" s="77"/>
      <c r="N338" s="77"/>
      <c r="O338" s="77"/>
      <c r="P338" s="83"/>
      <c r="Q338" s="77"/>
      <c r="R338" s="77"/>
      <c r="S338" s="77"/>
      <c r="T338" s="77"/>
      <c r="U338" s="77"/>
      <c r="V338" s="77"/>
    </row>
    <row r="339">
      <c r="G339" s="77"/>
      <c r="H339" s="77"/>
      <c r="I339" s="83"/>
      <c r="J339" s="77"/>
      <c r="K339" s="77"/>
      <c r="L339" s="77"/>
      <c r="M339" s="77"/>
      <c r="N339" s="77"/>
      <c r="O339" s="77"/>
      <c r="P339" s="83"/>
      <c r="Q339" s="77"/>
      <c r="R339" s="77"/>
      <c r="S339" s="77"/>
      <c r="T339" s="77"/>
      <c r="U339" s="77"/>
      <c r="V339" s="77"/>
    </row>
    <row r="340">
      <c r="G340" s="77"/>
      <c r="H340" s="77"/>
      <c r="I340" s="83"/>
      <c r="J340" s="77"/>
      <c r="K340" s="77"/>
      <c r="L340" s="77"/>
      <c r="M340" s="77"/>
      <c r="N340" s="77"/>
      <c r="O340" s="77"/>
      <c r="P340" s="83"/>
      <c r="Q340" s="77"/>
      <c r="R340" s="77"/>
      <c r="S340" s="77"/>
      <c r="T340" s="77"/>
      <c r="U340" s="77"/>
      <c r="V340" s="77"/>
    </row>
    <row r="341">
      <c r="G341" s="77"/>
      <c r="H341" s="77"/>
      <c r="I341" s="83"/>
      <c r="J341" s="77"/>
      <c r="K341" s="77"/>
      <c r="L341" s="77"/>
      <c r="M341" s="77"/>
      <c r="N341" s="77"/>
      <c r="O341" s="77"/>
      <c r="P341" s="83"/>
      <c r="Q341" s="77"/>
      <c r="R341" s="77"/>
      <c r="S341" s="77"/>
      <c r="T341" s="77"/>
      <c r="U341" s="77"/>
      <c r="V341" s="77"/>
    </row>
    <row r="342">
      <c r="G342" s="77"/>
      <c r="H342" s="77"/>
      <c r="I342" s="83"/>
      <c r="J342" s="77"/>
      <c r="K342" s="77"/>
      <c r="L342" s="77"/>
      <c r="M342" s="77"/>
      <c r="N342" s="77"/>
      <c r="O342" s="77"/>
      <c r="P342" s="83"/>
      <c r="Q342" s="77"/>
      <c r="R342" s="77"/>
      <c r="S342" s="77"/>
      <c r="T342" s="77"/>
      <c r="U342" s="77"/>
      <c r="V342" s="77"/>
    </row>
    <row r="343">
      <c r="G343" s="77"/>
      <c r="H343" s="77"/>
      <c r="I343" s="83"/>
      <c r="J343" s="77"/>
      <c r="K343" s="77"/>
      <c r="L343" s="77"/>
      <c r="M343" s="77"/>
      <c r="N343" s="77"/>
      <c r="O343" s="77"/>
      <c r="P343" s="83"/>
      <c r="Q343" s="77"/>
      <c r="R343" s="77"/>
      <c r="S343" s="77"/>
      <c r="T343" s="77"/>
      <c r="U343" s="77"/>
      <c r="V343" s="77"/>
    </row>
    <row r="344">
      <c r="G344" s="77"/>
      <c r="H344" s="77"/>
      <c r="I344" s="83"/>
      <c r="J344" s="77"/>
      <c r="K344" s="77"/>
      <c r="L344" s="77"/>
      <c r="M344" s="77"/>
      <c r="N344" s="77"/>
      <c r="O344" s="77"/>
      <c r="P344" s="83"/>
      <c r="Q344" s="77"/>
      <c r="R344" s="77"/>
      <c r="S344" s="77"/>
      <c r="T344" s="77"/>
      <c r="U344" s="77"/>
      <c r="V344" s="77"/>
    </row>
    <row r="345">
      <c r="G345" s="77"/>
      <c r="H345" s="77"/>
      <c r="I345" s="83"/>
      <c r="J345" s="77"/>
      <c r="K345" s="77"/>
      <c r="L345" s="77"/>
      <c r="M345" s="77"/>
      <c r="N345" s="77"/>
      <c r="O345" s="77"/>
      <c r="P345" s="83"/>
      <c r="Q345" s="77"/>
      <c r="R345" s="77"/>
      <c r="S345" s="77"/>
      <c r="T345" s="77"/>
      <c r="U345" s="77"/>
      <c r="V345" s="77"/>
    </row>
    <row r="346">
      <c r="G346" s="77"/>
      <c r="H346" s="77"/>
      <c r="I346" s="83"/>
      <c r="J346" s="77"/>
      <c r="K346" s="77"/>
      <c r="L346" s="77"/>
      <c r="M346" s="77"/>
      <c r="N346" s="77"/>
      <c r="O346" s="77"/>
      <c r="P346" s="83"/>
      <c r="Q346" s="77"/>
      <c r="R346" s="77"/>
      <c r="S346" s="77"/>
      <c r="T346" s="77"/>
      <c r="U346" s="77"/>
      <c r="V346" s="77"/>
    </row>
    <row r="347">
      <c r="G347" s="77"/>
      <c r="H347" s="77"/>
      <c r="I347" s="83"/>
      <c r="J347" s="77"/>
      <c r="K347" s="77"/>
      <c r="L347" s="77"/>
      <c r="M347" s="77"/>
      <c r="N347" s="77"/>
      <c r="O347" s="77"/>
      <c r="P347" s="83"/>
      <c r="Q347" s="77"/>
      <c r="R347" s="77"/>
      <c r="S347" s="77"/>
      <c r="T347" s="77"/>
      <c r="U347" s="77"/>
      <c r="V347" s="77"/>
    </row>
    <row r="348">
      <c r="G348" s="77"/>
      <c r="H348" s="77"/>
      <c r="I348" s="83"/>
      <c r="J348" s="77"/>
      <c r="K348" s="77"/>
      <c r="L348" s="77"/>
      <c r="M348" s="77"/>
      <c r="N348" s="77"/>
      <c r="O348" s="77"/>
      <c r="P348" s="83"/>
      <c r="Q348" s="77"/>
      <c r="R348" s="77"/>
      <c r="S348" s="77"/>
      <c r="T348" s="77"/>
      <c r="U348" s="77"/>
      <c r="V348" s="77"/>
    </row>
    <row r="349">
      <c r="G349" s="77"/>
      <c r="H349" s="77"/>
      <c r="I349" s="83"/>
      <c r="J349" s="77"/>
      <c r="K349" s="77"/>
      <c r="L349" s="77"/>
      <c r="M349" s="77"/>
      <c r="N349" s="77"/>
      <c r="O349" s="77"/>
      <c r="P349" s="83"/>
      <c r="Q349" s="77"/>
      <c r="R349" s="77"/>
      <c r="S349" s="77"/>
      <c r="T349" s="77"/>
      <c r="U349" s="77"/>
      <c r="V349" s="77"/>
    </row>
    <row r="350">
      <c r="G350" s="77"/>
      <c r="H350" s="77"/>
      <c r="I350" s="83"/>
      <c r="J350" s="77"/>
      <c r="K350" s="77"/>
      <c r="L350" s="77"/>
      <c r="M350" s="77"/>
      <c r="N350" s="77"/>
      <c r="O350" s="77"/>
      <c r="P350" s="83"/>
      <c r="Q350" s="77"/>
      <c r="R350" s="77"/>
      <c r="S350" s="77"/>
      <c r="T350" s="77"/>
      <c r="U350" s="77"/>
      <c r="V350" s="77"/>
    </row>
    <row r="351">
      <c r="G351" s="77"/>
      <c r="H351" s="77"/>
      <c r="I351" s="83"/>
      <c r="J351" s="77"/>
      <c r="K351" s="77"/>
      <c r="L351" s="77"/>
      <c r="M351" s="77"/>
      <c r="N351" s="77"/>
      <c r="O351" s="77"/>
      <c r="P351" s="83"/>
      <c r="Q351" s="77"/>
      <c r="R351" s="77"/>
      <c r="S351" s="77"/>
      <c r="T351" s="77"/>
      <c r="U351" s="77"/>
      <c r="V351" s="77"/>
    </row>
    <row r="352">
      <c r="G352" s="77"/>
      <c r="H352" s="77"/>
      <c r="I352" s="83"/>
      <c r="J352" s="77"/>
      <c r="K352" s="77"/>
      <c r="L352" s="77"/>
      <c r="M352" s="77"/>
      <c r="N352" s="77"/>
      <c r="O352" s="77"/>
      <c r="P352" s="83"/>
      <c r="Q352" s="77"/>
      <c r="R352" s="77"/>
      <c r="S352" s="77"/>
      <c r="T352" s="77"/>
      <c r="U352" s="77"/>
      <c r="V352" s="77"/>
    </row>
    <row r="353">
      <c r="G353" s="77"/>
      <c r="H353" s="77"/>
      <c r="I353" s="83"/>
      <c r="J353" s="77"/>
      <c r="K353" s="77"/>
      <c r="L353" s="77"/>
      <c r="M353" s="77"/>
      <c r="N353" s="77"/>
      <c r="O353" s="77"/>
      <c r="P353" s="83"/>
      <c r="Q353" s="77"/>
      <c r="R353" s="77"/>
      <c r="S353" s="77"/>
      <c r="T353" s="77"/>
      <c r="U353" s="77"/>
      <c r="V353" s="77"/>
    </row>
    <row r="354">
      <c r="G354" s="77"/>
      <c r="H354" s="77"/>
      <c r="I354" s="83"/>
      <c r="J354" s="77"/>
      <c r="K354" s="77"/>
      <c r="L354" s="77"/>
      <c r="M354" s="77"/>
      <c r="N354" s="77"/>
      <c r="O354" s="77"/>
      <c r="P354" s="83"/>
      <c r="Q354" s="77"/>
      <c r="R354" s="77"/>
      <c r="S354" s="77"/>
      <c r="T354" s="77"/>
      <c r="U354" s="77"/>
      <c r="V354" s="77"/>
    </row>
    <row r="355">
      <c r="G355" s="77"/>
      <c r="H355" s="77"/>
      <c r="I355" s="83"/>
      <c r="J355" s="77"/>
      <c r="K355" s="77"/>
      <c r="L355" s="77"/>
      <c r="M355" s="77"/>
      <c r="N355" s="77"/>
      <c r="O355" s="77"/>
      <c r="P355" s="83"/>
      <c r="Q355" s="77"/>
      <c r="R355" s="77"/>
      <c r="S355" s="77"/>
      <c r="T355" s="77"/>
      <c r="U355" s="77"/>
      <c r="V355" s="77"/>
    </row>
    <row r="356">
      <c r="G356" s="77"/>
      <c r="H356" s="77"/>
      <c r="I356" s="83"/>
      <c r="J356" s="77"/>
      <c r="K356" s="77"/>
      <c r="L356" s="77"/>
      <c r="M356" s="77"/>
      <c r="N356" s="77"/>
      <c r="O356" s="77"/>
      <c r="P356" s="83"/>
      <c r="Q356" s="77"/>
      <c r="R356" s="77"/>
      <c r="S356" s="77"/>
      <c r="T356" s="77"/>
      <c r="U356" s="77"/>
      <c r="V356" s="77"/>
    </row>
    <row r="357">
      <c r="G357" s="77"/>
      <c r="H357" s="77"/>
      <c r="I357" s="83"/>
      <c r="J357" s="77"/>
      <c r="K357" s="77"/>
      <c r="L357" s="77"/>
      <c r="M357" s="77"/>
      <c r="N357" s="77"/>
      <c r="O357" s="77"/>
      <c r="P357" s="83"/>
      <c r="Q357" s="77"/>
      <c r="R357" s="77"/>
      <c r="S357" s="77"/>
      <c r="T357" s="77"/>
      <c r="U357" s="77"/>
      <c r="V357" s="77"/>
    </row>
    <row r="358">
      <c r="G358" s="77"/>
      <c r="H358" s="77"/>
      <c r="I358" s="83"/>
      <c r="J358" s="77"/>
      <c r="K358" s="77"/>
      <c r="L358" s="77"/>
      <c r="M358" s="77"/>
      <c r="N358" s="77"/>
      <c r="O358" s="77"/>
      <c r="P358" s="83"/>
      <c r="Q358" s="77"/>
      <c r="R358" s="77"/>
      <c r="S358" s="77"/>
      <c r="T358" s="77"/>
      <c r="U358" s="77"/>
      <c r="V358" s="77"/>
    </row>
    <row r="359">
      <c r="G359" s="77"/>
      <c r="H359" s="77"/>
      <c r="I359" s="83"/>
      <c r="J359" s="77"/>
      <c r="K359" s="77"/>
      <c r="L359" s="77"/>
      <c r="M359" s="77"/>
      <c r="N359" s="77"/>
      <c r="O359" s="77"/>
      <c r="P359" s="83"/>
      <c r="Q359" s="77"/>
      <c r="R359" s="77"/>
      <c r="S359" s="77"/>
      <c r="T359" s="77"/>
      <c r="U359" s="77"/>
      <c r="V359" s="77"/>
    </row>
    <row r="360">
      <c r="G360" s="77"/>
      <c r="H360" s="77"/>
      <c r="I360" s="83"/>
      <c r="J360" s="77"/>
      <c r="K360" s="77"/>
      <c r="L360" s="77"/>
      <c r="M360" s="77"/>
      <c r="N360" s="77"/>
      <c r="O360" s="77"/>
      <c r="P360" s="83"/>
      <c r="Q360" s="77"/>
      <c r="R360" s="77"/>
      <c r="S360" s="77"/>
      <c r="T360" s="77"/>
      <c r="U360" s="77"/>
      <c r="V360" s="77"/>
    </row>
    <row r="361">
      <c r="G361" s="77"/>
      <c r="H361" s="77"/>
      <c r="I361" s="83"/>
      <c r="J361" s="77"/>
      <c r="K361" s="77"/>
      <c r="L361" s="77"/>
      <c r="M361" s="77"/>
      <c r="N361" s="77"/>
      <c r="O361" s="77"/>
      <c r="P361" s="83"/>
      <c r="Q361" s="77"/>
      <c r="R361" s="77"/>
      <c r="S361" s="77"/>
      <c r="T361" s="77"/>
      <c r="U361" s="77"/>
      <c r="V361" s="77"/>
    </row>
    <row r="362">
      <c r="G362" s="77"/>
      <c r="H362" s="77"/>
      <c r="I362" s="83"/>
      <c r="J362" s="77"/>
      <c r="K362" s="77"/>
      <c r="L362" s="77"/>
      <c r="M362" s="77"/>
      <c r="N362" s="77"/>
      <c r="O362" s="77"/>
      <c r="P362" s="83"/>
      <c r="Q362" s="77"/>
      <c r="R362" s="77"/>
      <c r="S362" s="77"/>
      <c r="T362" s="77"/>
      <c r="U362" s="77"/>
      <c r="V362" s="77"/>
    </row>
    <row r="363">
      <c r="G363" s="77"/>
      <c r="H363" s="77"/>
      <c r="I363" s="83"/>
      <c r="J363" s="77"/>
      <c r="K363" s="77"/>
      <c r="L363" s="77"/>
      <c r="M363" s="77"/>
      <c r="N363" s="77"/>
      <c r="O363" s="77"/>
      <c r="P363" s="83"/>
      <c r="Q363" s="77"/>
      <c r="R363" s="77"/>
      <c r="S363" s="77"/>
      <c r="T363" s="77"/>
      <c r="U363" s="77"/>
      <c r="V363" s="77"/>
    </row>
    <row r="364">
      <c r="G364" s="77"/>
      <c r="H364" s="77"/>
      <c r="I364" s="83"/>
      <c r="J364" s="77"/>
      <c r="K364" s="77"/>
      <c r="L364" s="77"/>
      <c r="M364" s="77"/>
      <c r="N364" s="77"/>
      <c r="O364" s="77"/>
      <c r="P364" s="83"/>
      <c r="Q364" s="77"/>
      <c r="R364" s="77"/>
      <c r="S364" s="77"/>
      <c r="T364" s="77"/>
      <c r="U364" s="77"/>
      <c r="V364" s="77"/>
    </row>
    <row r="365">
      <c r="G365" s="77"/>
      <c r="H365" s="77"/>
      <c r="I365" s="83"/>
      <c r="J365" s="77"/>
      <c r="K365" s="77"/>
      <c r="L365" s="77"/>
      <c r="M365" s="77"/>
      <c r="N365" s="77"/>
      <c r="O365" s="77"/>
      <c r="P365" s="83"/>
      <c r="Q365" s="77"/>
      <c r="R365" s="77"/>
      <c r="S365" s="77"/>
      <c r="T365" s="77"/>
      <c r="U365" s="77"/>
      <c r="V365" s="77"/>
    </row>
    <row r="366">
      <c r="G366" s="77"/>
      <c r="H366" s="77"/>
      <c r="I366" s="83"/>
      <c r="J366" s="77"/>
      <c r="K366" s="77"/>
      <c r="L366" s="77"/>
      <c r="M366" s="77"/>
      <c r="N366" s="77"/>
      <c r="O366" s="77"/>
      <c r="P366" s="83"/>
      <c r="Q366" s="77"/>
      <c r="R366" s="77"/>
      <c r="S366" s="77"/>
      <c r="T366" s="77"/>
      <c r="U366" s="77"/>
      <c r="V366" s="77"/>
    </row>
    <row r="367">
      <c r="G367" s="77"/>
      <c r="H367" s="77"/>
      <c r="I367" s="83"/>
      <c r="J367" s="77"/>
      <c r="K367" s="77"/>
      <c r="L367" s="77"/>
      <c r="M367" s="77"/>
      <c r="N367" s="77"/>
      <c r="O367" s="77"/>
      <c r="P367" s="83"/>
      <c r="Q367" s="77"/>
      <c r="R367" s="77"/>
      <c r="S367" s="77"/>
      <c r="T367" s="77"/>
      <c r="U367" s="77"/>
      <c r="V367" s="77"/>
    </row>
    <row r="368">
      <c r="G368" s="77"/>
      <c r="H368" s="77"/>
      <c r="I368" s="83"/>
      <c r="J368" s="77"/>
      <c r="K368" s="77"/>
      <c r="L368" s="77"/>
      <c r="M368" s="77"/>
      <c r="N368" s="77"/>
      <c r="O368" s="77"/>
      <c r="P368" s="83"/>
      <c r="Q368" s="77"/>
      <c r="R368" s="77"/>
      <c r="S368" s="77"/>
      <c r="T368" s="77"/>
      <c r="U368" s="77"/>
      <c r="V368" s="77"/>
    </row>
    <row r="369">
      <c r="G369" s="77"/>
      <c r="H369" s="77"/>
      <c r="I369" s="83"/>
      <c r="J369" s="77"/>
      <c r="K369" s="77"/>
      <c r="L369" s="77"/>
      <c r="M369" s="77"/>
      <c r="N369" s="77"/>
      <c r="O369" s="77"/>
      <c r="P369" s="83"/>
      <c r="Q369" s="77"/>
      <c r="R369" s="77"/>
      <c r="S369" s="77"/>
      <c r="T369" s="77"/>
      <c r="U369" s="77"/>
      <c r="V369" s="77"/>
    </row>
    <row r="370">
      <c r="G370" s="77"/>
      <c r="H370" s="77"/>
      <c r="I370" s="83"/>
      <c r="J370" s="77"/>
      <c r="K370" s="77"/>
      <c r="L370" s="77"/>
      <c r="M370" s="77"/>
      <c r="N370" s="77"/>
      <c r="O370" s="77"/>
      <c r="P370" s="83"/>
      <c r="Q370" s="77"/>
      <c r="R370" s="77"/>
      <c r="S370" s="77"/>
      <c r="T370" s="77"/>
      <c r="U370" s="77"/>
      <c r="V370" s="77"/>
    </row>
    <row r="371">
      <c r="G371" s="77"/>
      <c r="H371" s="77"/>
      <c r="I371" s="83"/>
      <c r="J371" s="77"/>
      <c r="K371" s="77"/>
      <c r="L371" s="77"/>
      <c r="M371" s="77"/>
      <c r="N371" s="77"/>
      <c r="O371" s="77"/>
      <c r="P371" s="83"/>
      <c r="Q371" s="77"/>
      <c r="R371" s="77"/>
      <c r="S371" s="77"/>
      <c r="T371" s="77"/>
      <c r="U371" s="77"/>
      <c r="V371" s="77"/>
    </row>
    <row r="372">
      <c r="G372" s="77"/>
      <c r="H372" s="77"/>
      <c r="I372" s="83"/>
      <c r="J372" s="77"/>
      <c r="K372" s="77"/>
      <c r="L372" s="77"/>
      <c r="M372" s="77"/>
      <c r="N372" s="77"/>
      <c r="O372" s="77"/>
      <c r="P372" s="83"/>
      <c r="Q372" s="77"/>
      <c r="R372" s="77"/>
      <c r="S372" s="77"/>
      <c r="T372" s="77"/>
      <c r="U372" s="77"/>
      <c r="V372" s="77"/>
    </row>
    <row r="373">
      <c r="G373" s="77"/>
      <c r="H373" s="77"/>
      <c r="I373" s="83"/>
      <c r="J373" s="77"/>
      <c r="K373" s="77"/>
      <c r="L373" s="77"/>
      <c r="M373" s="77"/>
      <c r="N373" s="77"/>
      <c r="O373" s="77"/>
      <c r="P373" s="83"/>
      <c r="Q373" s="77"/>
      <c r="R373" s="77"/>
      <c r="S373" s="77"/>
      <c r="T373" s="77"/>
      <c r="U373" s="77"/>
      <c r="V373" s="77"/>
    </row>
    <row r="374">
      <c r="G374" s="77"/>
      <c r="H374" s="77"/>
      <c r="I374" s="83"/>
      <c r="J374" s="77"/>
      <c r="K374" s="77"/>
      <c r="L374" s="77"/>
      <c r="M374" s="77"/>
      <c r="N374" s="77"/>
      <c r="O374" s="77"/>
      <c r="P374" s="83"/>
      <c r="Q374" s="77"/>
      <c r="R374" s="77"/>
      <c r="S374" s="77"/>
      <c r="T374" s="77"/>
      <c r="U374" s="77"/>
      <c r="V374" s="77"/>
    </row>
    <row r="375">
      <c r="G375" s="77"/>
      <c r="H375" s="77"/>
      <c r="I375" s="83"/>
      <c r="J375" s="77"/>
      <c r="K375" s="77"/>
      <c r="L375" s="77"/>
      <c r="M375" s="77"/>
      <c r="N375" s="77"/>
      <c r="O375" s="77"/>
      <c r="P375" s="83"/>
      <c r="Q375" s="77"/>
      <c r="R375" s="77"/>
      <c r="S375" s="77"/>
      <c r="T375" s="77"/>
      <c r="U375" s="77"/>
      <c r="V375" s="77"/>
    </row>
    <row r="376">
      <c r="G376" s="77"/>
      <c r="H376" s="77"/>
      <c r="I376" s="83"/>
      <c r="J376" s="77"/>
      <c r="K376" s="77"/>
      <c r="L376" s="77"/>
      <c r="M376" s="77"/>
      <c r="N376" s="77"/>
      <c r="O376" s="77"/>
      <c r="P376" s="83"/>
      <c r="Q376" s="77"/>
      <c r="R376" s="77"/>
      <c r="S376" s="77"/>
      <c r="T376" s="77"/>
      <c r="U376" s="77"/>
      <c r="V376" s="77"/>
    </row>
    <row r="377">
      <c r="G377" s="77"/>
      <c r="H377" s="77"/>
      <c r="I377" s="83"/>
      <c r="J377" s="77"/>
      <c r="K377" s="77"/>
      <c r="L377" s="77"/>
      <c r="M377" s="77"/>
      <c r="N377" s="77"/>
      <c r="O377" s="77"/>
      <c r="P377" s="83"/>
      <c r="Q377" s="77"/>
      <c r="R377" s="77"/>
      <c r="S377" s="77"/>
      <c r="T377" s="77"/>
      <c r="U377" s="77"/>
      <c r="V377" s="77"/>
    </row>
    <row r="378">
      <c r="G378" s="77"/>
      <c r="H378" s="77"/>
      <c r="I378" s="83"/>
      <c r="J378" s="77"/>
      <c r="K378" s="77"/>
      <c r="L378" s="77"/>
      <c r="M378" s="77"/>
      <c r="N378" s="77"/>
      <c r="O378" s="77"/>
      <c r="P378" s="83"/>
      <c r="Q378" s="77"/>
      <c r="R378" s="77"/>
      <c r="S378" s="77"/>
      <c r="T378" s="77"/>
      <c r="U378" s="77"/>
      <c r="V378" s="77"/>
    </row>
    <row r="379">
      <c r="G379" s="77"/>
      <c r="H379" s="77"/>
      <c r="I379" s="83"/>
      <c r="J379" s="77"/>
      <c r="K379" s="77"/>
      <c r="L379" s="77"/>
      <c r="M379" s="77"/>
      <c r="N379" s="77"/>
      <c r="O379" s="77"/>
      <c r="P379" s="83"/>
      <c r="Q379" s="77"/>
      <c r="R379" s="77"/>
      <c r="S379" s="77"/>
      <c r="T379" s="77"/>
      <c r="U379" s="77"/>
      <c r="V379" s="77"/>
    </row>
    <row r="380">
      <c r="G380" s="77"/>
      <c r="H380" s="77"/>
      <c r="I380" s="83"/>
      <c r="J380" s="77"/>
      <c r="K380" s="77"/>
      <c r="L380" s="77"/>
      <c r="M380" s="77"/>
      <c r="N380" s="77"/>
      <c r="O380" s="77"/>
      <c r="P380" s="83"/>
      <c r="Q380" s="77"/>
      <c r="R380" s="77"/>
      <c r="S380" s="77"/>
      <c r="T380" s="77"/>
      <c r="U380" s="77"/>
      <c r="V380" s="77"/>
    </row>
    <row r="381">
      <c r="G381" s="77"/>
      <c r="H381" s="77"/>
      <c r="I381" s="83"/>
      <c r="J381" s="77"/>
      <c r="K381" s="77"/>
      <c r="L381" s="77"/>
      <c r="M381" s="77"/>
      <c r="N381" s="77"/>
      <c r="O381" s="77"/>
      <c r="P381" s="83"/>
      <c r="Q381" s="77"/>
      <c r="R381" s="77"/>
      <c r="S381" s="77"/>
      <c r="T381" s="77"/>
      <c r="U381" s="77"/>
      <c r="V381" s="77"/>
    </row>
    <row r="382">
      <c r="G382" s="77"/>
      <c r="H382" s="77"/>
      <c r="I382" s="83"/>
      <c r="J382" s="77"/>
      <c r="K382" s="77"/>
      <c r="L382" s="77"/>
      <c r="M382" s="77"/>
      <c r="N382" s="77"/>
      <c r="O382" s="77"/>
      <c r="P382" s="83"/>
      <c r="Q382" s="77"/>
      <c r="R382" s="77"/>
      <c r="S382" s="77"/>
      <c r="T382" s="77"/>
      <c r="U382" s="77"/>
      <c r="V382" s="77"/>
    </row>
    <row r="383">
      <c r="G383" s="77"/>
      <c r="H383" s="77"/>
      <c r="I383" s="83"/>
      <c r="J383" s="77"/>
      <c r="K383" s="77"/>
      <c r="L383" s="77"/>
      <c r="M383" s="77"/>
      <c r="N383" s="77"/>
      <c r="O383" s="77"/>
      <c r="P383" s="83"/>
      <c r="Q383" s="77"/>
      <c r="R383" s="77"/>
      <c r="S383" s="77"/>
      <c r="T383" s="77"/>
      <c r="U383" s="77"/>
      <c r="V383" s="77"/>
    </row>
    <row r="384">
      <c r="G384" s="77"/>
      <c r="H384" s="77"/>
      <c r="I384" s="83"/>
      <c r="J384" s="77"/>
      <c r="K384" s="77"/>
      <c r="L384" s="77"/>
      <c r="M384" s="77"/>
      <c r="N384" s="77"/>
      <c r="O384" s="77"/>
      <c r="P384" s="83"/>
      <c r="Q384" s="77"/>
      <c r="R384" s="77"/>
      <c r="S384" s="77"/>
      <c r="T384" s="77"/>
      <c r="U384" s="77"/>
      <c r="V384" s="77"/>
    </row>
    <row r="385">
      <c r="G385" s="77"/>
      <c r="H385" s="77"/>
      <c r="I385" s="83"/>
      <c r="J385" s="77"/>
      <c r="K385" s="77"/>
      <c r="L385" s="77"/>
      <c r="M385" s="77"/>
      <c r="N385" s="77"/>
      <c r="O385" s="77"/>
      <c r="P385" s="83"/>
      <c r="Q385" s="77"/>
      <c r="R385" s="77"/>
      <c r="S385" s="77"/>
      <c r="T385" s="77"/>
      <c r="U385" s="77"/>
      <c r="V385" s="77"/>
    </row>
    <row r="386">
      <c r="G386" s="77"/>
      <c r="H386" s="77"/>
      <c r="I386" s="83"/>
      <c r="J386" s="77"/>
      <c r="K386" s="77"/>
      <c r="L386" s="77"/>
      <c r="M386" s="77"/>
      <c r="N386" s="77"/>
      <c r="O386" s="77"/>
      <c r="P386" s="83"/>
      <c r="Q386" s="77"/>
      <c r="R386" s="77"/>
      <c r="S386" s="77"/>
      <c r="T386" s="77"/>
      <c r="U386" s="77"/>
      <c r="V386" s="77"/>
    </row>
    <row r="387">
      <c r="G387" s="77"/>
      <c r="H387" s="77"/>
      <c r="I387" s="83"/>
      <c r="J387" s="77"/>
      <c r="K387" s="77"/>
      <c r="L387" s="77"/>
      <c r="M387" s="77"/>
      <c r="N387" s="77"/>
      <c r="O387" s="77"/>
      <c r="P387" s="83"/>
      <c r="Q387" s="77"/>
      <c r="R387" s="77"/>
      <c r="S387" s="77"/>
      <c r="T387" s="77"/>
      <c r="U387" s="77"/>
      <c r="V387" s="77"/>
    </row>
    <row r="388">
      <c r="G388" s="77"/>
      <c r="H388" s="77"/>
      <c r="I388" s="83"/>
      <c r="J388" s="77"/>
      <c r="K388" s="77"/>
      <c r="L388" s="77"/>
      <c r="M388" s="77"/>
      <c r="N388" s="77"/>
      <c r="O388" s="77"/>
      <c r="P388" s="83"/>
      <c r="Q388" s="77"/>
      <c r="R388" s="77"/>
      <c r="S388" s="77"/>
      <c r="T388" s="77"/>
      <c r="U388" s="77"/>
      <c r="V388" s="77"/>
    </row>
    <row r="389">
      <c r="G389" s="77"/>
      <c r="H389" s="77"/>
      <c r="I389" s="83"/>
      <c r="J389" s="77"/>
      <c r="K389" s="77"/>
      <c r="L389" s="77"/>
      <c r="M389" s="77"/>
      <c r="N389" s="77"/>
      <c r="O389" s="77"/>
      <c r="P389" s="83"/>
      <c r="Q389" s="77"/>
      <c r="R389" s="77"/>
      <c r="S389" s="77"/>
      <c r="T389" s="77"/>
      <c r="U389" s="77"/>
      <c r="V389" s="77"/>
    </row>
    <row r="390">
      <c r="G390" s="77"/>
      <c r="H390" s="77"/>
      <c r="I390" s="83"/>
      <c r="J390" s="77"/>
      <c r="K390" s="77"/>
      <c r="L390" s="77"/>
      <c r="M390" s="77"/>
      <c r="N390" s="77"/>
      <c r="O390" s="77"/>
      <c r="P390" s="83"/>
      <c r="Q390" s="77"/>
      <c r="R390" s="77"/>
      <c r="S390" s="77"/>
      <c r="T390" s="77"/>
      <c r="U390" s="77"/>
      <c r="V390" s="77"/>
    </row>
    <row r="391">
      <c r="G391" s="77"/>
      <c r="H391" s="77"/>
      <c r="I391" s="83"/>
      <c r="J391" s="77"/>
      <c r="K391" s="77"/>
      <c r="L391" s="77"/>
      <c r="M391" s="77"/>
      <c r="N391" s="77"/>
      <c r="O391" s="77"/>
      <c r="P391" s="83"/>
      <c r="Q391" s="77"/>
      <c r="R391" s="77"/>
      <c r="S391" s="77"/>
      <c r="T391" s="77"/>
      <c r="U391" s="77"/>
      <c r="V391" s="77"/>
    </row>
    <row r="392">
      <c r="G392" s="77"/>
      <c r="H392" s="77"/>
      <c r="I392" s="83"/>
      <c r="J392" s="77"/>
      <c r="K392" s="77"/>
      <c r="L392" s="77"/>
      <c r="M392" s="77"/>
      <c r="N392" s="77"/>
      <c r="O392" s="77"/>
      <c r="P392" s="83"/>
      <c r="Q392" s="77"/>
      <c r="R392" s="77"/>
      <c r="S392" s="77"/>
      <c r="T392" s="77"/>
      <c r="U392" s="77"/>
      <c r="V392" s="77"/>
    </row>
    <row r="393">
      <c r="G393" s="77"/>
      <c r="H393" s="77"/>
      <c r="I393" s="83"/>
      <c r="J393" s="77"/>
      <c r="K393" s="77"/>
      <c r="L393" s="77"/>
      <c r="M393" s="77"/>
      <c r="N393" s="77"/>
      <c r="O393" s="77"/>
      <c r="P393" s="83"/>
      <c r="Q393" s="77"/>
      <c r="R393" s="77"/>
      <c r="S393" s="77"/>
      <c r="T393" s="77"/>
      <c r="U393" s="77"/>
      <c r="V393" s="77"/>
    </row>
    <row r="394">
      <c r="G394" s="77"/>
      <c r="H394" s="77"/>
      <c r="I394" s="83"/>
      <c r="J394" s="77"/>
      <c r="K394" s="77"/>
      <c r="L394" s="77"/>
      <c r="M394" s="77"/>
      <c r="N394" s="77"/>
      <c r="O394" s="77"/>
      <c r="P394" s="83"/>
      <c r="Q394" s="77"/>
      <c r="R394" s="77"/>
      <c r="S394" s="77"/>
      <c r="T394" s="77"/>
      <c r="U394" s="77"/>
      <c r="V394" s="77"/>
    </row>
    <row r="395">
      <c r="G395" s="77"/>
      <c r="H395" s="77"/>
      <c r="I395" s="83"/>
      <c r="J395" s="77"/>
      <c r="K395" s="77"/>
      <c r="L395" s="77"/>
      <c r="M395" s="77"/>
      <c r="N395" s="77"/>
      <c r="O395" s="77"/>
      <c r="P395" s="83"/>
      <c r="Q395" s="77"/>
      <c r="R395" s="77"/>
      <c r="S395" s="77"/>
      <c r="T395" s="77"/>
      <c r="U395" s="77"/>
      <c r="V395" s="77"/>
    </row>
    <row r="396">
      <c r="G396" s="77"/>
      <c r="H396" s="77"/>
      <c r="I396" s="83"/>
      <c r="J396" s="77"/>
      <c r="K396" s="77"/>
      <c r="L396" s="77"/>
      <c r="M396" s="77"/>
      <c r="N396" s="77"/>
      <c r="O396" s="77"/>
      <c r="P396" s="83"/>
      <c r="Q396" s="77"/>
      <c r="R396" s="77"/>
      <c r="S396" s="77"/>
      <c r="T396" s="77"/>
      <c r="U396" s="77"/>
      <c r="V396" s="77"/>
    </row>
    <row r="397">
      <c r="G397" s="77"/>
      <c r="H397" s="77"/>
      <c r="I397" s="83"/>
      <c r="J397" s="77"/>
      <c r="K397" s="77"/>
      <c r="L397" s="77"/>
      <c r="M397" s="77"/>
      <c r="N397" s="77"/>
      <c r="O397" s="77"/>
      <c r="P397" s="83"/>
      <c r="Q397" s="77"/>
      <c r="R397" s="77"/>
      <c r="S397" s="77"/>
      <c r="T397" s="77"/>
      <c r="U397" s="77"/>
      <c r="V397" s="77"/>
    </row>
    <row r="398">
      <c r="G398" s="77"/>
      <c r="H398" s="77"/>
      <c r="I398" s="83"/>
      <c r="J398" s="77"/>
      <c r="K398" s="77"/>
      <c r="L398" s="77"/>
      <c r="M398" s="77"/>
      <c r="N398" s="77"/>
      <c r="O398" s="77"/>
      <c r="P398" s="83"/>
      <c r="Q398" s="77"/>
      <c r="R398" s="77"/>
      <c r="S398" s="77"/>
      <c r="T398" s="77"/>
      <c r="U398" s="77"/>
      <c r="V398" s="77"/>
    </row>
    <row r="399">
      <c r="G399" s="77"/>
      <c r="H399" s="77"/>
      <c r="I399" s="83"/>
      <c r="J399" s="77"/>
      <c r="K399" s="77"/>
      <c r="L399" s="77"/>
      <c r="M399" s="77"/>
      <c r="N399" s="77"/>
      <c r="O399" s="77"/>
      <c r="P399" s="83"/>
      <c r="Q399" s="77"/>
      <c r="R399" s="77"/>
      <c r="S399" s="77"/>
      <c r="T399" s="77"/>
      <c r="U399" s="77"/>
      <c r="V399" s="77"/>
    </row>
    <row r="400">
      <c r="G400" s="77"/>
      <c r="H400" s="77"/>
      <c r="I400" s="83"/>
      <c r="J400" s="77"/>
      <c r="K400" s="77"/>
      <c r="L400" s="77"/>
      <c r="M400" s="77"/>
      <c r="N400" s="77"/>
      <c r="O400" s="77"/>
      <c r="P400" s="83"/>
      <c r="Q400" s="77"/>
      <c r="R400" s="77"/>
      <c r="S400" s="77"/>
      <c r="T400" s="77"/>
      <c r="U400" s="77"/>
      <c r="V400" s="77"/>
    </row>
    <row r="401">
      <c r="G401" s="77"/>
      <c r="H401" s="77"/>
      <c r="I401" s="83"/>
      <c r="J401" s="77"/>
      <c r="K401" s="77"/>
      <c r="L401" s="77"/>
      <c r="M401" s="77"/>
      <c r="N401" s="77"/>
      <c r="O401" s="77"/>
      <c r="P401" s="83"/>
      <c r="Q401" s="77"/>
      <c r="R401" s="77"/>
      <c r="S401" s="77"/>
      <c r="T401" s="77"/>
      <c r="U401" s="77"/>
      <c r="V401" s="77"/>
    </row>
    <row r="402">
      <c r="G402" s="77"/>
      <c r="H402" s="77"/>
      <c r="I402" s="83"/>
      <c r="J402" s="77"/>
      <c r="K402" s="77"/>
      <c r="L402" s="77"/>
      <c r="M402" s="77"/>
      <c r="N402" s="77"/>
      <c r="O402" s="77"/>
      <c r="P402" s="83"/>
      <c r="Q402" s="77"/>
      <c r="R402" s="77"/>
      <c r="S402" s="77"/>
      <c r="T402" s="77"/>
      <c r="U402" s="77"/>
      <c r="V402" s="77"/>
    </row>
    <row r="403">
      <c r="G403" s="77"/>
      <c r="H403" s="77"/>
      <c r="I403" s="83"/>
      <c r="J403" s="77"/>
      <c r="K403" s="77"/>
      <c r="L403" s="77"/>
      <c r="M403" s="77"/>
      <c r="N403" s="77"/>
      <c r="O403" s="77"/>
      <c r="P403" s="83"/>
      <c r="Q403" s="77"/>
      <c r="R403" s="77"/>
      <c r="S403" s="77"/>
      <c r="T403" s="77"/>
      <c r="U403" s="77"/>
      <c r="V403" s="77"/>
    </row>
    <row r="404">
      <c r="G404" s="77"/>
      <c r="H404" s="77"/>
      <c r="I404" s="83"/>
      <c r="J404" s="77"/>
      <c r="K404" s="77"/>
      <c r="L404" s="77"/>
      <c r="M404" s="77"/>
      <c r="N404" s="77"/>
      <c r="O404" s="77"/>
      <c r="P404" s="83"/>
      <c r="Q404" s="77"/>
      <c r="R404" s="77"/>
      <c r="S404" s="77"/>
      <c r="T404" s="77"/>
      <c r="U404" s="77"/>
      <c r="V404" s="77"/>
    </row>
    <row r="405">
      <c r="G405" s="77"/>
      <c r="H405" s="77"/>
      <c r="I405" s="83"/>
      <c r="J405" s="77"/>
      <c r="K405" s="77"/>
      <c r="L405" s="77"/>
      <c r="M405" s="77"/>
      <c r="N405" s="77"/>
      <c r="O405" s="77"/>
      <c r="P405" s="83"/>
      <c r="Q405" s="77"/>
      <c r="R405" s="77"/>
      <c r="S405" s="77"/>
      <c r="T405" s="77"/>
      <c r="U405" s="77"/>
      <c r="V405" s="77"/>
    </row>
    <row r="406">
      <c r="G406" s="77"/>
      <c r="H406" s="77"/>
      <c r="I406" s="83"/>
      <c r="J406" s="77"/>
      <c r="K406" s="77"/>
      <c r="L406" s="77"/>
      <c r="M406" s="77"/>
      <c r="N406" s="77"/>
      <c r="O406" s="77"/>
      <c r="P406" s="83"/>
      <c r="Q406" s="77"/>
      <c r="R406" s="77"/>
      <c r="S406" s="77"/>
      <c r="T406" s="77"/>
      <c r="U406" s="77"/>
      <c r="V406" s="77"/>
    </row>
    <row r="407">
      <c r="G407" s="77"/>
      <c r="H407" s="77"/>
      <c r="I407" s="83"/>
      <c r="J407" s="77"/>
      <c r="K407" s="77"/>
      <c r="L407" s="77"/>
      <c r="M407" s="77"/>
      <c r="N407" s="77"/>
      <c r="O407" s="77"/>
      <c r="P407" s="83"/>
      <c r="Q407" s="77"/>
      <c r="R407" s="77"/>
      <c r="S407" s="77"/>
      <c r="T407" s="77"/>
      <c r="U407" s="77"/>
      <c r="V407" s="77"/>
    </row>
    <row r="408">
      <c r="G408" s="77"/>
      <c r="H408" s="77"/>
      <c r="I408" s="83"/>
      <c r="J408" s="77"/>
      <c r="K408" s="77"/>
      <c r="L408" s="77"/>
      <c r="M408" s="77"/>
      <c r="N408" s="77"/>
      <c r="O408" s="77"/>
      <c r="P408" s="83"/>
      <c r="Q408" s="77"/>
      <c r="R408" s="77"/>
      <c r="S408" s="77"/>
      <c r="T408" s="77"/>
      <c r="U408" s="77"/>
      <c r="V408" s="77"/>
    </row>
    <row r="409">
      <c r="G409" s="77"/>
      <c r="H409" s="77"/>
      <c r="I409" s="83"/>
      <c r="J409" s="77"/>
      <c r="K409" s="77"/>
      <c r="L409" s="77"/>
      <c r="M409" s="77"/>
      <c r="N409" s="77"/>
      <c r="O409" s="77"/>
      <c r="P409" s="83"/>
      <c r="Q409" s="77"/>
      <c r="R409" s="77"/>
      <c r="S409" s="77"/>
      <c r="T409" s="77"/>
      <c r="U409" s="77"/>
      <c r="V409" s="77"/>
    </row>
    <row r="410">
      <c r="G410" s="77"/>
      <c r="H410" s="77"/>
      <c r="I410" s="83"/>
      <c r="J410" s="77"/>
      <c r="K410" s="77"/>
      <c r="L410" s="77"/>
      <c r="M410" s="77"/>
      <c r="N410" s="77"/>
      <c r="O410" s="77"/>
      <c r="P410" s="83"/>
      <c r="Q410" s="77"/>
      <c r="R410" s="77"/>
      <c r="S410" s="77"/>
      <c r="T410" s="77"/>
      <c r="U410" s="77"/>
      <c r="V410" s="77"/>
    </row>
    <row r="411">
      <c r="G411" s="77"/>
      <c r="H411" s="77"/>
      <c r="I411" s="83"/>
      <c r="J411" s="77"/>
      <c r="K411" s="77"/>
      <c r="L411" s="77"/>
      <c r="M411" s="77"/>
      <c r="N411" s="77"/>
      <c r="O411" s="77"/>
      <c r="P411" s="83"/>
      <c r="Q411" s="77"/>
      <c r="R411" s="77"/>
      <c r="S411" s="77"/>
      <c r="T411" s="77"/>
      <c r="U411" s="77"/>
      <c r="V411" s="77"/>
    </row>
    <row r="412">
      <c r="G412" s="77"/>
      <c r="H412" s="77"/>
      <c r="I412" s="83"/>
      <c r="J412" s="77"/>
      <c r="K412" s="77"/>
      <c r="L412" s="77"/>
      <c r="M412" s="77"/>
      <c r="N412" s="77"/>
      <c r="O412" s="77"/>
      <c r="P412" s="83"/>
      <c r="Q412" s="77"/>
      <c r="R412" s="77"/>
      <c r="S412" s="77"/>
      <c r="T412" s="77"/>
      <c r="U412" s="77"/>
      <c r="V412" s="77"/>
    </row>
    <row r="413">
      <c r="G413" s="77"/>
      <c r="H413" s="77"/>
      <c r="I413" s="83"/>
      <c r="J413" s="77"/>
      <c r="K413" s="77"/>
      <c r="L413" s="77"/>
      <c r="M413" s="77"/>
      <c r="N413" s="77"/>
      <c r="O413" s="77"/>
      <c r="P413" s="83"/>
      <c r="Q413" s="77"/>
      <c r="R413" s="77"/>
      <c r="S413" s="77"/>
      <c r="T413" s="77"/>
      <c r="U413" s="77"/>
      <c r="V413" s="77"/>
    </row>
    <row r="414">
      <c r="G414" s="77"/>
      <c r="H414" s="77"/>
      <c r="I414" s="83"/>
      <c r="J414" s="77"/>
      <c r="K414" s="77"/>
      <c r="L414" s="77"/>
      <c r="M414" s="77"/>
      <c r="N414" s="77"/>
      <c r="O414" s="77"/>
      <c r="P414" s="83"/>
      <c r="Q414" s="77"/>
      <c r="R414" s="77"/>
      <c r="S414" s="77"/>
      <c r="T414" s="77"/>
      <c r="U414" s="77"/>
      <c r="V414" s="77"/>
    </row>
    <row r="415">
      <c r="G415" s="77"/>
      <c r="H415" s="77"/>
      <c r="I415" s="83"/>
      <c r="J415" s="77"/>
      <c r="K415" s="77"/>
      <c r="L415" s="77"/>
      <c r="M415" s="77"/>
      <c r="N415" s="77"/>
      <c r="O415" s="77"/>
      <c r="P415" s="83"/>
      <c r="Q415" s="77"/>
      <c r="R415" s="77"/>
      <c r="S415" s="77"/>
      <c r="T415" s="77"/>
      <c r="U415" s="77"/>
      <c r="V415" s="77"/>
    </row>
    <row r="416">
      <c r="G416" s="77"/>
      <c r="H416" s="77"/>
      <c r="I416" s="83"/>
      <c r="J416" s="77"/>
      <c r="K416" s="77"/>
      <c r="L416" s="77"/>
      <c r="M416" s="77"/>
      <c r="N416" s="77"/>
      <c r="O416" s="77"/>
      <c r="P416" s="83"/>
      <c r="Q416" s="77"/>
      <c r="R416" s="77"/>
      <c r="S416" s="77"/>
      <c r="T416" s="77"/>
      <c r="U416" s="77"/>
      <c r="V416" s="77"/>
    </row>
    <row r="417">
      <c r="G417" s="77"/>
      <c r="H417" s="77"/>
      <c r="I417" s="83"/>
      <c r="J417" s="77"/>
      <c r="K417" s="77"/>
      <c r="L417" s="77"/>
      <c r="M417" s="77"/>
      <c r="N417" s="77"/>
      <c r="O417" s="77"/>
      <c r="P417" s="83"/>
      <c r="Q417" s="77"/>
      <c r="R417" s="77"/>
      <c r="S417" s="77"/>
      <c r="T417" s="77"/>
      <c r="U417" s="77"/>
      <c r="V417" s="77"/>
    </row>
    <row r="418">
      <c r="G418" s="77"/>
      <c r="H418" s="77"/>
      <c r="I418" s="83"/>
      <c r="J418" s="77"/>
      <c r="K418" s="77"/>
      <c r="L418" s="77"/>
      <c r="M418" s="77"/>
      <c r="N418" s="77"/>
      <c r="O418" s="77"/>
      <c r="P418" s="83"/>
      <c r="Q418" s="77"/>
      <c r="R418" s="77"/>
      <c r="S418" s="77"/>
      <c r="T418" s="77"/>
      <c r="U418" s="77"/>
      <c r="V418" s="77"/>
    </row>
    <row r="419">
      <c r="G419" s="77"/>
      <c r="H419" s="77"/>
      <c r="I419" s="83"/>
      <c r="J419" s="77"/>
      <c r="K419" s="77"/>
      <c r="L419" s="77"/>
      <c r="M419" s="77"/>
      <c r="N419" s="77"/>
      <c r="O419" s="77"/>
      <c r="P419" s="83"/>
      <c r="Q419" s="77"/>
      <c r="R419" s="77"/>
      <c r="S419" s="77"/>
      <c r="T419" s="77"/>
      <c r="U419" s="77"/>
      <c r="V419" s="77"/>
    </row>
    <row r="420">
      <c r="G420" s="77"/>
      <c r="H420" s="77"/>
      <c r="I420" s="83"/>
      <c r="J420" s="77"/>
      <c r="K420" s="77"/>
      <c r="L420" s="77"/>
      <c r="M420" s="77"/>
      <c r="N420" s="77"/>
      <c r="O420" s="77"/>
      <c r="P420" s="83"/>
      <c r="Q420" s="77"/>
      <c r="R420" s="77"/>
      <c r="S420" s="77"/>
      <c r="T420" s="77"/>
      <c r="U420" s="77"/>
      <c r="V420" s="77"/>
    </row>
    <row r="421">
      <c r="G421" s="77"/>
      <c r="H421" s="77"/>
      <c r="I421" s="83"/>
      <c r="J421" s="77"/>
      <c r="K421" s="77"/>
      <c r="L421" s="77"/>
      <c r="M421" s="77"/>
      <c r="N421" s="77"/>
      <c r="O421" s="77"/>
      <c r="P421" s="83"/>
      <c r="Q421" s="77"/>
      <c r="R421" s="77"/>
      <c r="S421" s="77"/>
      <c r="T421" s="77"/>
      <c r="U421" s="77"/>
      <c r="V421" s="77"/>
    </row>
    <row r="422">
      <c r="G422" s="77"/>
      <c r="H422" s="77"/>
      <c r="I422" s="83"/>
      <c r="J422" s="77"/>
      <c r="K422" s="77"/>
      <c r="L422" s="77"/>
      <c r="M422" s="77"/>
      <c r="N422" s="77"/>
      <c r="O422" s="77"/>
      <c r="P422" s="83"/>
      <c r="Q422" s="77"/>
      <c r="R422" s="77"/>
      <c r="S422" s="77"/>
      <c r="T422" s="77"/>
      <c r="U422" s="77"/>
      <c r="V422" s="77"/>
    </row>
    <row r="423">
      <c r="G423" s="77"/>
      <c r="H423" s="77"/>
      <c r="I423" s="83"/>
      <c r="J423" s="77"/>
      <c r="K423" s="77"/>
      <c r="L423" s="77"/>
      <c r="M423" s="77"/>
      <c r="N423" s="77"/>
      <c r="O423" s="77"/>
      <c r="P423" s="83"/>
      <c r="Q423" s="77"/>
      <c r="R423" s="77"/>
      <c r="S423" s="77"/>
      <c r="T423" s="77"/>
      <c r="U423" s="77"/>
      <c r="V423" s="77"/>
    </row>
    <row r="424">
      <c r="G424" s="77"/>
      <c r="H424" s="77"/>
      <c r="I424" s="83"/>
      <c r="J424" s="77"/>
      <c r="K424" s="77"/>
      <c r="L424" s="77"/>
      <c r="M424" s="77"/>
      <c r="N424" s="77"/>
      <c r="O424" s="77"/>
      <c r="P424" s="83"/>
      <c r="Q424" s="77"/>
      <c r="R424" s="77"/>
      <c r="S424" s="77"/>
      <c r="T424" s="77"/>
      <c r="U424" s="77"/>
      <c r="V424" s="77"/>
    </row>
    <row r="425">
      <c r="G425" s="77"/>
      <c r="H425" s="77"/>
      <c r="I425" s="83"/>
      <c r="J425" s="77"/>
      <c r="K425" s="77"/>
      <c r="L425" s="77"/>
      <c r="M425" s="77"/>
      <c r="N425" s="77"/>
      <c r="O425" s="77"/>
      <c r="P425" s="83"/>
      <c r="Q425" s="77"/>
      <c r="R425" s="77"/>
      <c r="S425" s="77"/>
      <c r="T425" s="77"/>
      <c r="U425" s="77"/>
      <c r="V425" s="77"/>
    </row>
    <row r="426">
      <c r="G426" s="77"/>
      <c r="H426" s="77"/>
      <c r="I426" s="83"/>
      <c r="J426" s="77"/>
      <c r="K426" s="77"/>
      <c r="L426" s="77"/>
      <c r="M426" s="77"/>
      <c r="N426" s="77"/>
      <c r="O426" s="77"/>
      <c r="P426" s="83"/>
      <c r="Q426" s="77"/>
      <c r="R426" s="77"/>
      <c r="S426" s="77"/>
      <c r="T426" s="77"/>
      <c r="U426" s="77"/>
      <c r="V426" s="77"/>
    </row>
    <row r="427">
      <c r="G427" s="77"/>
      <c r="H427" s="77"/>
      <c r="I427" s="83"/>
      <c r="J427" s="77"/>
      <c r="K427" s="77"/>
      <c r="L427" s="77"/>
      <c r="M427" s="77"/>
      <c r="N427" s="77"/>
      <c r="O427" s="77"/>
      <c r="P427" s="83"/>
      <c r="Q427" s="77"/>
      <c r="R427" s="77"/>
      <c r="S427" s="77"/>
      <c r="T427" s="77"/>
      <c r="U427" s="77"/>
      <c r="V427" s="77"/>
    </row>
    <row r="428">
      <c r="G428" s="77"/>
      <c r="H428" s="77"/>
      <c r="I428" s="83"/>
      <c r="J428" s="77"/>
      <c r="K428" s="77"/>
      <c r="L428" s="77"/>
      <c r="M428" s="77"/>
      <c r="N428" s="77"/>
      <c r="O428" s="77"/>
      <c r="P428" s="83"/>
      <c r="Q428" s="77"/>
      <c r="R428" s="77"/>
      <c r="S428" s="77"/>
      <c r="T428" s="77"/>
      <c r="U428" s="77"/>
      <c r="V428" s="77"/>
    </row>
    <row r="429">
      <c r="G429" s="77"/>
      <c r="H429" s="77"/>
      <c r="I429" s="83"/>
      <c r="J429" s="77"/>
      <c r="K429" s="77"/>
      <c r="L429" s="77"/>
      <c r="M429" s="77"/>
      <c r="N429" s="77"/>
      <c r="O429" s="77"/>
      <c r="P429" s="83"/>
      <c r="Q429" s="77"/>
      <c r="R429" s="77"/>
      <c r="S429" s="77"/>
      <c r="T429" s="77"/>
      <c r="U429" s="77"/>
      <c r="V429" s="77"/>
    </row>
    <row r="430">
      <c r="G430" s="77"/>
      <c r="H430" s="77"/>
      <c r="I430" s="83"/>
      <c r="J430" s="77"/>
      <c r="K430" s="77"/>
      <c r="L430" s="77"/>
      <c r="M430" s="77"/>
      <c r="N430" s="77"/>
      <c r="O430" s="77"/>
      <c r="P430" s="83"/>
      <c r="Q430" s="77"/>
      <c r="R430" s="77"/>
      <c r="S430" s="77"/>
      <c r="T430" s="77"/>
      <c r="U430" s="77"/>
      <c r="V430" s="77"/>
    </row>
    <row r="431">
      <c r="G431" s="77"/>
      <c r="H431" s="77"/>
      <c r="I431" s="83"/>
      <c r="J431" s="77"/>
      <c r="K431" s="77"/>
      <c r="L431" s="77"/>
      <c r="M431" s="77"/>
      <c r="N431" s="77"/>
      <c r="O431" s="77"/>
      <c r="P431" s="83"/>
      <c r="Q431" s="77"/>
      <c r="R431" s="77"/>
      <c r="S431" s="77"/>
      <c r="T431" s="77"/>
      <c r="U431" s="77"/>
      <c r="V431" s="77"/>
    </row>
    <row r="432">
      <c r="G432" s="77"/>
      <c r="H432" s="77"/>
      <c r="I432" s="83"/>
      <c r="J432" s="77"/>
      <c r="K432" s="77"/>
      <c r="L432" s="77"/>
      <c r="M432" s="77"/>
      <c r="N432" s="77"/>
      <c r="O432" s="77"/>
      <c r="P432" s="83"/>
      <c r="Q432" s="77"/>
      <c r="R432" s="77"/>
      <c r="S432" s="77"/>
      <c r="T432" s="77"/>
      <c r="U432" s="77"/>
      <c r="V432" s="77"/>
    </row>
    <row r="433">
      <c r="G433" s="77"/>
      <c r="H433" s="77"/>
      <c r="I433" s="83"/>
      <c r="J433" s="77"/>
      <c r="K433" s="77"/>
      <c r="L433" s="77"/>
      <c r="M433" s="77"/>
      <c r="N433" s="77"/>
      <c r="O433" s="77"/>
      <c r="P433" s="83"/>
      <c r="Q433" s="77"/>
      <c r="R433" s="77"/>
      <c r="S433" s="77"/>
      <c r="T433" s="77"/>
      <c r="U433" s="77"/>
      <c r="V433" s="77"/>
    </row>
    <row r="434">
      <c r="G434" s="77"/>
      <c r="H434" s="77"/>
      <c r="I434" s="83"/>
      <c r="J434" s="77"/>
      <c r="K434" s="77"/>
      <c r="L434" s="77"/>
      <c r="M434" s="77"/>
      <c r="N434" s="77"/>
      <c r="O434" s="77"/>
      <c r="P434" s="83"/>
      <c r="Q434" s="77"/>
      <c r="R434" s="77"/>
      <c r="S434" s="77"/>
      <c r="T434" s="77"/>
      <c r="U434" s="77"/>
      <c r="V434" s="77"/>
    </row>
    <row r="435">
      <c r="G435" s="77"/>
      <c r="H435" s="77"/>
      <c r="I435" s="83"/>
      <c r="J435" s="77"/>
      <c r="K435" s="77"/>
      <c r="L435" s="77"/>
      <c r="M435" s="77"/>
      <c r="N435" s="77"/>
      <c r="O435" s="77"/>
      <c r="P435" s="83"/>
      <c r="Q435" s="77"/>
      <c r="R435" s="77"/>
      <c r="S435" s="77"/>
      <c r="T435" s="77"/>
      <c r="U435" s="77"/>
      <c r="V435" s="77"/>
    </row>
    <row r="436">
      <c r="G436" s="77"/>
      <c r="H436" s="77"/>
      <c r="I436" s="83"/>
      <c r="J436" s="77"/>
      <c r="K436" s="77"/>
      <c r="L436" s="77"/>
      <c r="M436" s="77"/>
      <c r="N436" s="77"/>
      <c r="O436" s="77"/>
      <c r="P436" s="83"/>
      <c r="Q436" s="77"/>
      <c r="R436" s="77"/>
      <c r="S436" s="77"/>
      <c r="T436" s="77"/>
      <c r="U436" s="77"/>
      <c r="V436" s="77"/>
    </row>
    <row r="437">
      <c r="G437" s="77"/>
      <c r="H437" s="77"/>
      <c r="I437" s="83"/>
      <c r="J437" s="77"/>
      <c r="K437" s="77"/>
      <c r="L437" s="77"/>
      <c r="M437" s="77"/>
      <c r="N437" s="77"/>
      <c r="O437" s="77"/>
      <c r="P437" s="83"/>
      <c r="Q437" s="77"/>
      <c r="R437" s="77"/>
      <c r="S437" s="77"/>
      <c r="T437" s="77"/>
      <c r="U437" s="77"/>
      <c r="V437" s="77"/>
    </row>
    <row r="438">
      <c r="G438" s="77"/>
      <c r="H438" s="77"/>
      <c r="I438" s="83"/>
      <c r="J438" s="77"/>
      <c r="K438" s="77"/>
      <c r="L438" s="77"/>
      <c r="M438" s="77"/>
      <c r="N438" s="77"/>
      <c r="O438" s="77"/>
      <c r="P438" s="83"/>
      <c r="Q438" s="77"/>
      <c r="R438" s="77"/>
      <c r="S438" s="77"/>
      <c r="T438" s="77"/>
      <c r="U438" s="77"/>
      <c r="V438" s="77"/>
    </row>
    <row r="439">
      <c r="G439" s="77"/>
      <c r="H439" s="77"/>
      <c r="I439" s="83"/>
      <c r="J439" s="77"/>
      <c r="K439" s="77"/>
      <c r="L439" s="77"/>
      <c r="M439" s="77"/>
      <c r="N439" s="77"/>
      <c r="O439" s="77"/>
      <c r="P439" s="83"/>
      <c r="Q439" s="77"/>
      <c r="R439" s="77"/>
      <c r="S439" s="77"/>
      <c r="T439" s="77"/>
      <c r="U439" s="77"/>
      <c r="V439" s="77"/>
    </row>
    <row r="440">
      <c r="G440" s="77"/>
      <c r="H440" s="77"/>
      <c r="I440" s="83"/>
      <c r="J440" s="77"/>
      <c r="K440" s="77"/>
      <c r="L440" s="77"/>
      <c r="M440" s="77"/>
      <c r="N440" s="77"/>
      <c r="O440" s="77"/>
      <c r="P440" s="83"/>
      <c r="Q440" s="77"/>
      <c r="R440" s="77"/>
      <c r="S440" s="77"/>
      <c r="T440" s="77"/>
      <c r="U440" s="77"/>
      <c r="V440" s="77"/>
    </row>
    <row r="441">
      <c r="G441" s="77"/>
      <c r="H441" s="77"/>
      <c r="I441" s="83"/>
      <c r="J441" s="77"/>
      <c r="K441" s="77"/>
      <c r="L441" s="77"/>
      <c r="M441" s="77"/>
      <c r="N441" s="77"/>
      <c r="O441" s="77"/>
      <c r="P441" s="83"/>
      <c r="Q441" s="77"/>
      <c r="R441" s="77"/>
      <c r="S441" s="77"/>
      <c r="T441" s="77"/>
      <c r="U441" s="77"/>
      <c r="V441" s="77"/>
    </row>
    <row r="442">
      <c r="G442" s="77"/>
      <c r="H442" s="77"/>
      <c r="I442" s="83"/>
      <c r="J442" s="77"/>
      <c r="K442" s="77"/>
      <c r="L442" s="77"/>
      <c r="M442" s="77"/>
      <c r="N442" s="77"/>
      <c r="O442" s="77"/>
      <c r="P442" s="83"/>
      <c r="Q442" s="77"/>
      <c r="R442" s="77"/>
      <c r="S442" s="77"/>
      <c r="T442" s="77"/>
      <c r="U442" s="77"/>
      <c r="V442" s="77"/>
    </row>
    <row r="443">
      <c r="G443" s="77"/>
      <c r="H443" s="77"/>
      <c r="I443" s="83"/>
      <c r="J443" s="77"/>
      <c r="K443" s="77"/>
      <c r="L443" s="77"/>
      <c r="M443" s="77"/>
      <c r="N443" s="77"/>
      <c r="O443" s="77"/>
      <c r="P443" s="83"/>
      <c r="Q443" s="77"/>
      <c r="R443" s="77"/>
      <c r="S443" s="77"/>
      <c r="T443" s="77"/>
      <c r="U443" s="77"/>
      <c r="V443" s="77"/>
    </row>
  </sheetData>
  <mergeCells count="2">
    <mergeCell ref="C1:I1"/>
    <mergeCell ref="J1:P1"/>
  </mergeCells>
  <conditionalFormatting sqref="Q3:Q443">
    <cfRule type="cellIs" dxfId="0" priority="1" operator="equal">
      <formula>"Diferente"</formula>
    </cfRule>
  </conditionalFormatting>
  <conditionalFormatting sqref="Q3:Q443">
    <cfRule type="cellIs" dxfId="1" priority="2" operator="equal">
      <formula>"Igual"</formula>
    </cfRule>
  </conditionalFormatting>
  <conditionalFormatting sqref="A1:B2 Q1:T2 X1:Z2 C2:P2 U2:W2">
    <cfRule type="notContainsBlanks" dxfId="2" priority="3">
      <formula>LEN(TRIM(A1))&gt;0</formula>
    </cfRule>
  </conditionalFormatting>
  <conditionalFormatting sqref="U3:U443">
    <cfRule type="cellIs" dxfId="1" priority="4" operator="equal">
      <formula>"Sim"</formula>
    </cfRule>
  </conditionalFormatting>
  <conditionalFormatting sqref="U3:U443">
    <cfRule type="cellIs" dxfId="0" priority="5" operator="equal">
      <formula>"Não"</formula>
    </cfRule>
  </conditionalFormatting>
  <dataValidations>
    <dataValidation type="list" allowBlank="1" showErrorMessage="1" sqref="C3:G105 J3:N105">
      <formula1>"0 ,0,5,1 "</formula1>
    </dataValidation>
    <dataValidation type="list" allowBlank="1" showErrorMessage="1" sqref="T3:T105">
      <formula1>"LLM 1,LLM 2,Ambas,Nenhuma"</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25"/>
    <col customWidth="1" min="2" max="2" width="13.63"/>
    <col customWidth="1" min="3" max="3" width="30.0"/>
    <col customWidth="1" min="4" max="4" width="24.88"/>
    <col customWidth="1" min="5" max="5" width="15.38"/>
    <col customWidth="1" min="6" max="6" width="6.0"/>
    <col customWidth="1" min="7" max="7" width="11.25"/>
    <col customWidth="1" min="8" max="8" width="10.38"/>
    <col customWidth="1" min="9" max="10" width="13.0"/>
    <col customWidth="1" min="11" max="11" width="28.75"/>
    <col customWidth="1" min="12" max="12" width="27.13"/>
    <col customWidth="1" min="13" max="13" width="25.38"/>
  </cols>
  <sheetData>
    <row r="1">
      <c r="A1" s="88" t="s">
        <v>142</v>
      </c>
      <c r="D1" s="88"/>
      <c r="E1" s="88"/>
      <c r="F1" s="88"/>
      <c r="G1" s="88"/>
      <c r="H1" s="88"/>
      <c r="I1" s="88"/>
      <c r="J1" s="73"/>
      <c r="K1" s="73"/>
      <c r="L1" s="73"/>
      <c r="M1" s="73"/>
      <c r="N1" s="73"/>
      <c r="O1" s="73"/>
      <c r="P1" s="73"/>
      <c r="Q1" s="73"/>
    </row>
    <row r="2">
      <c r="A2" s="88" t="s">
        <v>144</v>
      </c>
      <c r="D2" s="88"/>
      <c r="E2" s="88"/>
      <c r="F2" s="88"/>
      <c r="G2" s="88"/>
      <c r="H2" s="88"/>
      <c r="I2" s="88"/>
      <c r="J2" s="73"/>
      <c r="K2" s="73"/>
      <c r="L2" s="73"/>
      <c r="M2" s="73"/>
      <c r="N2" s="73"/>
      <c r="O2" s="73"/>
      <c r="P2" s="73"/>
      <c r="Q2" s="73"/>
    </row>
    <row r="3" ht="45.75" customHeight="1">
      <c r="A3" s="75" t="s">
        <v>1688</v>
      </c>
      <c r="B3" s="75" t="s">
        <v>1689</v>
      </c>
      <c r="C3" s="75" t="s">
        <v>1690</v>
      </c>
      <c r="D3" s="75" t="s">
        <v>1369</v>
      </c>
      <c r="E3" s="75" t="s">
        <v>1691</v>
      </c>
      <c r="F3" s="75" t="s">
        <v>1692</v>
      </c>
      <c r="G3" s="75" t="s">
        <v>1693</v>
      </c>
      <c r="H3" s="75" t="s">
        <v>1694</v>
      </c>
      <c r="I3" s="75" t="s">
        <v>146</v>
      </c>
      <c r="J3" s="75" t="s">
        <v>1695</v>
      </c>
      <c r="K3" s="75" t="s">
        <v>1696</v>
      </c>
      <c r="L3" s="75" t="s">
        <v>1697</v>
      </c>
      <c r="M3" s="75" t="s">
        <v>1698</v>
      </c>
      <c r="N3" s="75" t="s">
        <v>1699</v>
      </c>
      <c r="O3" s="75" t="s">
        <v>1700</v>
      </c>
      <c r="P3" s="75" t="s">
        <v>1701</v>
      </c>
      <c r="Q3" s="75" t="s">
        <v>1702</v>
      </c>
    </row>
    <row r="4">
      <c r="A4" s="76" t="s">
        <v>1703</v>
      </c>
      <c r="B4" s="76" t="s">
        <v>1704</v>
      </c>
      <c r="C4" s="76" t="s">
        <v>1705</v>
      </c>
      <c r="D4" s="55" t="s">
        <v>161</v>
      </c>
      <c r="E4" s="43" t="s">
        <v>1706</v>
      </c>
      <c r="F4" s="55">
        <v>2025.0</v>
      </c>
      <c r="G4" s="55" t="s">
        <v>160</v>
      </c>
      <c r="H4" s="55" t="s">
        <v>1707</v>
      </c>
      <c r="I4" s="55" t="s">
        <v>34</v>
      </c>
      <c r="J4" s="55" t="s">
        <v>1708</v>
      </c>
      <c r="K4" s="89" t="s">
        <v>1709</v>
      </c>
      <c r="L4" s="89" t="s">
        <v>1710</v>
      </c>
      <c r="M4" s="55" t="s">
        <v>1711</v>
      </c>
      <c r="N4" s="55" t="s">
        <v>1712</v>
      </c>
      <c r="O4" s="55" t="s">
        <v>1712</v>
      </c>
      <c r="P4" s="86" t="str">
        <f t="shared" ref="P4:P995" si="1">IF(OR(N4="",O4=""),"",IF(N4=O4,"Igual","Diferente"))</f>
        <v>Igual</v>
      </c>
    </row>
    <row r="5">
      <c r="B5" s="86"/>
      <c r="J5" s="55" t="s">
        <v>1713</v>
      </c>
      <c r="K5" s="90" t="s">
        <v>1714</v>
      </c>
      <c r="L5" s="89" t="s">
        <v>1715</v>
      </c>
      <c r="M5" s="55" t="s">
        <v>1716</v>
      </c>
      <c r="N5" s="55" t="s">
        <v>1712</v>
      </c>
      <c r="O5" s="55" t="s">
        <v>1712</v>
      </c>
      <c r="P5" s="86" t="str">
        <f t="shared" si="1"/>
        <v>Igual</v>
      </c>
    </row>
    <row r="6">
      <c r="B6" s="86"/>
      <c r="J6" s="55" t="s">
        <v>1717</v>
      </c>
      <c r="K6" s="90" t="s">
        <v>1718</v>
      </c>
      <c r="L6" s="89" t="s">
        <v>1719</v>
      </c>
      <c r="M6" s="55" t="s">
        <v>1720</v>
      </c>
      <c r="N6" s="55" t="s">
        <v>166</v>
      </c>
      <c r="O6" s="55" t="s">
        <v>165</v>
      </c>
      <c r="P6" s="86" t="str">
        <f t="shared" si="1"/>
        <v>Diferente</v>
      </c>
    </row>
    <row r="7">
      <c r="B7" s="86"/>
      <c r="J7" s="55" t="s">
        <v>1721</v>
      </c>
      <c r="K7" s="89" t="s">
        <v>1722</v>
      </c>
      <c r="L7" s="89" t="s">
        <v>1723</v>
      </c>
      <c r="M7" s="55" t="s">
        <v>1724</v>
      </c>
      <c r="N7" s="55" t="s">
        <v>1712</v>
      </c>
      <c r="O7" s="55" t="s">
        <v>1712</v>
      </c>
      <c r="P7" s="86" t="str">
        <f t="shared" si="1"/>
        <v>Igual</v>
      </c>
    </row>
    <row r="8">
      <c r="B8" s="86"/>
      <c r="J8" s="55" t="s">
        <v>1725</v>
      </c>
      <c r="K8" s="89" t="s">
        <v>1718</v>
      </c>
      <c r="L8" s="89" t="s">
        <v>1726</v>
      </c>
      <c r="M8" s="55" t="s">
        <v>1727</v>
      </c>
      <c r="N8" s="55" t="s">
        <v>166</v>
      </c>
      <c r="O8" s="55" t="s">
        <v>1712</v>
      </c>
      <c r="P8" s="86" t="str">
        <f t="shared" si="1"/>
        <v>Diferente</v>
      </c>
    </row>
    <row r="9">
      <c r="A9" s="76" t="s">
        <v>1374</v>
      </c>
      <c r="B9" s="55" t="s">
        <v>1704</v>
      </c>
      <c r="C9" s="55" t="s">
        <v>1728</v>
      </c>
      <c r="D9" s="55" t="s">
        <v>1729</v>
      </c>
      <c r="E9" s="43" t="s">
        <v>1730</v>
      </c>
      <c r="F9" s="55">
        <v>2024.0</v>
      </c>
      <c r="G9" s="55" t="s">
        <v>1731</v>
      </c>
      <c r="H9" s="55" t="s">
        <v>1732</v>
      </c>
      <c r="I9" s="55" t="s">
        <v>34</v>
      </c>
      <c r="J9" s="55" t="s">
        <v>1708</v>
      </c>
      <c r="K9" s="89" t="s">
        <v>1718</v>
      </c>
      <c r="L9" s="89" t="s">
        <v>1733</v>
      </c>
      <c r="M9" s="55" t="s">
        <v>1734</v>
      </c>
      <c r="N9" s="55" t="s">
        <v>166</v>
      </c>
      <c r="O9" s="55" t="s">
        <v>165</v>
      </c>
      <c r="P9" s="86" t="str">
        <f t="shared" si="1"/>
        <v>Diferente</v>
      </c>
    </row>
    <row r="10">
      <c r="B10" s="86"/>
      <c r="J10" s="55" t="s">
        <v>1713</v>
      </c>
      <c r="K10" s="89" t="s">
        <v>1735</v>
      </c>
      <c r="L10" s="89" t="s">
        <v>1736</v>
      </c>
      <c r="M10" s="55" t="s">
        <v>1736</v>
      </c>
      <c r="N10" s="55" t="s">
        <v>1712</v>
      </c>
      <c r="O10" s="55" t="s">
        <v>165</v>
      </c>
      <c r="P10" s="86" t="str">
        <f t="shared" si="1"/>
        <v>Diferente</v>
      </c>
    </row>
    <row r="11">
      <c r="B11" s="86"/>
      <c r="J11" s="55" t="s">
        <v>1717</v>
      </c>
      <c r="K11" s="89" t="s">
        <v>1737</v>
      </c>
      <c r="L11" s="89" t="s">
        <v>1738</v>
      </c>
      <c r="M11" s="55" t="s">
        <v>1739</v>
      </c>
      <c r="N11" s="55" t="s">
        <v>166</v>
      </c>
      <c r="O11" s="55" t="s">
        <v>165</v>
      </c>
      <c r="P11" s="86" t="str">
        <f t="shared" si="1"/>
        <v>Diferente</v>
      </c>
    </row>
    <row r="12">
      <c r="B12" s="86"/>
      <c r="J12" s="55" t="s">
        <v>1721</v>
      </c>
      <c r="K12" s="89" t="s">
        <v>1718</v>
      </c>
      <c r="L12" s="89" t="s">
        <v>1740</v>
      </c>
      <c r="M12" s="89" t="s">
        <v>1741</v>
      </c>
      <c r="N12" s="55" t="s">
        <v>166</v>
      </c>
      <c r="O12" s="55" t="s">
        <v>165</v>
      </c>
      <c r="P12" s="86" t="str">
        <f t="shared" si="1"/>
        <v>Diferente</v>
      </c>
    </row>
    <row r="13">
      <c r="B13" s="86"/>
      <c r="J13" s="55" t="s">
        <v>1725</v>
      </c>
      <c r="K13" s="89" t="s">
        <v>1742</v>
      </c>
      <c r="L13" s="89" t="s">
        <v>1743</v>
      </c>
      <c r="M13" s="89" t="s">
        <v>1744</v>
      </c>
      <c r="N13" s="55" t="s">
        <v>1712</v>
      </c>
      <c r="O13" s="55" t="s">
        <v>165</v>
      </c>
      <c r="P13" s="86" t="str">
        <f t="shared" si="1"/>
        <v>Diferente</v>
      </c>
    </row>
    <row r="14">
      <c r="A14" s="91" t="s">
        <v>1378</v>
      </c>
      <c r="B14" s="55" t="s">
        <v>1745</v>
      </c>
      <c r="C14" s="55" t="s">
        <v>1746</v>
      </c>
      <c r="D14" s="55" t="s">
        <v>201</v>
      </c>
      <c r="E14" s="92" t="s">
        <v>1747</v>
      </c>
      <c r="F14" s="55">
        <v>2025.0</v>
      </c>
      <c r="G14" s="55" t="s">
        <v>1748</v>
      </c>
      <c r="H14" s="55" t="s">
        <v>1749</v>
      </c>
      <c r="I14" s="55" t="s">
        <v>34</v>
      </c>
      <c r="J14" s="55" t="s">
        <v>1708</v>
      </c>
      <c r="K14" s="89" t="s">
        <v>1718</v>
      </c>
      <c r="L14" s="89" t="s">
        <v>1750</v>
      </c>
      <c r="M14" s="55" t="s">
        <v>1750</v>
      </c>
      <c r="N14" s="55" t="s">
        <v>166</v>
      </c>
      <c r="O14" s="55" t="s">
        <v>165</v>
      </c>
      <c r="P14" s="86" t="str">
        <f t="shared" si="1"/>
        <v>Diferente</v>
      </c>
    </row>
    <row r="15">
      <c r="A15" s="93"/>
      <c r="B15" s="86"/>
      <c r="J15" s="55" t="s">
        <v>1713</v>
      </c>
      <c r="K15" s="89" t="s">
        <v>1751</v>
      </c>
      <c r="L15" s="89" t="s">
        <v>1752</v>
      </c>
      <c r="M15" s="55" t="s">
        <v>1753</v>
      </c>
      <c r="N15" s="55" t="s">
        <v>1712</v>
      </c>
      <c r="O15" s="55" t="s">
        <v>165</v>
      </c>
      <c r="P15" s="86" t="str">
        <f t="shared" si="1"/>
        <v>Diferente</v>
      </c>
    </row>
    <row r="16">
      <c r="A16" s="93"/>
      <c r="B16" s="86"/>
      <c r="J16" s="55" t="s">
        <v>1717</v>
      </c>
      <c r="K16" s="90" t="s">
        <v>1718</v>
      </c>
      <c r="L16" s="90" t="s">
        <v>1754</v>
      </c>
      <c r="N16" s="55" t="s">
        <v>1712</v>
      </c>
      <c r="O16" s="55" t="s">
        <v>165</v>
      </c>
      <c r="P16" s="86" t="str">
        <f t="shared" si="1"/>
        <v>Diferente</v>
      </c>
    </row>
    <row r="17">
      <c r="A17" s="93"/>
      <c r="B17" s="86"/>
      <c r="J17" s="55" t="s">
        <v>1721</v>
      </c>
      <c r="K17" s="90" t="s">
        <v>1755</v>
      </c>
      <c r="L17" s="90" t="s">
        <v>1756</v>
      </c>
      <c r="M17" s="55" t="s">
        <v>1756</v>
      </c>
      <c r="N17" s="55" t="s">
        <v>166</v>
      </c>
      <c r="O17" s="55" t="s">
        <v>165</v>
      </c>
      <c r="P17" s="86" t="str">
        <f t="shared" si="1"/>
        <v>Diferente</v>
      </c>
    </row>
    <row r="18">
      <c r="A18" s="93"/>
      <c r="B18" s="86"/>
      <c r="J18" s="55" t="s">
        <v>1725</v>
      </c>
      <c r="K18" s="90" t="s">
        <v>1755</v>
      </c>
      <c r="L18" s="90" t="s">
        <v>1757</v>
      </c>
      <c r="N18" s="55" t="s">
        <v>166</v>
      </c>
      <c r="O18" s="55" t="s">
        <v>165</v>
      </c>
      <c r="P18" s="86" t="str">
        <f t="shared" si="1"/>
        <v>Diferente</v>
      </c>
    </row>
    <row r="19">
      <c r="A19" s="91" t="s">
        <v>1381</v>
      </c>
      <c r="B19" s="55" t="s">
        <v>1745</v>
      </c>
      <c r="C19" s="55" t="s">
        <v>1758</v>
      </c>
      <c r="D19" s="55" t="s">
        <v>607</v>
      </c>
      <c r="E19" s="43" t="s">
        <v>1759</v>
      </c>
      <c r="F19" s="55">
        <v>2025.0</v>
      </c>
      <c r="G19" s="55" t="s">
        <v>1760</v>
      </c>
      <c r="H19" s="55" t="s">
        <v>1761</v>
      </c>
      <c r="I19" s="55" t="s">
        <v>31</v>
      </c>
      <c r="J19" s="55" t="s">
        <v>1708</v>
      </c>
      <c r="K19" s="90" t="s">
        <v>1755</v>
      </c>
      <c r="L19" s="90" t="s">
        <v>1762</v>
      </c>
      <c r="M19" s="55" t="s">
        <v>1763</v>
      </c>
      <c r="N19" s="55" t="s">
        <v>166</v>
      </c>
      <c r="O19" s="55" t="s">
        <v>1712</v>
      </c>
      <c r="P19" s="86" t="str">
        <f t="shared" si="1"/>
        <v>Diferente</v>
      </c>
    </row>
    <row r="20">
      <c r="A20" s="93"/>
      <c r="B20" s="86"/>
      <c r="J20" s="55" t="s">
        <v>1713</v>
      </c>
      <c r="K20" s="90" t="s">
        <v>1764</v>
      </c>
      <c r="L20" s="90" t="s">
        <v>1765</v>
      </c>
      <c r="M20" s="55" t="s">
        <v>1766</v>
      </c>
      <c r="N20" s="55" t="s">
        <v>165</v>
      </c>
      <c r="O20" s="55" t="s">
        <v>165</v>
      </c>
      <c r="P20" s="86" t="str">
        <f t="shared" si="1"/>
        <v>Igual</v>
      </c>
    </row>
    <row r="21">
      <c r="A21" s="93"/>
      <c r="B21" s="86"/>
      <c r="J21" s="55" t="s">
        <v>1717</v>
      </c>
      <c r="K21" s="90" t="s">
        <v>1767</v>
      </c>
      <c r="L21" s="90" t="s">
        <v>1768</v>
      </c>
      <c r="M21" s="55" t="s">
        <v>1769</v>
      </c>
      <c r="N21" s="55" t="s">
        <v>165</v>
      </c>
      <c r="O21" s="55" t="s">
        <v>165</v>
      </c>
      <c r="P21" s="86" t="str">
        <f t="shared" si="1"/>
        <v>Igual</v>
      </c>
    </row>
    <row r="22">
      <c r="A22" s="93"/>
      <c r="B22" s="86"/>
      <c r="J22" s="55" t="s">
        <v>1721</v>
      </c>
      <c r="K22" s="90" t="s">
        <v>1770</v>
      </c>
      <c r="L22" s="90" t="s">
        <v>1771</v>
      </c>
      <c r="M22" s="55" t="s">
        <v>1772</v>
      </c>
      <c r="N22" s="55" t="s">
        <v>165</v>
      </c>
      <c r="O22" s="55" t="s">
        <v>1712</v>
      </c>
      <c r="P22" s="86" t="str">
        <f t="shared" si="1"/>
        <v>Diferente</v>
      </c>
    </row>
    <row r="23">
      <c r="A23" s="93"/>
      <c r="B23" s="86"/>
      <c r="J23" s="55" t="s">
        <v>1725</v>
      </c>
      <c r="K23" s="90" t="s">
        <v>1755</v>
      </c>
      <c r="L23" s="90" t="s">
        <v>1773</v>
      </c>
      <c r="M23" s="55" t="s">
        <v>1773</v>
      </c>
      <c r="N23" s="55" t="s">
        <v>166</v>
      </c>
      <c r="O23" s="55" t="s">
        <v>165</v>
      </c>
      <c r="P23" s="86" t="str">
        <f t="shared" si="1"/>
        <v>Diferente</v>
      </c>
    </row>
    <row r="24">
      <c r="A24" s="76" t="s">
        <v>1384</v>
      </c>
      <c r="B24" s="55" t="s">
        <v>1704</v>
      </c>
      <c r="C24" s="55" t="s">
        <v>1774</v>
      </c>
      <c r="D24" s="55" t="s">
        <v>1775</v>
      </c>
      <c r="E24" s="43" t="s">
        <v>1776</v>
      </c>
      <c r="F24" s="55">
        <v>2024.0</v>
      </c>
      <c r="G24" s="55" t="s">
        <v>1777</v>
      </c>
      <c r="H24" s="55" t="s">
        <v>1778</v>
      </c>
      <c r="I24" s="55" t="s">
        <v>34</v>
      </c>
      <c r="J24" s="55" t="s">
        <v>1708</v>
      </c>
      <c r="K24" s="90" t="s">
        <v>1755</v>
      </c>
      <c r="L24" s="90" t="s">
        <v>1779</v>
      </c>
      <c r="M24" s="55" t="s">
        <v>1780</v>
      </c>
      <c r="N24" s="55" t="s">
        <v>166</v>
      </c>
      <c r="O24" s="55" t="s">
        <v>165</v>
      </c>
      <c r="P24" s="86" t="str">
        <f t="shared" si="1"/>
        <v>Diferente</v>
      </c>
    </row>
    <row r="25">
      <c r="B25" s="86"/>
      <c r="J25" s="55" t="s">
        <v>1713</v>
      </c>
      <c r="K25" s="90" t="s">
        <v>1781</v>
      </c>
      <c r="L25" s="90" t="s">
        <v>1782</v>
      </c>
      <c r="M25" s="55" t="s">
        <v>1782</v>
      </c>
      <c r="N25" s="55" t="s">
        <v>1712</v>
      </c>
      <c r="O25" s="55" t="s">
        <v>165</v>
      </c>
      <c r="P25" s="86" t="str">
        <f t="shared" si="1"/>
        <v>Diferente</v>
      </c>
    </row>
    <row r="26">
      <c r="B26" s="86"/>
      <c r="J26" s="55" t="s">
        <v>1717</v>
      </c>
      <c r="K26" s="90" t="s">
        <v>1783</v>
      </c>
      <c r="L26" s="90" t="s">
        <v>1784</v>
      </c>
      <c r="M26" s="55" t="s">
        <v>1785</v>
      </c>
      <c r="N26" s="55" t="s">
        <v>1712</v>
      </c>
      <c r="O26" s="55" t="s">
        <v>1712</v>
      </c>
      <c r="P26" s="86" t="str">
        <f t="shared" si="1"/>
        <v>Igual</v>
      </c>
    </row>
    <row r="27">
      <c r="B27" s="86"/>
      <c r="J27" s="55" t="s">
        <v>1721</v>
      </c>
      <c r="K27" s="90" t="s">
        <v>1786</v>
      </c>
      <c r="L27" s="90" t="s">
        <v>1787</v>
      </c>
      <c r="M27" s="55" t="s">
        <v>1788</v>
      </c>
      <c r="N27" s="55" t="s">
        <v>1712</v>
      </c>
      <c r="O27" s="55" t="s">
        <v>1712</v>
      </c>
      <c r="P27" s="86" t="str">
        <f t="shared" si="1"/>
        <v>Igual</v>
      </c>
    </row>
    <row r="28">
      <c r="B28" s="86"/>
      <c r="J28" s="55" t="s">
        <v>1725</v>
      </c>
      <c r="K28" s="90" t="s">
        <v>1755</v>
      </c>
      <c r="L28" s="90" t="s">
        <v>1789</v>
      </c>
      <c r="M28" s="55" t="s">
        <v>1789</v>
      </c>
      <c r="N28" s="55" t="s">
        <v>166</v>
      </c>
      <c r="O28" s="55" t="s">
        <v>165</v>
      </c>
      <c r="P28" s="86" t="str">
        <f t="shared" si="1"/>
        <v>Diferente</v>
      </c>
    </row>
    <row r="29">
      <c r="A29" s="76" t="s">
        <v>1390</v>
      </c>
      <c r="B29" s="55" t="s">
        <v>1704</v>
      </c>
      <c r="C29" s="55" t="s">
        <v>1790</v>
      </c>
      <c r="D29" s="55" t="s">
        <v>237</v>
      </c>
      <c r="E29" s="43" t="s">
        <v>1791</v>
      </c>
      <c r="F29" s="55">
        <v>2023.0</v>
      </c>
      <c r="G29" s="55" t="s">
        <v>1792</v>
      </c>
      <c r="H29" s="55" t="s">
        <v>1793</v>
      </c>
      <c r="I29" s="55" t="s">
        <v>34</v>
      </c>
      <c r="J29" s="55" t="s">
        <v>1708</v>
      </c>
      <c r="K29" s="90" t="s">
        <v>1755</v>
      </c>
      <c r="L29" s="90" t="s">
        <v>1794</v>
      </c>
      <c r="M29" s="55" t="s">
        <v>1795</v>
      </c>
      <c r="N29" s="55" t="s">
        <v>166</v>
      </c>
      <c r="O29" s="55" t="s">
        <v>166</v>
      </c>
      <c r="P29" s="86" t="str">
        <f t="shared" si="1"/>
        <v>Igual</v>
      </c>
    </row>
    <row r="30">
      <c r="B30" s="86"/>
      <c r="J30" s="55" t="s">
        <v>1713</v>
      </c>
      <c r="K30" s="90" t="s">
        <v>1796</v>
      </c>
      <c r="L30" s="90" t="s">
        <v>1797</v>
      </c>
      <c r="M30" s="55" t="s">
        <v>1798</v>
      </c>
      <c r="N30" s="55" t="s">
        <v>1712</v>
      </c>
      <c r="O30" s="55" t="s">
        <v>165</v>
      </c>
      <c r="P30" s="86" t="str">
        <f t="shared" si="1"/>
        <v>Diferente</v>
      </c>
    </row>
    <row r="31">
      <c r="B31" s="86"/>
      <c r="J31" s="55" t="s">
        <v>1717</v>
      </c>
      <c r="K31" s="90" t="s">
        <v>1799</v>
      </c>
      <c r="L31" s="90" t="s">
        <v>1800</v>
      </c>
      <c r="M31" s="55" t="s">
        <v>1801</v>
      </c>
      <c r="N31" s="55" t="s">
        <v>165</v>
      </c>
      <c r="O31" s="55" t="s">
        <v>165</v>
      </c>
      <c r="P31" s="86" t="str">
        <f t="shared" si="1"/>
        <v>Igual</v>
      </c>
    </row>
    <row r="32">
      <c r="B32" s="86"/>
      <c r="J32" s="55" t="s">
        <v>1721</v>
      </c>
      <c r="K32" s="90" t="s">
        <v>1802</v>
      </c>
      <c r="L32" s="90" t="s">
        <v>1803</v>
      </c>
      <c r="M32" s="55" t="s">
        <v>1804</v>
      </c>
      <c r="N32" s="55" t="s">
        <v>1712</v>
      </c>
      <c r="O32" s="55" t="s">
        <v>1712</v>
      </c>
      <c r="P32" s="86" t="str">
        <f t="shared" si="1"/>
        <v>Igual</v>
      </c>
    </row>
    <row r="33">
      <c r="B33" s="86"/>
      <c r="J33" s="55" t="s">
        <v>1725</v>
      </c>
      <c r="K33" s="90" t="s">
        <v>1805</v>
      </c>
      <c r="L33" s="90" t="s">
        <v>1806</v>
      </c>
      <c r="M33" s="55" t="s">
        <v>1806</v>
      </c>
      <c r="N33" s="55" t="s">
        <v>1712</v>
      </c>
      <c r="O33" s="55" t="s">
        <v>165</v>
      </c>
      <c r="P33" s="86" t="str">
        <f t="shared" si="1"/>
        <v>Diferente</v>
      </c>
    </row>
    <row r="34">
      <c r="A34" s="91" t="s">
        <v>1393</v>
      </c>
      <c r="B34" s="55" t="s">
        <v>1745</v>
      </c>
      <c r="C34" s="55" t="s">
        <v>1807</v>
      </c>
      <c r="D34" s="55" t="s">
        <v>1394</v>
      </c>
      <c r="E34" s="43" t="s">
        <v>1808</v>
      </c>
      <c r="F34" s="55">
        <v>2024.0</v>
      </c>
      <c r="G34" s="55" t="s">
        <v>1809</v>
      </c>
      <c r="H34" s="55" t="s">
        <v>1810</v>
      </c>
      <c r="I34" s="55" t="s">
        <v>34</v>
      </c>
      <c r="J34" s="55" t="s">
        <v>1708</v>
      </c>
      <c r="K34" s="90" t="s">
        <v>1755</v>
      </c>
      <c r="L34" s="90" t="s">
        <v>1811</v>
      </c>
      <c r="M34" s="55" t="s">
        <v>1812</v>
      </c>
      <c r="N34" s="55" t="s">
        <v>166</v>
      </c>
      <c r="O34" s="55" t="s">
        <v>165</v>
      </c>
      <c r="P34" s="86" t="str">
        <f t="shared" si="1"/>
        <v>Diferente</v>
      </c>
    </row>
    <row r="35">
      <c r="A35" s="93"/>
      <c r="B35" s="86"/>
      <c r="J35" s="55" t="s">
        <v>1713</v>
      </c>
      <c r="K35" s="90" t="s">
        <v>1813</v>
      </c>
      <c r="L35" s="90" t="s">
        <v>1814</v>
      </c>
      <c r="M35" s="55" t="s">
        <v>1815</v>
      </c>
      <c r="N35" s="55" t="s">
        <v>1712</v>
      </c>
      <c r="O35" s="55" t="s">
        <v>165</v>
      </c>
      <c r="P35" s="86" t="str">
        <f t="shared" si="1"/>
        <v>Diferente</v>
      </c>
    </row>
    <row r="36">
      <c r="A36" s="93"/>
      <c r="B36" s="86"/>
      <c r="J36" s="55" t="s">
        <v>1717</v>
      </c>
      <c r="K36" s="90" t="s">
        <v>1816</v>
      </c>
      <c r="L36" s="90" t="s">
        <v>1817</v>
      </c>
      <c r="M36" s="55" t="s">
        <v>1816</v>
      </c>
      <c r="N36" s="55" t="s">
        <v>165</v>
      </c>
      <c r="O36" s="55" t="s">
        <v>1712</v>
      </c>
      <c r="P36" s="86" t="str">
        <f t="shared" si="1"/>
        <v>Diferente</v>
      </c>
    </row>
    <row r="37">
      <c r="A37" s="93"/>
      <c r="B37" s="86"/>
      <c r="J37" s="55" t="s">
        <v>1721</v>
      </c>
      <c r="K37" s="90" t="s">
        <v>1818</v>
      </c>
      <c r="L37" s="90" t="s">
        <v>1819</v>
      </c>
      <c r="M37" s="55" t="s">
        <v>1820</v>
      </c>
      <c r="N37" s="55" t="s">
        <v>1712</v>
      </c>
      <c r="O37" s="55" t="s">
        <v>1712</v>
      </c>
      <c r="P37" s="86" t="str">
        <f t="shared" si="1"/>
        <v>Igual</v>
      </c>
    </row>
    <row r="38">
      <c r="A38" s="93"/>
      <c r="B38" s="86"/>
      <c r="J38" s="55" t="s">
        <v>1725</v>
      </c>
      <c r="K38" s="90" t="s">
        <v>1821</v>
      </c>
      <c r="L38" s="90" t="s">
        <v>1822</v>
      </c>
      <c r="M38" s="55" t="s">
        <v>1823</v>
      </c>
      <c r="N38" s="55" t="s">
        <v>165</v>
      </c>
      <c r="O38" s="55" t="s">
        <v>1712</v>
      </c>
      <c r="P38" s="86" t="str">
        <f t="shared" si="1"/>
        <v>Diferente</v>
      </c>
    </row>
    <row r="39">
      <c r="A39" s="91" t="s">
        <v>1397</v>
      </c>
      <c r="B39" s="55" t="s">
        <v>1745</v>
      </c>
      <c r="C39" s="55" t="s">
        <v>1824</v>
      </c>
      <c r="D39" s="55" t="s">
        <v>625</v>
      </c>
      <c r="E39" s="43" t="s">
        <v>1825</v>
      </c>
      <c r="F39" s="55">
        <v>2025.0</v>
      </c>
      <c r="G39" s="55" t="s">
        <v>1826</v>
      </c>
      <c r="H39" s="55" t="s">
        <v>1827</v>
      </c>
      <c r="I39" s="55" t="s">
        <v>31</v>
      </c>
      <c r="J39" s="55" t="s">
        <v>1708</v>
      </c>
      <c r="K39" s="90" t="s">
        <v>1828</v>
      </c>
      <c r="L39" s="90" t="s">
        <v>1829</v>
      </c>
      <c r="M39" s="55" t="s">
        <v>1829</v>
      </c>
      <c r="N39" s="55" t="s">
        <v>166</v>
      </c>
      <c r="O39" s="55" t="s">
        <v>165</v>
      </c>
      <c r="P39" s="86" t="str">
        <f t="shared" si="1"/>
        <v>Diferente</v>
      </c>
    </row>
    <row r="40">
      <c r="A40" s="93"/>
      <c r="B40" s="86"/>
      <c r="J40" s="55" t="s">
        <v>1713</v>
      </c>
      <c r="K40" s="90" t="s">
        <v>1830</v>
      </c>
      <c r="L40" s="90" t="s">
        <v>1831</v>
      </c>
      <c r="M40" s="55" t="s">
        <v>1832</v>
      </c>
      <c r="N40" s="55" t="s">
        <v>165</v>
      </c>
      <c r="O40" s="55" t="s">
        <v>165</v>
      </c>
      <c r="P40" s="86" t="str">
        <f t="shared" si="1"/>
        <v>Igual</v>
      </c>
    </row>
    <row r="41">
      <c r="A41" s="93"/>
      <c r="B41" s="86"/>
      <c r="J41" s="55" t="s">
        <v>1717</v>
      </c>
      <c r="K41" s="90" t="s">
        <v>1833</v>
      </c>
      <c r="L41" s="90" t="s">
        <v>1834</v>
      </c>
      <c r="M41" s="55" t="s">
        <v>1835</v>
      </c>
      <c r="N41" s="55" t="s">
        <v>1712</v>
      </c>
      <c r="O41" s="55" t="s">
        <v>1712</v>
      </c>
      <c r="P41" s="86" t="str">
        <f t="shared" si="1"/>
        <v>Igual</v>
      </c>
    </row>
    <row r="42">
      <c r="A42" s="93"/>
      <c r="B42" s="86"/>
      <c r="J42" s="55" t="s">
        <v>1721</v>
      </c>
      <c r="K42" s="90" t="s">
        <v>1836</v>
      </c>
      <c r="L42" s="90" t="s">
        <v>1837</v>
      </c>
      <c r="M42" s="55" t="s">
        <v>1838</v>
      </c>
      <c r="N42" s="55" t="s">
        <v>165</v>
      </c>
      <c r="O42" s="55" t="s">
        <v>165</v>
      </c>
      <c r="P42" s="86" t="str">
        <f t="shared" si="1"/>
        <v>Igual</v>
      </c>
    </row>
    <row r="43">
      <c r="A43" s="93"/>
      <c r="B43" s="86"/>
      <c r="J43" s="55" t="s">
        <v>1725</v>
      </c>
      <c r="K43" s="90" t="s">
        <v>1839</v>
      </c>
      <c r="L43" s="90" t="s">
        <v>1840</v>
      </c>
      <c r="M43" s="55" t="s">
        <v>1841</v>
      </c>
      <c r="N43" s="55" t="s">
        <v>1712</v>
      </c>
      <c r="O43" s="55" t="s">
        <v>165</v>
      </c>
      <c r="P43" s="86" t="str">
        <f t="shared" si="1"/>
        <v>Diferente</v>
      </c>
    </row>
    <row r="44">
      <c r="A44" s="91" t="s">
        <v>1405</v>
      </c>
      <c r="B44" s="86"/>
      <c r="C44" s="55" t="s">
        <v>1842</v>
      </c>
      <c r="D44" s="55" t="s">
        <v>267</v>
      </c>
      <c r="E44" s="43" t="s">
        <v>1843</v>
      </c>
      <c r="F44" s="55">
        <v>2024.0</v>
      </c>
      <c r="G44" s="55" t="s">
        <v>1844</v>
      </c>
      <c r="H44" s="55" t="s">
        <v>1845</v>
      </c>
      <c r="I44" s="55" t="s">
        <v>34</v>
      </c>
      <c r="J44" s="55" t="s">
        <v>1708</v>
      </c>
      <c r="K44" s="90" t="s">
        <v>1846</v>
      </c>
      <c r="L44" s="90" t="s">
        <v>1847</v>
      </c>
      <c r="M44" s="55" t="s">
        <v>1848</v>
      </c>
      <c r="N44" s="55" t="s">
        <v>165</v>
      </c>
      <c r="O44" s="55" t="s">
        <v>165</v>
      </c>
      <c r="P44" s="86" t="str">
        <f t="shared" si="1"/>
        <v>Igual</v>
      </c>
    </row>
    <row r="45">
      <c r="B45" s="86"/>
      <c r="J45" s="55" t="s">
        <v>1713</v>
      </c>
      <c r="K45" s="90" t="s">
        <v>1849</v>
      </c>
      <c r="L45" s="90" t="s">
        <v>1850</v>
      </c>
      <c r="M45" s="55" t="s">
        <v>1851</v>
      </c>
      <c r="N45" s="55" t="s">
        <v>1712</v>
      </c>
      <c r="O45" s="55" t="s">
        <v>165</v>
      </c>
      <c r="P45" s="86" t="str">
        <f t="shared" si="1"/>
        <v>Diferente</v>
      </c>
    </row>
    <row r="46">
      <c r="B46" s="86"/>
      <c r="J46" s="55" t="s">
        <v>1717</v>
      </c>
      <c r="K46" s="90" t="s">
        <v>1852</v>
      </c>
      <c r="L46" s="90" t="s">
        <v>1853</v>
      </c>
      <c r="M46" s="55" t="s">
        <v>1854</v>
      </c>
      <c r="N46" s="55" t="s">
        <v>1712</v>
      </c>
      <c r="O46" s="55" t="s">
        <v>165</v>
      </c>
      <c r="P46" s="86" t="str">
        <f t="shared" si="1"/>
        <v>Diferente</v>
      </c>
    </row>
    <row r="47">
      <c r="B47" s="86"/>
      <c r="J47" s="55" t="s">
        <v>1721</v>
      </c>
      <c r="K47" s="90" t="s">
        <v>1855</v>
      </c>
      <c r="L47" s="90" t="s">
        <v>1856</v>
      </c>
      <c r="M47" s="55" t="s">
        <v>1857</v>
      </c>
      <c r="N47" s="55" t="s">
        <v>165</v>
      </c>
      <c r="O47" s="55" t="s">
        <v>165</v>
      </c>
      <c r="P47" s="86" t="str">
        <f t="shared" si="1"/>
        <v>Igual</v>
      </c>
    </row>
    <row r="48">
      <c r="B48" s="86"/>
      <c r="J48" s="55" t="s">
        <v>1725</v>
      </c>
      <c r="K48" s="90" t="s">
        <v>1858</v>
      </c>
      <c r="L48" s="90" t="s">
        <v>1859</v>
      </c>
      <c r="M48" s="55" t="s">
        <v>1860</v>
      </c>
      <c r="N48" s="55" t="s">
        <v>165</v>
      </c>
      <c r="O48" s="55" t="s">
        <v>165</v>
      </c>
      <c r="P48" s="86" t="str">
        <f t="shared" si="1"/>
        <v>Igual</v>
      </c>
    </row>
    <row r="49">
      <c r="A49" s="76" t="s">
        <v>1406</v>
      </c>
      <c r="B49" s="86"/>
      <c r="C49" s="55" t="s">
        <v>1861</v>
      </c>
      <c r="D49" s="55" t="s">
        <v>277</v>
      </c>
      <c r="E49" s="43" t="s">
        <v>1862</v>
      </c>
      <c r="F49" s="55">
        <v>2025.0</v>
      </c>
      <c r="G49" s="55" t="s">
        <v>1863</v>
      </c>
      <c r="H49" s="55" t="s">
        <v>1864</v>
      </c>
      <c r="I49" s="55" t="s">
        <v>34</v>
      </c>
      <c r="J49" s="55" t="s">
        <v>1708</v>
      </c>
      <c r="K49" s="90" t="s">
        <v>1865</v>
      </c>
      <c r="L49" s="90" t="s">
        <v>1866</v>
      </c>
      <c r="M49" s="55" t="s">
        <v>1867</v>
      </c>
      <c r="N49" s="55" t="s">
        <v>165</v>
      </c>
      <c r="O49" s="55" t="s">
        <v>1712</v>
      </c>
      <c r="P49" s="86" t="str">
        <f t="shared" si="1"/>
        <v>Diferente</v>
      </c>
    </row>
    <row r="50">
      <c r="B50" s="86"/>
      <c r="J50" s="55" t="s">
        <v>1713</v>
      </c>
      <c r="K50" s="90" t="s">
        <v>1868</v>
      </c>
      <c r="L50" s="90" t="s">
        <v>1869</v>
      </c>
      <c r="M50" s="55" t="s">
        <v>1870</v>
      </c>
      <c r="N50" s="55" t="s">
        <v>165</v>
      </c>
      <c r="O50" s="55" t="s">
        <v>1712</v>
      </c>
      <c r="P50" s="86" t="str">
        <f t="shared" si="1"/>
        <v>Diferente</v>
      </c>
    </row>
    <row r="51">
      <c r="B51" s="86"/>
      <c r="J51" s="55" t="s">
        <v>1717</v>
      </c>
      <c r="K51" s="90" t="s">
        <v>1871</v>
      </c>
      <c r="L51" s="90" t="s">
        <v>1872</v>
      </c>
      <c r="M51" s="55" t="s">
        <v>1873</v>
      </c>
      <c r="N51" s="55" t="s">
        <v>1712</v>
      </c>
      <c r="O51" s="55" t="s">
        <v>165</v>
      </c>
      <c r="P51" s="86" t="str">
        <f t="shared" si="1"/>
        <v>Diferente</v>
      </c>
    </row>
    <row r="52">
      <c r="B52" s="86"/>
      <c r="J52" s="55" t="s">
        <v>1721</v>
      </c>
      <c r="K52" s="90" t="s">
        <v>1874</v>
      </c>
      <c r="L52" s="90" t="s">
        <v>1875</v>
      </c>
      <c r="M52" s="55" t="s">
        <v>1876</v>
      </c>
      <c r="N52" s="55" t="s">
        <v>165</v>
      </c>
      <c r="O52" s="55" t="s">
        <v>165</v>
      </c>
      <c r="P52" s="86" t="str">
        <f t="shared" si="1"/>
        <v>Igual</v>
      </c>
    </row>
    <row r="53">
      <c r="B53" s="86"/>
      <c r="J53" s="55" t="s">
        <v>1725</v>
      </c>
      <c r="K53" s="90" t="s">
        <v>1877</v>
      </c>
      <c r="L53" s="90" t="s">
        <v>1878</v>
      </c>
      <c r="M53" s="55" t="s">
        <v>1879</v>
      </c>
      <c r="N53" s="55" t="s">
        <v>166</v>
      </c>
      <c r="O53" s="55" t="s">
        <v>165</v>
      </c>
      <c r="P53" s="86" t="str">
        <f t="shared" si="1"/>
        <v>Diferente</v>
      </c>
    </row>
    <row r="54">
      <c r="A54" s="76" t="s">
        <v>1409</v>
      </c>
      <c r="B54" s="86"/>
      <c r="C54" s="55" t="s">
        <v>1880</v>
      </c>
      <c r="D54" s="90" t="s">
        <v>701</v>
      </c>
      <c r="E54" s="94" t="s">
        <v>1881</v>
      </c>
      <c r="F54" s="55">
        <v>2024.0</v>
      </c>
      <c r="G54" s="55" t="s">
        <v>1882</v>
      </c>
      <c r="H54" s="55" t="s">
        <v>1883</v>
      </c>
      <c r="I54" s="55" t="s">
        <v>31</v>
      </c>
      <c r="J54" s="55" t="s">
        <v>1708</v>
      </c>
      <c r="K54" s="90" t="s">
        <v>1884</v>
      </c>
      <c r="L54" s="90" t="s">
        <v>1885</v>
      </c>
      <c r="M54" s="55" t="s">
        <v>1886</v>
      </c>
      <c r="N54" s="55" t="s">
        <v>1712</v>
      </c>
      <c r="O54" s="55" t="s">
        <v>1712</v>
      </c>
      <c r="P54" s="86" t="str">
        <f t="shared" si="1"/>
        <v>Igual</v>
      </c>
    </row>
    <row r="55">
      <c r="B55" s="86"/>
      <c r="J55" s="55" t="s">
        <v>1713</v>
      </c>
      <c r="K55" s="90" t="s">
        <v>1718</v>
      </c>
      <c r="L55" s="90" t="s">
        <v>1718</v>
      </c>
      <c r="M55" s="55" t="s">
        <v>1718</v>
      </c>
      <c r="N55" s="55" t="s">
        <v>165</v>
      </c>
      <c r="O55" s="55" t="s">
        <v>165</v>
      </c>
      <c r="P55" s="86" t="str">
        <f t="shared" si="1"/>
        <v>Igual</v>
      </c>
    </row>
    <row r="56">
      <c r="B56" s="86"/>
      <c r="J56" s="55" t="s">
        <v>1717</v>
      </c>
      <c r="K56" s="90" t="s">
        <v>1887</v>
      </c>
      <c r="L56" s="90" t="s">
        <v>1888</v>
      </c>
      <c r="M56" s="55" t="s">
        <v>1889</v>
      </c>
      <c r="N56" s="55" t="s">
        <v>1712</v>
      </c>
      <c r="O56" s="55" t="s">
        <v>1712</v>
      </c>
      <c r="P56" s="86" t="str">
        <f t="shared" si="1"/>
        <v>Igual</v>
      </c>
    </row>
    <row r="57">
      <c r="B57" s="86"/>
      <c r="J57" s="55" t="s">
        <v>1721</v>
      </c>
      <c r="K57" s="90" t="s">
        <v>1718</v>
      </c>
      <c r="L57" s="90" t="s">
        <v>1718</v>
      </c>
      <c r="M57" s="55" t="s">
        <v>1718</v>
      </c>
      <c r="N57" s="55" t="s">
        <v>165</v>
      </c>
      <c r="O57" s="55" t="s">
        <v>165</v>
      </c>
      <c r="P57" s="86" t="str">
        <f t="shared" si="1"/>
        <v>Igual</v>
      </c>
    </row>
    <row r="58">
      <c r="B58" s="86"/>
      <c r="J58" s="55" t="s">
        <v>1725</v>
      </c>
      <c r="K58" s="90" t="s">
        <v>1890</v>
      </c>
      <c r="L58" s="90" t="s">
        <v>1718</v>
      </c>
      <c r="M58" s="55" t="s">
        <v>1890</v>
      </c>
      <c r="N58" s="55" t="s">
        <v>1712</v>
      </c>
      <c r="O58" s="55" t="s">
        <v>165</v>
      </c>
      <c r="P58" s="86" t="str">
        <f t="shared" si="1"/>
        <v>Diferente</v>
      </c>
    </row>
    <row r="59">
      <c r="A59" s="55" t="s">
        <v>1412</v>
      </c>
      <c r="B59" s="86"/>
      <c r="C59" s="55" t="s">
        <v>1891</v>
      </c>
      <c r="D59" s="55" t="s">
        <v>295</v>
      </c>
      <c r="E59" s="43" t="s">
        <v>1892</v>
      </c>
      <c r="F59" s="55">
        <v>2025.0</v>
      </c>
      <c r="G59" s="55" t="s">
        <v>1893</v>
      </c>
      <c r="H59" s="55" t="s">
        <v>1749</v>
      </c>
      <c r="I59" s="55" t="s">
        <v>34</v>
      </c>
      <c r="J59" s="55" t="s">
        <v>1708</v>
      </c>
      <c r="K59" s="90" t="s">
        <v>1894</v>
      </c>
      <c r="L59" s="90" t="s">
        <v>1895</v>
      </c>
      <c r="M59" s="55" t="s">
        <v>1896</v>
      </c>
      <c r="N59" s="55" t="s">
        <v>165</v>
      </c>
      <c r="O59" s="55" t="s">
        <v>165</v>
      </c>
      <c r="P59" s="86" t="str">
        <f t="shared" si="1"/>
        <v>Igual</v>
      </c>
    </row>
    <row r="60">
      <c r="B60" s="86"/>
      <c r="J60" s="55" t="s">
        <v>1713</v>
      </c>
      <c r="K60" s="90" t="s">
        <v>1897</v>
      </c>
      <c r="L60" s="90" t="s">
        <v>1898</v>
      </c>
      <c r="M60" s="55" t="s">
        <v>1899</v>
      </c>
      <c r="N60" s="55" t="s">
        <v>165</v>
      </c>
      <c r="O60" s="55" t="s">
        <v>165</v>
      </c>
      <c r="P60" s="86" t="str">
        <f t="shared" si="1"/>
        <v>Igual</v>
      </c>
    </row>
    <row r="61">
      <c r="B61" s="86"/>
      <c r="J61" s="55" t="s">
        <v>1717</v>
      </c>
      <c r="K61" s="90" t="s">
        <v>1900</v>
      </c>
      <c r="L61" s="90" t="s">
        <v>1901</v>
      </c>
      <c r="M61" s="55" t="s">
        <v>1902</v>
      </c>
      <c r="N61" s="55" t="s">
        <v>165</v>
      </c>
      <c r="O61" s="55" t="s">
        <v>165</v>
      </c>
      <c r="P61" s="86" t="str">
        <f t="shared" si="1"/>
        <v>Igual</v>
      </c>
    </row>
    <row r="62">
      <c r="B62" s="86"/>
      <c r="J62" s="55" t="s">
        <v>1721</v>
      </c>
      <c r="K62" s="90" t="s">
        <v>1903</v>
      </c>
      <c r="L62" s="90" t="s">
        <v>1904</v>
      </c>
      <c r="M62" s="55" t="s">
        <v>1905</v>
      </c>
      <c r="N62" s="55" t="s">
        <v>165</v>
      </c>
      <c r="O62" s="55" t="s">
        <v>165</v>
      </c>
      <c r="P62" s="86" t="str">
        <f t="shared" si="1"/>
        <v>Igual</v>
      </c>
    </row>
    <row r="63">
      <c r="B63" s="86"/>
      <c r="J63" s="55" t="s">
        <v>1725</v>
      </c>
      <c r="K63" s="90" t="s">
        <v>1755</v>
      </c>
      <c r="L63" s="90" t="s">
        <v>1906</v>
      </c>
      <c r="M63" s="55" t="s">
        <v>1907</v>
      </c>
      <c r="N63" s="55" t="s">
        <v>166</v>
      </c>
      <c r="O63" s="55" t="s">
        <v>165</v>
      </c>
      <c r="P63" s="86" t="str">
        <f t="shared" si="1"/>
        <v>Diferente</v>
      </c>
    </row>
    <row r="64">
      <c r="A64" s="55" t="s">
        <v>1415</v>
      </c>
      <c r="B64" s="86"/>
      <c r="C64" s="55" t="s">
        <v>1908</v>
      </c>
      <c r="D64" s="55" t="s">
        <v>709</v>
      </c>
      <c r="E64" s="43" t="s">
        <v>1909</v>
      </c>
      <c r="F64" s="55">
        <v>2024.0</v>
      </c>
      <c r="G64" s="55" t="s">
        <v>1910</v>
      </c>
      <c r="H64" s="55" t="s">
        <v>1911</v>
      </c>
      <c r="I64" s="55" t="s">
        <v>31</v>
      </c>
      <c r="J64" s="55" t="s">
        <v>1708</v>
      </c>
      <c r="K64" s="90" t="s">
        <v>1912</v>
      </c>
      <c r="L64" s="90" t="s">
        <v>1913</v>
      </c>
      <c r="M64" s="55" t="s">
        <v>1914</v>
      </c>
      <c r="N64" s="55" t="s">
        <v>165</v>
      </c>
      <c r="O64" s="55" t="s">
        <v>165</v>
      </c>
      <c r="P64" s="86" t="str">
        <f t="shared" si="1"/>
        <v>Igual</v>
      </c>
    </row>
    <row r="65">
      <c r="B65" s="86"/>
      <c r="J65" s="55" t="s">
        <v>1713</v>
      </c>
      <c r="K65" s="90" t="s">
        <v>1915</v>
      </c>
      <c r="L65" s="90" t="s">
        <v>1916</v>
      </c>
      <c r="M65" s="55" t="s">
        <v>1917</v>
      </c>
      <c r="N65" s="55" t="s">
        <v>1712</v>
      </c>
      <c r="O65" s="55" t="s">
        <v>165</v>
      </c>
      <c r="P65" s="86" t="str">
        <f t="shared" si="1"/>
        <v>Diferente</v>
      </c>
    </row>
    <row r="66">
      <c r="B66" s="86"/>
      <c r="J66" s="55" t="s">
        <v>1717</v>
      </c>
      <c r="K66" s="90" t="s">
        <v>1918</v>
      </c>
      <c r="L66" s="90" t="s">
        <v>1919</v>
      </c>
      <c r="M66" s="55" t="s">
        <v>1920</v>
      </c>
      <c r="N66" s="55" t="s">
        <v>1712</v>
      </c>
      <c r="O66" s="55" t="s">
        <v>165</v>
      </c>
      <c r="P66" s="86" t="str">
        <f t="shared" si="1"/>
        <v>Diferente</v>
      </c>
    </row>
    <row r="67">
      <c r="B67" s="86"/>
      <c r="J67" s="55" t="s">
        <v>1721</v>
      </c>
      <c r="K67" s="90" t="s">
        <v>1921</v>
      </c>
      <c r="L67" s="90" t="s">
        <v>1922</v>
      </c>
      <c r="M67" s="55" t="s">
        <v>1923</v>
      </c>
      <c r="N67" s="55" t="s">
        <v>166</v>
      </c>
      <c r="O67" s="55" t="s">
        <v>165</v>
      </c>
      <c r="P67" s="86" t="str">
        <f t="shared" si="1"/>
        <v>Diferente</v>
      </c>
    </row>
    <row r="68">
      <c r="B68" s="86"/>
      <c r="J68" s="55" t="s">
        <v>1725</v>
      </c>
      <c r="K68" s="90" t="s">
        <v>1924</v>
      </c>
      <c r="L68" s="90" t="s">
        <v>1925</v>
      </c>
      <c r="M68" s="55" t="s">
        <v>1926</v>
      </c>
      <c r="N68" s="55" t="s">
        <v>166</v>
      </c>
      <c r="O68" s="55" t="s">
        <v>165</v>
      </c>
      <c r="P68" s="86" t="str">
        <f t="shared" si="1"/>
        <v>Diferente</v>
      </c>
    </row>
    <row r="69">
      <c r="A69" s="55" t="s">
        <v>1423</v>
      </c>
      <c r="B69" s="86"/>
      <c r="C69" s="55" t="s">
        <v>1927</v>
      </c>
      <c r="D69" s="55" t="s">
        <v>403</v>
      </c>
      <c r="E69" s="43" t="s">
        <v>1928</v>
      </c>
      <c r="F69" s="55">
        <v>2025.0</v>
      </c>
      <c r="G69" s="55" t="s">
        <v>1929</v>
      </c>
      <c r="H69" s="55" t="s">
        <v>1930</v>
      </c>
      <c r="I69" s="55" t="s">
        <v>31</v>
      </c>
      <c r="J69" s="55" t="s">
        <v>1708</v>
      </c>
      <c r="K69" s="90" t="s">
        <v>1931</v>
      </c>
      <c r="L69" s="90" t="s">
        <v>1932</v>
      </c>
      <c r="M69" s="55" t="s">
        <v>1933</v>
      </c>
      <c r="N69" s="55" t="s">
        <v>1712</v>
      </c>
      <c r="O69" s="55" t="s">
        <v>1712</v>
      </c>
      <c r="P69" s="86" t="str">
        <f t="shared" si="1"/>
        <v>Igual</v>
      </c>
    </row>
    <row r="70">
      <c r="B70" s="86"/>
      <c r="J70" s="55" t="s">
        <v>1713</v>
      </c>
      <c r="K70" s="90" t="s">
        <v>1934</v>
      </c>
      <c r="L70" s="90" t="s">
        <v>1935</v>
      </c>
      <c r="M70" s="55" t="s">
        <v>1936</v>
      </c>
      <c r="N70" s="55" t="s">
        <v>166</v>
      </c>
      <c r="O70" s="55" t="s">
        <v>165</v>
      </c>
      <c r="P70" s="86" t="str">
        <f t="shared" si="1"/>
        <v>Diferente</v>
      </c>
    </row>
    <row r="71">
      <c r="B71" s="86"/>
      <c r="J71" s="55" t="s">
        <v>1717</v>
      </c>
      <c r="K71" s="90" t="s">
        <v>1937</v>
      </c>
      <c r="L71" s="90" t="s">
        <v>1938</v>
      </c>
      <c r="M71" s="55" t="s">
        <v>1939</v>
      </c>
      <c r="N71" s="55" t="s">
        <v>166</v>
      </c>
      <c r="O71" s="55" t="s">
        <v>165</v>
      </c>
      <c r="P71" s="86" t="str">
        <f t="shared" si="1"/>
        <v>Diferente</v>
      </c>
    </row>
    <row r="72">
      <c r="B72" s="86"/>
      <c r="J72" s="55" t="s">
        <v>1721</v>
      </c>
      <c r="K72" s="90" t="s">
        <v>1940</v>
      </c>
      <c r="L72" s="90" t="s">
        <v>1941</v>
      </c>
      <c r="M72" s="55" t="s">
        <v>1942</v>
      </c>
      <c r="N72" s="55" t="s">
        <v>165</v>
      </c>
      <c r="O72" s="55" t="s">
        <v>1712</v>
      </c>
      <c r="P72" s="86" t="str">
        <f t="shared" si="1"/>
        <v>Diferente</v>
      </c>
    </row>
    <row r="73">
      <c r="B73" s="86"/>
      <c r="J73" s="55" t="s">
        <v>1725</v>
      </c>
      <c r="K73" s="90" t="s">
        <v>1943</v>
      </c>
      <c r="L73" s="90" t="s">
        <v>1944</v>
      </c>
      <c r="M73" s="55" t="s">
        <v>1945</v>
      </c>
      <c r="N73" s="55" t="s">
        <v>165</v>
      </c>
      <c r="O73" s="55" t="s">
        <v>165</v>
      </c>
      <c r="P73" s="86" t="str">
        <f t="shared" si="1"/>
        <v>Igual</v>
      </c>
    </row>
    <row r="74">
      <c r="A74" s="55" t="s">
        <v>1426</v>
      </c>
      <c r="B74" s="86"/>
      <c r="C74" s="55" t="s">
        <v>1946</v>
      </c>
      <c r="D74" s="55" t="s">
        <v>409</v>
      </c>
      <c r="E74" s="43" t="s">
        <v>1947</v>
      </c>
      <c r="F74" s="55">
        <v>2025.0</v>
      </c>
      <c r="G74" s="55" t="s">
        <v>1948</v>
      </c>
      <c r="H74" s="55" t="s">
        <v>1749</v>
      </c>
      <c r="I74" s="55" t="s">
        <v>31</v>
      </c>
      <c r="J74" s="55" t="s">
        <v>1708</v>
      </c>
      <c r="K74" s="90" t="s">
        <v>1949</v>
      </c>
      <c r="L74" s="90" t="s">
        <v>1950</v>
      </c>
      <c r="M74" s="55" t="s">
        <v>1951</v>
      </c>
      <c r="N74" s="55" t="s">
        <v>165</v>
      </c>
      <c r="O74" s="55" t="s">
        <v>165</v>
      </c>
      <c r="P74" s="86" t="str">
        <f t="shared" si="1"/>
        <v>Igual</v>
      </c>
    </row>
    <row r="75">
      <c r="B75" s="86"/>
      <c r="J75" s="55" t="s">
        <v>1713</v>
      </c>
      <c r="K75" s="90" t="s">
        <v>1952</v>
      </c>
      <c r="L75" s="90" t="s">
        <v>1953</v>
      </c>
      <c r="M75" s="55" t="s">
        <v>1954</v>
      </c>
      <c r="N75" s="55" t="s">
        <v>165</v>
      </c>
      <c r="O75" s="55" t="s">
        <v>165</v>
      </c>
      <c r="P75" s="86" t="str">
        <f t="shared" si="1"/>
        <v>Igual</v>
      </c>
    </row>
    <row r="76">
      <c r="B76" s="86"/>
      <c r="J76" s="55" t="s">
        <v>1717</v>
      </c>
      <c r="K76" s="90" t="s">
        <v>1955</v>
      </c>
      <c r="L76" s="90" t="s">
        <v>1956</v>
      </c>
      <c r="M76" s="55" t="s">
        <v>1957</v>
      </c>
      <c r="N76" s="55" t="s">
        <v>165</v>
      </c>
      <c r="O76" s="55" t="s">
        <v>165</v>
      </c>
      <c r="P76" s="86" t="str">
        <f t="shared" si="1"/>
        <v>Igual</v>
      </c>
    </row>
    <row r="77">
      <c r="B77" s="86"/>
      <c r="J77" s="55" t="s">
        <v>1721</v>
      </c>
      <c r="K77" s="90" t="s">
        <v>1958</v>
      </c>
      <c r="L77" s="90" t="s">
        <v>1959</v>
      </c>
      <c r="M77" s="55" t="s">
        <v>1960</v>
      </c>
      <c r="N77" s="55" t="s">
        <v>165</v>
      </c>
      <c r="O77" s="55" t="s">
        <v>165</v>
      </c>
      <c r="P77" s="86" t="str">
        <f t="shared" si="1"/>
        <v>Igual</v>
      </c>
    </row>
    <row r="78">
      <c r="B78" s="86"/>
      <c r="J78" s="55" t="s">
        <v>1725</v>
      </c>
      <c r="K78" s="90" t="s">
        <v>1961</v>
      </c>
      <c r="L78" s="90" t="s">
        <v>1962</v>
      </c>
      <c r="M78" s="55" t="s">
        <v>1963</v>
      </c>
      <c r="N78" s="55" t="s">
        <v>165</v>
      </c>
      <c r="O78" s="55" t="s">
        <v>165</v>
      </c>
      <c r="P78" s="86" t="str">
        <f t="shared" si="1"/>
        <v>Igual</v>
      </c>
    </row>
    <row r="79">
      <c r="A79" s="55" t="s">
        <v>1429</v>
      </c>
      <c r="B79" s="86"/>
      <c r="C79" s="55" t="s">
        <v>1964</v>
      </c>
      <c r="D79" s="55" t="s">
        <v>413</v>
      </c>
      <c r="E79" s="92" t="s">
        <v>1965</v>
      </c>
      <c r="F79" s="55">
        <v>2025.0</v>
      </c>
      <c r="G79" s="55" t="s">
        <v>1966</v>
      </c>
      <c r="H79" s="55" t="s">
        <v>1967</v>
      </c>
      <c r="I79" s="55" t="s">
        <v>31</v>
      </c>
      <c r="J79" s="55" t="s">
        <v>1708</v>
      </c>
      <c r="K79" s="90" t="s">
        <v>1968</v>
      </c>
      <c r="L79" s="90" t="s">
        <v>1969</v>
      </c>
      <c r="M79" s="55" t="s">
        <v>1970</v>
      </c>
      <c r="N79" s="55" t="s">
        <v>165</v>
      </c>
      <c r="O79" s="55" t="s">
        <v>165</v>
      </c>
      <c r="P79" s="86" t="str">
        <f t="shared" si="1"/>
        <v>Igual</v>
      </c>
    </row>
    <row r="80">
      <c r="B80" s="86"/>
      <c r="J80" s="55" t="s">
        <v>1713</v>
      </c>
      <c r="K80" s="90" t="s">
        <v>1971</v>
      </c>
      <c r="L80" s="90" t="s">
        <v>1972</v>
      </c>
      <c r="M80" s="55" t="s">
        <v>1973</v>
      </c>
      <c r="N80" s="55" t="s">
        <v>165</v>
      </c>
      <c r="O80" s="55" t="s">
        <v>166</v>
      </c>
      <c r="P80" s="86" t="str">
        <f t="shared" si="1"/>
        <v>Diferente</v>
      </c>
    </row>
    <row r="81">
      <c r="B81" s="86"/>
      <c r="J81" s="55" t="s">
        <v>1717</v>
      </c>
      <c r="K81" s="90" t="s">
        <v>1974</v>
      </c>
      <c r="L81" s="90" t="s">
        <v>1975</v>
      </c>
      <c r="M81" s="55" t="s">
        <v>1976</v>
      </c>
      <c r="N81" s="55" t="s">
        <v>165</v>
      </c>
      <c r="O81" s="55" t="s">
        <v>165</v>
      </c>
      <c r="P81" s="86" t="str">
        <f t="shared" si="1"/>
        <v>Igual</v>
      </c>
    </row>
    <row r="82">
      <c r="B82" s="86"/>
      <c r="J82" s="55" t="s">
        <v>1721</v>
      </c>
      <c r="K82" s="90" t="s">
        <v>1977</v>
      </c>
      <c r="L82" s="90" t="s">
        <v>1978</v>
      </c>
      <c r="M82" s="55" t="s">
        <v>1979</v>
      </c>
      <c r="N82" s="55" t="s">
        <v>165</v>
      </c>
      <c r="O82" s="55" t="s">
        <v>1712</v>
      </c>
      <c r="P82" s="86" t="str">
        <f t="shared" si="1"/>
        <v>Diferente</v>
      </c>
    </row>
    <row r="83">
      <c r="B83" s="86"/>
      <c r="J83" s="55" t="s">
        <v>1725</v>
      </c>
      <c r="K83" s="90" t="s">
        <v>1980</v>
      </c>
      <c r="L83" s="90" t="s">
        <v>1981</v>
      </c>
      <c r="M83" s="55" t="s">
        <v>1982</v>
      </c>
      <c r="N83" s="55" t="s">
        <v>165</v>
      </c>
      <c r="O83" s="55" t="s">
        <v>165</v>
      </c>
      <c r="P83" s="86" t="str">
        <f t="shared" si="1"/>
        <v>Igual</v>
      </c>
    </row>
    <row r="84">
      <c r="A84" s="55" t="s">
        <v>1556</v>
      </c>
      <c r="B84" s="86"/>
      <c r="C84" s="55" t="s">
        <v>1983</v>
      </c>
      <c r="D84" s="55" t="s">
        <v>1984</v>
      </c>
      <c r="E84" s="43" t="s">
        <v>1985</v>
      </c>
      <c r="F84" s="55">
        <v>2021.0</v>
      </c>
      <c r="G84" s="55" t="s">
        <v>1986</v>
      </c>
      <c r="H84" s="55" t="s">
        <v>1749</v>
      </c>
      <c r="I84" s="55" t="s">
        <v>31</v>
      </c>
      <c r="J84" s="55" t="s">
        <v>1708</v>
      </c>
      <c r="K84" s="90" t="s">
        <v>1987</v>
      </c>
      <c r="L84" s="90" t="s">
        <v>1988</v>
      </c>
      <c r="M84" s="55" t="s">
        <v>1989</v>
      </c>
      <c r="N84" s="55" t="s">
        <v>165</v>
      </c>
      <c r="O84" s="55" t="s">
        <v>165</v>
      </c>
      <c r="P84" s="86" t="str">
        <f t="shared" si="1"/>
        <v>Igual</v>
      </c>
    </row>
    <row r="85">
      <c r="B85" s="86"/>
      <c r="J85" s="55" t="s">
        <v>1713</v>
      </c>
      <c r="K85" s="90" t="s">
        <v>1990</v>
      </c>
      <c r="L85" s="90" t="s">
        <v>1991</v>
      </c>
      <c r="M85" s="55" t="s">
        <v>1992</v>
      </c>
      <c r="N85" s="55" t="s">
        <v>165</v>
      </c>
      <c r="O85" s="55" t="s">
        <v>165</v>
      </c>
      <c r="P85" s="86" t="str">
        <f t="shared" si="1"/>
        <v>Igual</v>
      </c>
    </row>
    <row r="86">
      <c r="B86" s="86"/>
      <c r="J86" s="55" t="s">
        <v>1717</v>
      </c>
      <c r="K86" s="90" t="s">
        <v>1993</v>
      </c>
      <c r="L86" s="95" t="s">
        <v>1994</v>
      </c>
      <c r="M86" s="55" t="s">
        <v>1995</v>
      </c>
      <c r="N86" s="55" t="s">
        <v>165</v>
      </c>
      <c r="O86" s="55" t="s">
        <v>165</v>
      </c>
      <c r="P86" s="86" t="str">
        <f t="shared" si="1"/>
        <v>Igual</v>
      </c>
    </row>
    <row r="87">
      <c r="B87" s="86"/>
      <c r="J87" s="55" t="s">
        <v>1721</v>
      </c>
      <c r="K87" s="90" t="s">
        <v>1996</v>
      </c>
      <c r="L87" s="90" t="s">
        <v>1997</v>
      </c>
      <c r="M87" s="55" t="s">
        <v>1998</v>
      </c>
      <c r="N87" s="55" t="s">
        <v>165</v>
      </c>
      <c r="O87" s="55" t="s">
        <v>165</v>
      </c>
      <c r="P87" s="86" t="str">
        <f t="shared" si="1"/>
        <v>Igual</v>
      </c>
    </row>
    <row r="88">
      <c r="B88" s="86"/>
      <c r="J88" s="55" t="s">
        <v>1725</v>
      </c>
      <c r="K88" s="96" t="s">
        <v>1999</v>
      </c>
      <c r="L88" s="90" t="s">
        <v>2000</v>
      </c>
      <c r="M88" s="55" t="s">
        <v>2001</v>
      </c>
      <c r="N88" s="55" t="s">
        <v>165</v>
      </c>
      <c r="O88" s="55" t="s">
        <v>165</v>
      </c>
      <c r="P88" s="86" t="str">
        <f t="shared" si="1"/>
        <v>Igual</v>
      </c>
    </row>
    <row r="89">
      <c r="A89" s="55" t="s">
        <v>1562</v>
      </c>
      <c r="B89" s="86"/>
      <c r="C89" s="55" t="s">
        <v>2002</v>
      </c>
      <c r="D89" s="55" t="s">
        <v>2003</v>
      </c>
      <c r="E89" s="92" t="s">
        <v>2004</v>
      </c>
      <c r="F89" s="55">
        <v>2021.0</v>
      </c>
      <c r="G89" s="55" t="s">
        <v>2005</v>
      </c>
      <c r="H89" s="55" t="s">
        <v>2006</v>
      </c>
      <c r="I89" s="55" t="s">
        <v>31</v>
      </c>
      <c r="J89" s="55" t="s">
        <v>1708</v>
      </c>
      <c r="K89" s="90" t="s">
        <v>2007</v>
      </c>
      <c r="L89" s="90" t="s">
        <v>2008</v>
      </c>
      <c r="M89" s="55" t="s">
        <v>2009</v>
      </c>
      <c r="N89" s="55" t="s">
        <v>1712</v>
      </c>
      <c r="O89" s="55" t="s">
        <v>1712</v>
      </c>
      <c r="P89" s="86" t="str">
        <f t="shared" si="1"/>
        <v>Igual</v>
      </c>
    </row>
    <row r="90">
      <c r="B90" s="86"/>
      <c r="J90" s="55" t="s">
        <v>1713</v>
      </c>
      <c r="K90" s="90" t="s">
        <v>2010</v>
      </c>
      <c r="L90" s="90"/>
      <c r="M90" s="55" t="s">
        <v>2011</v>
      </c>
      <c r="N90" s="55" t="s">
        <v>165</v>
      </c>
      <c r="O90" s="55" t="s">
        <v>165</v>
      </c>
      <c r="P90" s="86" t="str">
        <f t="shared" si="1"/>
        <v>Igual</v>
      </c>
    </row>
    <row r="91">
      <c r="B91" s="86"/>
      <c r="J91" s="55" t="s">
        <v>1717</v>
      </c>
      <c r="K91" s="90" t="s">
        <v>2012</v>
      </c>
      <c r="L91" s="90" t="s">
        <v>2013</v>
      </c>
      <c r="M91" s="55" t="s">
        <v>2014</v>
      </c>
      <c r="N91" s="55" t="s">
        <v>165</v>
      </c>
      <c r="O91" s="55" t="s">
        <v>165</v>
      </c>
      <c r="P91" s="86" t="str">
        <f t="shared" si="1"/>
        <v>Igual</v>
      </c>
    </row>
    <row r="92">
      <c r="B92" s="86"/>
      <c r="J92" s="55" t="s">
        <v>1721</v>
      </c>
      <c r="K92" s="90" t="s">
        <v>2015</v>
      </c>
      <c r="L92" s="90" t="s">
        <v>2016</v>
      </c>
      <c r="M92" s="55" t="s">
        <v>2017</v>
      </c>
      <c r="N92" s="55" t="s">
        <v>166</v>
      </c>
      <c r="O92" s="55" t="s">
        <v>1712</v>
      </c>
      <c r="P92" s="86" t="str">
        <f t="shared" si="1"/>
        <v>Diferente</v>
      </c>
    </row>
    <row r="93">
      <c r="B93" s="86"/>
      <c r="J93" s="55" t="s">
        <v>1725</v>
      </c>
      <c r="K93" s="90" t="s">
        <v>2018</v>
      </c>
      <c r="L93" s="90" t="s">
        <v>2019</v>
      </c>
      <c r="M93" s="55" t="s">
        <v>2020</v>
      </c>
      <c r="N93" s="55" t="s">
        <v>1712</v>
      </c>
      <c r="O93" s="55" t="s">
        <v>1712</v>
      </c>
      <c r="P93" s="86" t="str">
        <f t="shared" si="1"/>
        <v>Igual</v>
      </c>
    </row>
    <row r="94">
      <c r="A94" s="55" t="s">
        <v>1573</v>
      </c>
      <c r="B94" s="86"/>
      <c r="C94" s="55" t="s">
        <v>2021</v>
      </c>
      <c r="D94" s="55" t="s">
        <v>2022</v>
      </c>
      <c r="E94" s="55" t="s">
        <v>2023</v>
      </c>
      <c r="F94" s="55">
        <v>2021.0</v>
      </c>
      <c r="G94" s="55" t="s">
        <v>2024</v>
      </c>
      <c r="H94" s="55" t="s">
        <v>1793</v>
      </c>
      <c r="I94" s="55" t="s">
        <v>31</v>
      </c>
      <c r="J94" s="55" t="s">
        <v>1708</v>
      </c>
      <c r="K94" s="90" t="s">
        <v>2025</v>
      </c>
      <c r="L94" s="90" t="s">
        <v>2026</v>
      </c>
      <c r="M94" s="55" t="s">
        <v>2027</v>
      </c>
      <c r="N94" s="55" t="s">
        <v>165</v>
      </c>
      <c r="O94" s="55" t="s">
        <v>165</v>
      </c>
      <c r="P94" s="86" t="str">
        <f t="shared" si="1"/>
        <v>Igual</v>
      </c>
    </row>
    <row r="95">
      <c r="B95" s="86"/>
      <c r="J95" s="55" t="s">
        <v>1713</v>
      </c>
      <c r="K95" s="90" t="s">
        <v>2028</v>
      </c>
      <c r="L95" s="90" t="s">
        <v>2029</v>
      </c>
      <c r="M95" s="55" t="s">
        <v>2030</v>
      </c>
      <c r="N95" s="55" t="s">
        <v>165</v>
      </c>
      <c r="O95" s="55" t="s">
        <v>165</v>
      </c>
      <c r="P95" s="86" t="str">
        <f t="shared" si="1"/>
        <v>Igual</v>
      </c>
    </row>
    <row r="96">
      <c r="B96" s="86"/>
      <c r="J96" s="55" t="s">
        <v>1717</v>
      </c>
      <c r="K96" s="90" t="s">
        <v>2031</v>
      </c>
      <c r="L96" s="90" t="s">
        <v>2032</v>
      </c>
      <c r="M96" s="55" t="s">
        <v>2033</v>
      </c>
      <c r="N96" s="55" t="s">
        <v>1712</v>
      </c>
      <c r="O96" s="55" t="s">
        <v>1712</v>
      </c>
      <c r="P96" s="86" t="str">
        <f t="shared" si="1"/>
        <v>Igual</v>
      </c>
    </row>
    <row r="97">
      <c r="B97" s="86"/>
      <c r="J97" s="55" t="s">
        <v>1721</v>
      </c>
      <c r="K97" s="90" t="s">
        <v>2034</v>
      </c>
      <c r="L97" s="90" t="s">
        <v>2035</v>
      </c>
      <c r="M97" s="55" t="s">
        <v>2036</v>
      </c>
      <c r="N97" s="55" t="s">
        <v>1712</v>
      </c>
      <c r="O97" s="55" t="s">
        <v>1712</v>
      </c>
      <c r="P97" s="86" t="str">
        <f t="shared" si="1"/>
        <v>Igual</v>
      </c>
    </row>
    <row r="98">
      <c r="B98" s="86"/>
      <c r="J98" s="55" t="s">
        <v>1725</v>
      </c>
      <c r="K98" s="90" t="s">
        <v>2037</v>
      </c>
      <c r="L98" s="90" t="s">
        <v>2038</v>
      </c>
      <c r="M98" s="55" t="s">
        <v>2039</v>
      </c>
      <c r="N98" s="55" t="s">
        <v>165</v>
      </c>
      <c r="O98" s="55" t="s">
        <v>165</v>
      </c>
      <c r="P98" s="86" t="str">
        <f t="shared" si="1"/>
        <v>Igual</v>
      </c>
    </row>
    <row r="99">
      <c r="A99" s="55" t="s">
        <v>1577</v>
      </c>
      <c r="B99" s="86"/>
      <c r="C99" s="55" t="s">
        <v>2040</v>
      </c>
      <c r="D99" s="55" t="s">
        <v>2041</v>
      </c>
      <c r="E99" s="43" t="s">
        <v>2042</v>
      </c>
      <c r="H99" s="55" t="s">
        <v>1749</v>
      </c>
      <c r="I99" s="55" t="s">
        <v>31</v>
      </c>
      <c r="J99" s="55" t="s">
        <v>1708</v>
      </c>
      <c r="K99" s="90" t="s">
        <v>2043</v>
      </c>
      <c r="L99" s="90" t="s">
        <v>2044</v>
      </c>
      <c r="M99" s="55" t="s">
        <v>2045</v>
      </c>
      <c r="N99" s="55" t="s">
        <v>165</v>
      </c>
      <c r="O99" s="55" t="s">
        <v>165</v>
      </c>
      <c r="P99" s="86" t="str">
        <f t="shared" si="1"/>
        <v>Igual</v>
      </c>
    </row>
    <row r="100">
      <c r="B100" s="86"/>
      <c r="J100" s="55" t="s">
        <v>1713</v>
      </c>
      <c r="K100" s="90" t="s">
        <v>2046</v>
      </c>
      <c r="L100" s="90" t="s">
        <v>2047</v>
      </c>
      <c r="M100" s="55" t="s">
        <v>2048</v>
      </c>
      <c r="N100" s="55" t="s">
        <v>1712</v>
      </c>
      <c r="O100" s="55" t="s">
        <v>1712</v>
      </c>
      <c r="P100" s="86" t="str">
        <f t="shared" si="1"/>
        <v>Igual</v>
      </c>
    </row>
    <row r="101">
      <c r="B101" s="86"/>
      <c r="J101" s="55" t="s">
        <v>1717</v>
      </c>
      <c r="K101" s="90" t="s">
        <v>2049</v>
      </c>
      <c r="L101" s="90" t="s">
        <v>2050</v>
      </c>
      <c r="M101" s="55" t="s">
        <v>2051</v>
      </c>
      <c r="N101" s="55" t="s">
        <v>165</v>
      </c>
      <c r="O101" s="55" t="s">
        <v>165</v>
      </c>
      <c r="P101" s="86" t="str">
        <f t="shared" si="1"/>
        <v>Igual</v>
      </c>
    </row>
    <row r="102">
      <c r="B102" s="86"/>
      <c r="J102" s="55" t="s">
        <v>1721</v>
      </c>
      <c r="K102" s="90" t="s">
        <v>2052</v>
      </c>
      <c r="L102" s="90" t="s">
        <v>2053</v>
      </c>
      <c r="M102" s="55" t="s">
        <v>2054</v>
      </c>
      <c r="N102" s="55" t="s">
        <v>165</v>
      </c>
      <c r="O102" s="55" t="s">
        <v>165</v>
      </c>
      <c r="P102" s="86" t="str">
        <f t="shared" si="1"/>
        <v>Igual</v>
      </c>
    </row>
    <row r="103">
      <c r="B103" s="86"/>
      <c r="J103" s="55" t="s">
        <v>1725</v>
      </c>
      <c r="K103" s="90" t="s">
        <v>2055</v>
      </c>
      <c r="L103" s="90" t="s">
        <v>2031</v>
      </c>
      <c r="M103" s="55" t="s">
        <v>2056</v>
      </c>
      <c r="N103" s="55" t="s">
        <v>1712</v>
      </c>
      <c r="O103" s="55" t="s">
        <v>1712</v>
      </c>
      <c r="P103" s="86" t="str">
        <f t="shared" si="1"/>
        <v>Igual</v>
      </c>
    </row>
    <row r="104">
      <c r="A104" s="55" t="s">
        <v>1597</v>
      </c>
      <c r="B104" s="86"/>
      <c r="C104" s="55" t="s">
        <v>2057</v>
      </c>
      <c r="D104" s="55" t="s">
        <v>2058</v>
      </c>
      <c r="E104" s="55" t="s">
        <v>2059</v>
      </c>
      <c r="F104" s="55">
        <v>2025.0</v>
      </c>
      <c r="G104" s="55" t="s">
        <v>2060</v>
      </c>
      <c r="H104" s="55" t="s">
        <v>2061</v>
      </c>
      <c r="I104" s="55" t="s">
        <v>31</v>
      </c>
      <c r="J104" s="55" t="s">
        <v>1708</v>
      </c>
      <c r="K104" s="90" t="s">
        <v>2062</v>
      </c>
      <c r="L104" s="90" t="s">
        <v>2063</v>
      </c>
      <c r="M104" s="55" t="s">
        <v>2064</v>
      </c>
      <c r="N104" s="55" t="s">
        <v>165</v>
      </c>
      <c r="O104" s="55" t="s">
        <v>165</v>
      </c>
      <c r="P104" s="86" t="str">
        <f t="shared" si="1"/>
        <v>Igual</v>
      </c>
    </row>
    <row r="105">
      <c r="B105" s="86"/>
      <c r="J105" s="55" t="s">
        <v>1713</v>
      </c>
      <c r="K105" s="90" t="s">
        <v>2065</v>
      </c>
      <c r="L105" s="90" t="s">
        <v>2066</v>
      </c>
      <c r="M105" s="55" t="s">
        <v>2067</v>
      </c>
      <c r="N105" s="55" t="s">
        <v>165</v>
      </c>
      <c r="O105" s="55" t="s">
        <v>165</v>
      </c>
      <c r="P105" s="86" t="str">
        <f t="shared" si="1"/>
        <v>Igual</v>
      </c>
    </row>
    <row r="106">
      <c r="B106" s="86"/>
      <c r="J106" s="55" t="s">
        <v>1717</v>
      </c>
      <c r="K106" s="90" t="s">
        <v>2068</v>
      </c>
      <c r="L106" s="90" t="s">
        <v>2069</v>
      </c>
      <c r="M106" s="55" t="s">
        <v>2070</v>
      </c>
      <c r="N106" s="55" t="s">
        <v>165</v>
      </c>
      <c r="O106" s="55" t="s">
        <v>165</v>
      </c>
      <c r="P106" s="86" t="str">
        <f t="shared" si="1"/>
        <v>Igual</v>
      </c>
    </row>
    <row r="107">
      <c r="B107" s="86"/>
      <c r="J107" s="55" t="s">
        <v>1721</v>
      </c>
      <c r="K107" s="90" t="s">
        <v>2071</v>
      </c>
      <c r="L107" s="90" t="s">
        <v>2072</v>
      </c>
      <c r="M107" s="55" t="s">
        <v>2073</v>
      </c>
      <c r="N107" s="55" t="s">
        <v>165</v>
      </c>
      <c r="O107" s="55" t="s">
        <v>165</v>
      </c>
      <c r="P107" s="86" t="str">
        <f t="shared" si="1"/>
        <v>Igual</v>
      </c>
    </row>
    <row r="108">
      <c r="B108" s="86"/>
      <c r="J108" s="55" t="s">
        <v>1725</v>
      </c>
      <c r="K108" s="90" t="s">
        <v>2074</v>
      </c>
      <c r="L108" s="90" t="s">
        <v>2075</v>
      </c>
      <c r="M108" s="55" t="s">
        <v>2076</v>
      </c>
      <c r="N108" s="55" t="s">
        <v>165</v>
      </c>
      <c r="O108" s="55" t="s">
        <v>165</v>
      </c>
      <c r="P108" s="86" t="str">
        <f t="shared" si="1"/>
        <v>Igual</v>
      </c>
    </row>
    <row r="109">
      <c r="A109" s="55" t="s">
        <v>1605</v>
      </c>
      <c r="B109" s="86"/>
      <c r="C109" s="55" t="s">
        <v>2077</v>
      </c>
      <c r="D109" s="55" t="s">
        <v>2078</v>
      </c>
      <c r="E109" s="55" t="s">
        <v>2079</v>
      </c>
      <c r="F109" s="55">
        <v>2025.0</v>
      </c>
      <c r="G109" s="55" t="s">
        <v>2080</v>
      </c>
      <c r="H109" s="55" t="s">
        <v>2081</v>
      </c>
      <c r="I109" s="55" t="s">
        <v>31</v>
      </c>
      <c r="J109" s="55" t="s">
        <v>1708</v>
      </c>
      <c r="K109" s="90" t="s">
        <v>2082</v>
      </c>
      <c r="L109" s="90" t="s">
        <v>2083</v>
      </c>
      <c r="M109" s="55" t="s">
        <v>2084</v>
      </c>
      <c r="N109" s="55" t="s">
        <v>165</v>
      </c>
      <c r="O109" s="55" t="s">
        <v>165</v>
      </c>
      <c r="P109" s="86" t="str">
        <f t="shared" si="1"/>
        <v>Igual</v>
      </c>
    </row>
    <row r="110">
      <c r="B110" s="86"/>
      <c r="J110" s="55" t="s">
        <v>1713</v>
      </c>
      <c r="K110" s="90" t="s">
        <v>2085</v>
      </c>
      <c r="L110" s="90" t="s">
        <v>2086</v>
      </c>
      <c r="M110" s="55" t="s">
        <v>2087</v>
      </c>
      <c r="N110" s="55" t="s">
        <v>165</v>
      </c>
      <c r="O110" s="55" t="s">
        <v>165</v>
      </c>
      <c r="P110" s="86" t="str">
        <f t="shared" si="1"/>
        <v>Igual</v>
      </c>
    </row>
    <row r="111">
      <c r="B111" s="86"/>
      <c r="J111" s="55" t="s">
        <v>1717</v>
      </c>
      <c r="K111" s="90" t="s">
        <v>2088</v>
      </c>
      <c r="L111" s="90" t="s">
        <v>2089</v>
      </c>
      <c r="M111" s="55" t="s">
        <v>2090</v>
      </c>
      <c r="N111" s="55" t="s">
        <v>165</v>
      </c>
      <c r="O111" s="55" t="s">
        <v>165</v>
      </c>
      <c r="P111" s="86" t="str">
        <f t="shared" si="1"/>
        <v>Igual</v>
      </c>
    </row>
    <row r="112">
      <c r="B112" s="86"/>
      <c r="J112" s="55" t="s">
        <v>1721</v>
      </c>
      <c r="K112" s="90" t="s">
        <v>2091</v>
      </c>
      <c r="L112" s="90" t="s">
        <v>2092</v>
      </c>
      <c r="M112" s="55" t="s">
        <v>2093</v>
      </c>
      <c r="N112" s="55" t="s">
        <v>165</v>
      </c>
      <c r="O112" s="55" t="s">
        <v>165</v>
      </c>
      <c r="P112" s="86" t="str">
        <f t="shared" si="1"/>
        <v>Igual</v>
      </c>
    </row>
    <row r="113">
      <c r="B113" s="86"/>
      <c r="J113" s="55" t="s">
        <v>1725</v>
      </c>
      <c r="K113" s="90" t="s">
        <v>2094</v>
      </c>
      <c r="L113" s="90" t="s">
        <v>2095</v>
      </c>
      <c r="M113" s="55" t="s">
        <v>2096</v>
      </c>
      <c r="N113" s="55" t="s">
        <v>165</v>
      </c>
      <c r="O113" s="55" t="s">
        <v>165</v>
      </c>
      <c r="P113" s="86" t="str">
        <f t="shared" si="1"/>
        <v>Igual</v>
      </c>
    </row>
    <row r="114">
      <c r="A114" s="55" t="s">
        <v>1612</v>
      </c>
      <c r="B114" s="55" t="s">
        <v>1745</v>
      </c>
      <c r="C114" s="55" t="s">
        <v>2097</v>
      </c>
      <c r="D114" s="55" t="s">
        <v>2098</v>
      </c>
      <c r="E114" s="92" t="s">
        <v>2099</v>
      </c>
      <c r="F114" s="55">
        <v>2024.0</v>
      </c>
      <c r="G114" s="55" t="s">
        <v>2100</v>
      </c>
      <c r="H114" s="55" t="s">
        <v>2101</v>
      </c>
      <c r="I114" s="55" t="s">
        <v>31</v>
      </c>
      <c r="J114" s="55" t="s">
        <v>1708</v>
      </c>
      <c r="K114" s="90" t="s">
        <v>2102</v>
      </c>
      <c r="L114" s="90" t="s">
        <v>2103</v>
      </c>
      <c r="N114" s="55" t="s">
        <v>165</v>
      </c>
      <c r="O114" s="55" t="s">
        <v>165</v>
      </c>
      <c r="P114" s="86" t="str">
        <f t="shared" si="1"/>
        <v>Igual</v>
      </c>
    </row>
    <row r="115">
      <c r="B115" s="86"/>
      <c r="J115" s="55" t="s">
        <v>1713</v>
      </c>
      <c r="K115" s="90" t="s">
        <v>2104</v>
      </c>
      <c r="L115" s="90" t="s">
        <v>2105</v>
      </c>
      <c r="N115" s="55" t="s">
        <v>165</v>
      </c>
      <c r="O115" s="55" t="s">
        <v>165</v>
      </c>
      <c r="P115" s="86" t="str">
        <f t="shared" si="1"/>
        <v>Igual</v>
      </c>
    </row>
    <row r="116">
      <c r="B116" s="86"/>
      <c r="J116" s="55" t="s">
        <v>1717</v>
      </c>
      <c r="K116" s="90" t="s">
        <v>2106</v>
      </c>
      <c r="L116" s="90" t="s">
        <v>2107</v>
      </c>
      <c r="N116" s="55" t="s">
        <v>165</v>
      </c>
      <c r="O116" s="55" t="s">
        <v>165</v>
      </c>
      <c r="P116" s="86" t="str">
        <f t="shared" si="1"/>
        <v>Igual</v>
      </c>
    </row>
    <row r="117">
      <c r="B117" s="86"/>
      <c r="J117" s="55" t="s">
        <v>1721</v>
      </c>
      <c r="K117" s="90" t="s">
        <v>2108</v>
      </c>
      <c r="L117" s="90" t="s">
        <v>2109</v>
      </c>
      <c r="N117" s="55" t="s">
        <v>165</v>
      </c>
      <c r="O117" s="55" t="s">
        <v>165</v>
      </c>
      <c r="P117" s="86" t="str">
        <f t="shared" si="1"/>
        <v>Igual</v>
      </c>
    </row>
    <row r="118">
      <c r="B118" s="86"/>
      <c r="J118" s="55" t="s">
        <v>1725</v>
      </c>
      <c r="K118" s="90" t="s">
        <v>2110</v>
      </c>
      <c r="L118" s="90" t="s">
        <v>2111</v>
      </c>
      <c r="N118" s="55" t="s">
        <v>1712</v>
      </c>
      <c r="O118" s="55" t="s">
        <v>1712</v>
      </c>
      <c r="P118" s="86" t="str">
        <f t="shared" si="1"/>
        <v>Igual</v>
      </c>
    </row>
    <row r="119">
      <c r="A119" s="55" t="s">
        <v>1616</v>
      </c>
      <c r="B119" s="55" t="s">
        <v>1745</v>
      </c>
      <c r="C119" s="55" t="s">
        <v>2112</v>
      </c>
      <c r="D119" s="55" t="s">
        <v>734</v>
      </c>
      <c r="E119" s="55" t="s">
        <v>2113</v>
      </c>
      <c r="F119" s="55">
        <v>2024.0</v>
      </c>
      <c r="G119" s="55" t="s">
        <v>2114</v>
      </c>
      <c r="H119" s="55" t="s">
        <v>2115</v>
      </c>
      <c r="I119" s="55" t="s">
        <v>31</v>
      </c>
      <c r="J119" s="55" t="s">
        <v>1708</v>
      </c>
      <c r="K119" s="90" t="s">
        <v>2116</v>
      </c>
      <c r="L119" s="90" t="s">
        <v>2117</v>
      </c>
      <c r="M119" s="55" t="s">
        <v>2118</v>
      </c>
      <c r="N119" s="55" t="s">
        <v>165</v>
      </c>
      <c r="O119" s="55" t="s">
        <v>165</v>
      </c>
      <c r="P119" s="86" t="str">
        <f t="shared" si="1"/>
        <v>Igual</v>
      </c>
    </row>
    <row r="120">
      <c r="B120" s="86"/>
      <c r="J120" s="55" t="s">
        <v>1713</v>
      </c>
      <c r="K120" s="90" t="s">
        <v>2119</v>
      </c>
      <c r="L120" s="90" t="s">
        <v>2120</v>
      </c>
      <c r="M120" s="55" t="s">
        <v>2121</v>
      </c>
      <c r="N120" s="55" t="s">
        <v>165</v>
      </c>
      <c r="O120" s="55" t="s">
        <v>165</v>
      </c>
      <c r="P120" s="86" t="str">
        <f t="shared" si="1"/>
        <v>Igual</v>
      </c>
    </row>
    <row r="121">
      <c r="B121" s="86"/>
      <c r="J121" s="55" t="s">
        <v>1717</v>
      </c>
      <c r="K121" s="90" t="s">
        <v>2122</v>
      </c>
      <c r="L121" s="90" t="s">
        <v>2123</v>
      </c>
      <c r="M121" s="55" t="s">
        <v>2124</v>
      </c>
      <c r="N121" s="55" t="s">
        <v>165</v>
      </c>
      <c r="O121" s="55" t="s">
        <v>165</v>
      </c>
      <c r="P121" s="86" t="str">
        <f t="shared" si="1"/>
        <v>Igual</v>
      </c>
    </row>
    <row r="122">
      <c r="B122" s="86"/>
      <c r="J122" s="55" t="s">
        <v>1721</v>
      </c>
      <c r="K122" s="90" t="s">
        <v>2125</v>
      </c>
      <c r="L122" s="90" t="s">
        <v>2126</v>
      </c>
      <c r="M122" s="55" t="s">
        <v>2127</v>
      </c>
      <c r="N122" s="55" t="s">
        <v>165</v>
      </c>
      <c r="O122" s="55" t="s">
        <v>165</v>
      </c>
      <c r="P122" s="86" t="str">
        <f t="shared" si="1"/>
        <v>Igual</v>
      </c>
    </row>
    <row r="123">
      <c r="B123" s="86"/>
      <c r="J123" s="55" t="s">
        <v>1725</v>
      </c>
      <c r="K123" s="90" t="s">
        <v>2128</v>
      </c>
      <c r="L123" s="90" t="s">
        <v>2129</v>
      </c>
      <c r="M123" s="55" t="s">
        <v>2130</v>
      </c>
      <c r="N123" s="55" t="s">
        <v>165</v>
      </c>
      <c r="O123" s="55" t="s">
        <v>165</v>
      </c>
      <c r="P123" s="86" t="str">
        <f t="shared" si="1"/>
        <v>Igual</v>
      </c>
    </row>
    <row r="124">
      <c r="A124" s="55" t="s">
        <v>1625</v>
      </c>
      <c r="B124" s="55" t="s">
        <v>1745</v>
      </c>
      <c r="C124" s="55" t="s">
        <v>2131</v>
      </c>
      <c r="D124" s="55" t="s">
        <v>747</v>
      </c>
      <c r="E124" s="43" t="s">
        <v>2132</v>
      </c>
      <c r="F124" s="55">
        <v>2024.0</v>
      </c>
      <c r="G124" s="55" t="s">
        <v>2133</v>
      </c>
      <c r="H124" s="55" t="s">
        <v>1749</v>
      </c>
      <c r="I124" s="55" t="s">
        <v>31</v>
      </c>
      <c r="J124" s="55" t="s">
        <v>1708</v>
      </c>
      <c r="K124" s="90" t="s">
        <v>2134</v>
      </c>
      <c r="L124" s="90" t="s">
        <v>2135</v>
      </c>
      <c r="M124" s="55" t="s">
        <v>2136</v>
      </c>
      <c r="N124" s="55" t="s">
        <v>165</v>
      </c>
      <c r="O124" s="55" t="s">
        <v>165</v>
      </c>
      <c r="P124" s="86" t="str">
        <f t="shared" si="1"/>
        <v>Igual</v>
      </c>
    </row>
    <row r="125">
      <c r="B125" s="86"/>
      <c r="J125" s="55" t="s">
        <v>1713</v>
      </c>
      <c r="K125" s="90" t="s">
        <v>2137</v>
      </c>
      <c r="L125" s="90" t="s">
        <v>2138</v>
      </c>
      <c r="M125" s="55" t="s">
        <v>2139</v>
      </c>
      <c r="N125" s="55" t="s">
        <v>166</v>
      </c>
      <c r="O125" s="55" t="s">
        <v>1712</v>
      </c>
      <c r="P125" s="86" t="str">
        <f t="shared" si="1"/>
        <v>Diferente</v>
      </c>
    </row>
    <row r="126">
      <c r="B126" s="86"/>
      <c r="J126" s="55" t="s">
        <v>1717</v>
      </c>
      <c r="K126" s="90" t="s">
        <v>2140</v>
      </c>
      <c r="L126" s="90" t="s">
        <v>2141</v>
      </c>
      <c r="M126" s="55" t="s">
        <v>2142</v>
      </c>
      <c r="N126" s="55" t="s">
        <v>165</v>
      </c>
      <c r="O126" s="55" t="s">
        <v>165</v>
      </c>
      <c r="P126" s="86" t="str">
        <f t="shared" si="1"/>
        <v>Igual</v>
      </c>
    </row>
    <row r="127">
      <c r="B127" s="86"/>
      <c r="J127" s="55" t="s">
        <v>1721</v>
      </c>
      <c r="K127" s="90" t="s">
        <v>2143</v>
      </c>
      <c r="L127" s="90" t="s">
        <v>2144</v>
      </c>
      <c r="M127" s="55" t="s">
        <v>2145</v>
      </c>
      <c r="N127" s="55" t="s">
        <v>165</v>
      </c>
      <c r="O127" s="55" t="s">
        <v>165</v>
      </c>
      <c r="P127" s="86" t="str">
        <f t="shared" si="1"/>
        <v>Igual</v>
      </c>
    </row>
    <row r="128">
      <c r="B128" s="86"/>
      <c r="J128" s="55" t="s">
        <v>1725</v>
      </c>
      <c r="K128" s="90" t="s">
        <v>2146</v>
      </c>
      <c r="L128" s="90" t="s">
        <v>2147</v>
      </c>
      <c r="M128" s="55" t="s">
        <v>2148</v>
      </c>
      <c r="N128" s="55" t="s">
        <v>165</v>
      </c>
      <c r="O128" s="55" t="s">
        <v>165</v>
      </c>
      <c r="P128" s="86" t="str">
        <f t="shared" si="1"/>
        <v>Igual</v>
      </c>
    </row>
    <row r="129">
      <c r="A129" s="55" t="s">
        <v>1661</v>
      </c>
      <c r="B129" s="86"/>
      <c r="C129" s="55" t="s">
        <v>2149</v>
      </c>
      <c r="D129" s="55" t="s">
        <v>863</v>
      </c>
      <c r="E129" s="43" t="s">
        <v>2150</v>
      </c>
      <c r="F129" s="55">
        <v>2024.0</v>
      </c>
      <c r="G129" s="55" t="s">
        <v>2151</v>
      </c>
      <c r="H129" s="55" t="s">
        <v>1749</v>
      </c>
      <c r="I129" s="55" t="s">
        <v>31</v>
      </c>
      <c r="J129" s="55" t="s">
        <v>1708</v>
      </c>
      <c r="K129" s="90" t="s">
        <v>2152</v>
      </c>
      <c r="L129" s="90" t="s">
        <v>2153</v>
      </c>
      <c r="M129" s="55" t="s">
        <v>2154</v>
      </c>
      <c r="N129" s="55" t="s">
        <v>165</v>
      </c>
      <c r="O129" s="55" t="s">
        <v>165</v>
      </c>
      <c r="P129" s="86" t="str">
        <f t="shared" si="1"/>
        <v>Igual</v>
      </c>
    </row>
    <row r="130">
      <c r="B130" s="86"/>
      <c r="J130" s="55" t="s">
        <v>1713</v>
      </c>
      <c r="K130" s="90" t="s">
        <v>2155</v>
      </c>
      <c r="L130" s="90" t="s">
        <v>2156</v>
      </c>
      <c r="M130" s="55" t="s">
        <v>2157</v>
      </c>
      <c r="N130" s="55" t="s">
        <v>166</v>
      </c>
      <c r="O130" s="55" t="s">
        <v>1712</v>
      </c>
      <c r="P130" s="86" t="str">
        <f t="shared" si="1"/>
        <v>Diferente</v>
      </c>
    </row>
    <row r="131">
      <c r="B131" s="86"/>
      <c r="J131" s="55" t="s">
        <v>1717</v>
      </c>
      <c r="K131" s="90" t="s">
        <v>2158</v>
      </c>
      <c r="L131" s="90" t="s">
        <v>2159</v>
      </c>
      <c r="M131" s="55" t="s">
        <v>2160</v>
      </c>
      <c r="N131" s="55" t="s">
        <v>165</v>
      </c>
      <c r="O131" s="55" t="s">
        <v>165</v>
      </c>
      <c r="P131" s="86" t="str">
        <f t="shared" si="1"/>
        <v>Igual</v>
      </c>
    </row>
    <row r="132">
      <c r="B132" s="86"/>
      <c r="J132" s="55" t="s">
        <v>1721</v>
      </c>
      <c r="K132" s="90" t="s">
        <v>2161</v>
      </c>
      <c r="L132" s="90" t="s">
        <v>2162</v>
      </c>
      <c r="M132" s="55" t="s">
        <v>2163</v>
      </c>
      <c r="N132" s="55" t="s">
        <v>165</v>
      </c>
      <c r="O132" s="55" t="s">
        <v>165</v>
      </c>
      <c r="P132" s="86" t="str">
        <f t="shared" si="1"/>
        <v>Igual</v>
      </c>
    </row>
    <row r="133">
      <c r="B133" s="86"/>
      <c r="J133" s="55" t="s">
        <v>1725</v>
      </c>
      <c r="K133" s="90" t="s">
        <v>2164</v>
      </c>
      <c r="L133" s="90" t="s">
        <v>2165</v>
      </c>
      <c r="M133" s="55" t="s">
        <v>2166</v>
      </c>
      <c r="N133" s="55" t="s">
        <v>165</v>
      </c>
      <c r="O133" s="55" t="s">
        <v>165</v>
      </c>
      <c r="P133" s="86" t="str">
        <f t="shared" si="1"/>
        <v>Igual</v>
      </c>
    </row>
    <row r="134">
      <c r="A134" s="55" t="s">
        <v>1634</v>
      </c>
      <c r="B134" s="55" t="s">
        <v>1745</v>
      </c>
      <c r="C134" s="55" t="s">
        <v>2167</v>
      </c>
      <c r="D134" s="55" t="s">
        <v>760</v>
      </c>
      <c r="E134" s="55" t="s">
        <v>2168</v>
      </c>
      <c r="F134" s="55">
        <v>2024.0</v>
      </c>
      <c r="G134" s="55" t="s">
        <v>2169</v>
      </c>
      <c r="H134" s="55" t="s">
        <v>2101</v>
      </c>
      <c r="I134" s="55" t="s">
        <v>31</v>
      </c>
      <c r="J134" s="55" t="s">
        <v>1708</v>
      </c>
      <c r="K134" s="90" t="s">
        <v>2170</v>
      </c>
      <c r="L134" s="90" t="s">
        <v>2171</v>
      </c>
      <c r="N134" s="55" t="s">
        <v>165</v>
      </c>
      <c r="O134" s="55" t="s">
        <v>165</v>
      </c>
      <c r="P134" s="86" t="str">
        <f t="shared" si="1"/>
        <v>Igual</v>
      </c>
    </row>
    <row r="135">
      <c r="B135" s="86"/>
      <c r="J135" s="55" t="s">
        <v>1713</v>
      </c>
      <c r="K135" s="90" t="s">
        <v>2172</v>
      </c>
      <c r="L135" s="90" t="s">
        <v>2173</v>
      </c>
      <c r="N135" s="55" t="s">
        <v>1712</v>
      </c>
      <c r="O135" s="55" t="s">
        <v>1712</v>
      </c>
      <c r="P135" s="86" t="str">
        <f t="shared" si="1"/>
        <v>Igual</v>
      </c>
    </row>
    <row r="136">
      <c r="B136" s="86"/>
      <c r="J136" s="55" t="s">
        <v>1717</v>
      </c>
      <c r="K136" s="90" t="s">
        <v>2174</v>
      </c>
      <c r="L136" s="90" t="s">
        <v>2173</v>
      </c>
      <c r="N136" s="55" t="s">
        <v>165</v>
      </c>
      <c r="O136" s="55" t="s">
        <v>165</v>
      </c>
      <c r="P136" s="86" t="str">
        <f t="shared" si="1"/>
        <v>Igual</v>
      </c>
    </row>
    <row r="137">
      <c r="B137" s="86"/>
      <c r="J137" s="55" t="s">
        <v>1721</v>
      </c>
      <c r="K137" s="90" t="s">
        <v>2175</v>
      </c>
      <c r="L137" s="90" t="s">
        <v>2176</v>
      </c>
      <c r="M137" s="55" t="s">
        <v>2176</v>
      </c>
      <c r="N137" s="55" t="s">
        <v>165</v>
      </c>
      <c r="O137" s="55" t="s">
        <v>165</v>
      </c>
      <c r="P137" s="86" t="str">
        <f t="shared" si="1"/>
        <v>Igual</v>
      </c>
    </row>
    <row r="138">
      <c r="B138" s="86"/>
      <c r="J138" s="55" t="s">
        <v>1725</v>
      </c>
      <c r="K138" s="90" t="s">
        <v>2177</v>
      </c>
      <c r="L138" s="90" t="s">
        <v>2178</v>
      </c>
      <c r="N138" s="55" t="s">
        <v>166</v>
      </c>
      <c r="O138" s="55" t="s">
        <v>166</v>
      </c>
      <c r="P138" s="86" t="str">
        <f t="shared" si="1"/>
        <v>Igual</v>
      </c>
    </row>
    <row r="139">
      <c r="A139" s="55" t="s">
        <v>1432</v>
      </c>
      <c r="B139" s="86"/>
      <c r="C139" s="55" t="s">
        <v>2179</v>
      </c>
      <c r="D139" s="55" t="s">
        <v>421</v>
      </c>
      <c r="E139" s="43" t="s">
        <v>2180</v>
      </c>
      <c r="F139" s="55">
        <v>2025.0</v>
      </c>
      <c r="G139" s="55" t="s">
        <v>2181</v>
      </c>
      <c r="H139" s="55" t="s">
        <v>2182</v>
      </c>
      <c r="I139" s="55" t="s">
        <v>31</v>
      </c>
      <c r="J139" s="55" t="s">
        <v>1708</v>
      </c>
      <c r="K139" s="90" t="s">
        <v>2183</v>
      </c>
      <c r="L139" s="90" t="s">
        <v>2184</v>
      </c>
      <c r="M139" s="55" t="s">
        <v>2183</v>
      </c>
      <c r="N139" s="55" t="s">
        <v>1712</v>
      </c>
      <c r="O139" s="55" t="s">
        <v>1712</v>
      </c>
      <c r="P139" s="86" t="str">
        <f t="shared" si="1"/>
        <v>Igual</v>
      </c>
    </row>
    <row r="140">
      <c r="B140" s="86"/>
      <c r="J140" s="55" t="s">
        <v>1713</v>
      </c>
      <c r="K140" s="90" t="s">
        <v>2185</v>
      </c>
      <c r="L140" s="90" t="s">
        <v>2186</v>
      </c>
      <c r="M140" s="55" t="s">
        <v>2187</v>
      </c>
      <c r="N140" s="55" t="s">
        <v>165</v>
      </c>
      <c r="O140" s="55" t="s">
        <v>1712</v>
      </c>
      <c r="P140" s="86" t="str">
        <f t="shared" si="1"/>
        <v>Diferente</v>
      </c>
    </row>
    <row r="141">
      <c r="B141" s="86"/>
      <c r="J141" s="55" t="s">
        <v>1717</v>
      </c>
      <c r="K141" s="90" t="s">
        <v>2188</v>
      </c>
      <c r="L141" s="90" t="s">
        <v>2189</v>
      </c>
      <c r="M141" s="55" t="s">
        <v>2190</v>
      </c>
      <c r="N141" s="55" t="s">
        <v>165</v>
      </c>
      <c r="O141" s="55" t="s">
        <v>1712</v>
      </c>
      <c r="P141" s="86" t="str">
        <f t="shared" si="1"/>
        <v>Diferente</v>
      </c>
    </row>
    <row r="142">
      <c r="B142" s="86"/>
      <c r="J142" s="55" t="s">
        <v>1721</v>
      </c>
      <c r="K142" s="90" t="s">
        <v>2191</v>
      </c>
      <c r="L142" s="90" t="s">
        <v>1718</v>
      </c>
      <c r="M142" s="55" t="s">
        <v>2192</v>
      </c>
      <c r="N142" s="55" t="s">
        <v>165</v>
      </c>
      <c r="O142" s="55" t="s">
        <v>166</v>
      </c>
      <c r="P142" s="86" t="str">
        <f t="shared" si="1"/>
        <v>Diferente</v>
      </c>
    </row>
    <row r="143">
      <c r="B143" s="86"/>
      <c r="J143" s="55" t="s">
        <v>1725</v>
      </c>
      <c r="K143" s="90" t="s">
        <v>2193</v>
      </c>
      <c r="L143" s="90" t="s">
        <v>2194</v>
      </c>
      <c r="M143" s="55" t="s">
        <v>2194</v>
      </c>
      <c r="N143" s="55" t="s">
        <v>165</v>
      </c>
      <c r="O143" s="55" t="s">
        <v>165</v>
      </c>
      <c r="P143" s="86" t="str">
        <f t="shared" si="1"/>
        <v>Igual</v>
      </c>
    </row>
    <row r="144">
      <c r="A144" s="55" t="s">
        <v>1438</v>
      </c>
      <c r="B144" s="86"/>
      <c r="C144" s="55" t="s">
        <v>2195</v>
      </c>
      <c r="D144" s="93" t="s">
        <v>435</v>
      </c>
      <c r="E144" s="97" t="s">
        <v>2196</v>
      </c>
      <c r="F144" s="98">
        <v>2025.0</v>
      </c>
      <c r="G144" s="93" t="s">
        <v>2197</v>
      </c>
      <c r="H144" s="93" t="s">
        <v>1749</v>
      </c>
      <c r="I144" s="53" t="s">
        <v>31</v>
      </c>
      <c r="J144" s="55" t="s">
        <v>1708</v>
      </c>
      <c r="K144" s="90" t="s">
        <v>2198</v>
      </c>
      <c r="L144" s="90" t="s">
        <v>2199</v>
      </c>
      <c r="M144" s="55" t="s">
        <v>2198</v>
      </c>
      <c r="N144" s="55" t="s">
        <v>165</v>
      </c>
      <c r="O144" s="55" t="s">
        <v>165</v>
      </c>
      <c r="P144" s="86" t="str">
        <f t="shared" si="1"/>
        <v>Igual</v>
      </c>
    </row>
    <row r="145">
      <c r="B145" s="86"/>
      <c r="J145" s="55" t="s">
        <v>1713</v>
      </c>
      <c r="K145" s="90" t="s">
        <v>2200</v>
      </c>
      <c r="L145" s="90" t="s">
        <v>2201</v>
      </c>
      <c r="M145" s="55" t="s">
        <v>2200</v>
      </c>
      <c r="N145" s="55" t="s">
        <v>165</v>
      </c>
      <c r="O145" s="55" t="s">
        <v>165</v>
      </c>
      <c r="P145" s="86" t="str">
        <f t="shared" si="1"/>
        <v>Igual</v>
      </c>
    </row>
    <row r="146">
      <c r="B146" s="86"/>
      <c r="J146" s="55" t="s">
        <v>1717</v>
      </c>
      <c r="K146" s="90" t="s">
        <v>2202</v>
      </c>
      <c r="L146" s="90" t="s">
        <v>2203</v>
      </c>
      <c r="M146" s="55" t="s">
        <v>2202</v>
      </c>
      <c r="N146" s="55" t="s">
        <v>1712</v>
      </c>
      <c r="O146" s="55" t="s">
        <v>1712</v>
      </c>
      <c r="P146" s="86" t="str">
        <f t="shared" si="1"/>
        <v>Igual</v>
      </c>
    </row>
    <row r="147">
      <c r="B147" s="86"/>
      <c r="J147" s="55" t="s">
        <v>1721</v>
      </c>
      <c r="K147" s="90" t="s">
        <v>2204</v>
      </c>
      <c r="L147" s="90" t="s">
        <v>2205</v>
      </c>
      <c r="M147" s="55" t="s">
        <v>2204</v>
      </c>
      <c r="N147" s="55" t="s">
        <v>1712</v>
      </c>
      <c r="O147" s="55" t="s">
        <v>1712</v>
      </c>
      <c r="P147" s="86" t="str">
        <f t="shared" si="1"/>
        <v>Igual</v>
      </c>
    </row>
    <row r="148">
      <c r="B148" s="86"/>
      <c r="J148" s="55" t="s">
        <v>1725</v>
      </c>
      <c r="K148" s="90" t="s">
        <v>2206</v>
      </c>
      <c r="L148" s="90" t="s">
        <v>2206</v>
      </c>
      <c r="M148" s="55" t="s">
        <v>2206</v>
      </c>
      <c r="N148" s="55" t="s">
        <v>165</v>
      </c>
      <c r="O148" s="55" t="s">
        <v>165</v>
      </c>
      <c r="P148" s="86" t="str">
        <f t="shared" si="1"/>
        <v>Igual</v>
      </c>
    </row>
    <row r="149">
      <c r="A149" s="55" t="s">
        <v>1482</v>
      </c>
      <c r="B149" s="86"/>
      <c r="C149" s="55" t="s">
        <v>2207</v>
      </c>
      <c r="D149" s="93" t="s">
        <v>981</v>
      </c>
      <c r="E149" s="97" t="s">
        <v>2208</v>
      </c>
      <c r="F149" s="98">
        <v>2019.0</v>
      </c>
      <c r="G149" s="93" t="s">
        <v>2209</v>
      </c>
      <c r="H149" s="93" t="s">
        <v>2210</v>
      </c>
      <c r="I149" s="93" t="s">
        <v>37</v>
      </c>
      <c r="J149" s="55" t="s">
        <v>1708</v>
      </c>
      <c r="K149" s="90" t="s">
        <v>2211</v>
      </c>
      <c r="L149" s="90" t="s">
        <v>2212</v>
      </c>
      <c r="M149" s="55" t="s">
        <v>2213</v>
      </c>
      <c r="N149" s="55" t="s">
        <v>165</v>
      </c>
      <c r="O149" s="55" t="s">
        <v>165</v>
      </c>
      <c r="P149" s="86" t="str">
        <f t="shared" si="1"/>
        <v>Igual</v>
      </c>
    </row>
    <row r="150">
      <c r="B150" s="86"/>
      <c r="J150" s="55" t="s">
        <v>1713</v>
      </c>
      <c r="K150" s="90" t="s">
        <v>2214</v>
      </c>
      <c r="L150" s="90" t="s">
        <v>2215</v>
      </c>
      <c r="M150" s="55" t="s">
        <v>2216</v>
      </c>
      <c r="N150" s="55" t="s">
        <v>165</v>
      </c>
      <c r="O150" s="55" t="s">
        <v>165</v>
      </c>
      <c r="P150" s="86" t="str">
        <f t="shared" si="1"/>
        <v>Igual</v>
      </c>
    </row>
    <row r="151">
      <c r="B151" s="86"/>
      <c r="J151" s="55" t="s">
        <v>1717</v>
      </c>
      <c r="K151" s="90" t="s">
        <v>2217</v>
      </c>
      <c r="L151" s="90" t="s">
        <v>2218</v>
      </c>
      <c r="M151" s="55" t="s">
        <v>2219</v>
      </c>
      <c r="N151" s="55" t="s">
        <v>1712</v>
      </c>
      <c r="O151" s="55" t="s">
        <v>1712</v>
      </c>
      <c r="P151" s="86" t="str">
        <f t="shared" si="1"/>
        <v>Igual</v>
      </c>
    </row>
    <row r="152">
      <c r="B152" s="86"/>
      <c r="J152" s="55" t="s">
        <v>1721</v>
      </c>
      <c r="K152" s="90" t="s">
        <v>2220</v>
      </c>
      <c r="L152" s="90" t="s">
        <v>2221</v>
      </c>
      <c r="M152" s="55" t="s">
        <v>2222</v>
      </c>
      <c r="N152" s="55" t="s">
        <v>1712</v>
      </c>
      <c r="O152" s="55" t="s">
        <v>165</v>
      </c>
      <c r="P152" s="86" t="str">
        <f t="shared" si="1"/>
        <v>Diferente</v>
      </c>
    </row>
    <row r="153">
      <c r="B153" s="86"/>
      <c r="J153" s="55" t="s">
        <v>1725</v>
      </c>
      <c r="K153" s="90" t="s">
        <v>2223</v>
      </c>
      <c r="L153" s="90" t="s">
        <v>2224</v>
      </c>
      <c r="M153" s="55" t="s">
        <v>2225</v>
      </c>
      <c r="N153" s="55" t="s">
        <v>165</v>
      </c>
      <c r="O153" s="55" t="s">
        <v>1712</v>
      </c>
      <c r="P153" s="86" t="str">
        <f t="shared" si="1"/>
        <v>Diferente</v>
      </c>
    </row>
    <row r="154">
      <c r="A154" s="55" t="s">
        <v>1400</v>
      </c>
      <c r="B154" s="55" t="s">
        <v>1745</v>
      </c>
      <c r="C154" s="55" t="s">
        <v>2226</v>
      </c>
      <c r="D154" s="55" t="s">
        <v>261</v>
      </c>
      <c r="E154" s="43" t="s">
        <v>2227</v>
      </c>
      <c r="F154" s="55">
        <v>2024.0</v>
      </c>
      <c r="G154" s="55" t="s">
        <v>2228</v>
      </c>
      <c r="H154" s="55" t="s">
        <v>2229</v>
      </c>
      <c r="I154" s="55" t="s">
        <v>34</v>
      </c>
      <c r="J154" s="55" t="s">
        <v>1708</v>
      </c>
      <c r="K154" s="90" t="s">
        <v>1718</v>
      </c>
      <c r="L154" s="90" t="s">
        <v>2230</v>
      </c>
      <c r="M154" s="55" t="s">
        <v>2231</v>
      </c>
      <c r="N154" s="55" t="s">
        <v>165</v>
      </c>
      <c r="O154" s="55" t="s">
        <v>166</v>
      </c>
      <c r="P154" s="86" t="str">
        <f t="shared" si="1"/>
        <v>Diferente</v>
      </c>
    </row>
    <row r="155">
      <c r="B155" s="86"/>
      <c r="J155" s="55" t="s">
        <v>1713</v>
      </c>
      <c r="K155" s="90" t="s">
        <v>2232</v>
      </c>
      <c r="L155" s="90" t="s">
        <v>2233</v>
      </c>
      <c r="M155" s="55" t="s">
        <v>2231</v>
      </c>
      <c r="N155" s="55" t="s">
        <v>165</v>
      </c>
      <c r="O155" s="55" t="s">
        <v>166</v>
      </c>
      <c r="P155" s="86" t="str">
        <f t="shared" si="1"/>
        <v>Diferente</v>
      </c>
    </row>
    <row r="156">
      <c r="B156" s="86"/>
      <c r="J156" s="55" t="s">
        <v>1717</v>
      </c>
      <c r="K156" s="90" t="s">
        <v>2234</v>
      </c>
      <c r="L156" s="55" t="s">
        <v>2235</v>
      </c>
      <c r="M156" s="55" t="s">
        <v>2236</v>
      </c>
      <c r="N156" s="55" t="s">
        <v>165</v>
      </c>
      <c r="O156" s="55" t="s">
        <v>166</v>
      </c>
      <c r="P156" s="86" t="str">
        <f t="shared" si="1"/>
        <v>Diferente</v>
      </c>
    </row>
    <row r="157">
      <c r="B157" s="86"/>
      <c r="J157" s="55" t="s">
        <v>1721</v>
      </c>
      <c r="K157" s="90" t="s">
        <v>2237</v>
      </c>
      <c r="L157" s="55" t="s">
        <v>2238</v>
      </c>
      <c r="M157" s="55" t="s">
        <v>2239</v>
      </c>
      <c r="N157" s="55" t="s">
        <v>165</v>
      </c>
      <c r="O157" s="55" t="s">
        <v>166</v>
      </c>
      <c r="P157" s="86" t="str">
        <f t="shared" si="1"/>
        <v>Diferente</v>
      </c>
    </row>
    <row r="158">
      <c r="B158" s="86"/>
      <c r="J158" s="55" t="s">
        <v>1725</v>
      </c>
      <c r="K158" s="90" t="s">
        <v>1718</v>
      </c>
      <c r="L158" s="90" t="s">
        <v>2240</v>
      </c>
      <c r="M158" s="55" t="s">
        <v>2241</v>
      </c>
      <c r="N158" s="55" t="s">
        <v>165</v>
      </c>
      <c r="O158" s="55" t="s">
        <v>166</v>
      </c>
      <c r="P158" s="86" t="str">
        <f t="shared" si="1"/>
        <v>Diferente</v>
      </c>
    </row>
    <row r="159">
      <c r="A159" s="55" t="s">
        <v>1403</v>
      </c>
      <c r="B159" s="55" t="s">
        <v>1745</v>
      </c>
      <c r="C159" s="55" t="s">
        <v>1745</v>
      </c>
      <c r="D159" s="55" t="s">
        <v>1758</v>
      </c>
      <c r="E159" s="43" t="s">
        <v>2242</v>
      </c>
      <c r="F159" s="55">
        <v>2025.0</v>
      </c>
      <c r="G159" s="55" t="s">
        <v>2243</v>
      </c>
      <c r="H159" s="55" t="s">
        <v>2244</v>
      </c>
      <c r="I159" s="55" t="s">
        <v>31</v>
      </c>
      <c r="J159" s="55" t="s">
        <v>1708</v>
      </c>
      <c r="K159" s="90" t="s">
        <v>1718</v>
      </c>
      <c r="L159" s="90" t="s">
        <v>2245</v>
      </c>
      <c r="M159" s="55" t="s">
        <v>2241</v>
      </c>
      <c r="N159" s="55" t="s">
        <v>165</v>
      </c>
      <c r="O159" s="55" t="s">
        <v>166</v>
      </c>
      <c r="P159" s="86" t="str">
        <f t="shared" si="1"/>
        <v>Diferente</v>
      </c>
    </row>
    <row r="160">
      <c r="B160" s="86"/>
      <c r="J160" s="55" t="s">
        <v>1713</v>
      </c>
      <c r="K160" s="90" t="s">
        <v>2246</v>
      </c>
      <c r="L160" s="90" t="s">
        <v>2247</v>
      </c>
      <c r="M160" s="55" t="s">
        <v>2247</v>
      </c>
      <c r="N160" s="55" t="s">
        <v>1712</v>
      </c>
      <c r="O160" s="55" t="s">
        <v>165</v>
      </c>
      <c r="P160" s="86" t="str">
        <f t="shared" si="1"/>
        <v>Diferente</v>
      </c>
    </row>
    <row r="161">
      <c r="B161" s="86"/>
      <c r="J161" s="55" t="s">
        <v>1717</v>
      </c>
      <c r="K161" s="55" t="s">
        <v>2248</v>
      </c>
      <c r="L161" s="55" t="s">
        <v>2249</v>
      </c>
      <c r="N161" s="55" t="s">
        <v>165</v>
      </c>
      <c r="O161" s="55" t="s">
        <v>1712</v>
      </c>
      <c r="P161" s="86" t="str">
        <f t="shared" si="1"/>
        <v>Diferente</v>
      </c>
    </row>
    <row r="162">
      <c r="B162" s="86"/>
      <c r="J162" s="55" t="s">
        <v>1721</v>
      </c>
      <c r="K162" s="55" t="s">
        <v>2250</v>
      </c>
      <c r="L162" s="55" t="s">
        <v>2251</v>
      </c>
      <c r="N162" s="55" t="s">
        <v>1712</v>
      </c>
      <c r="O162" s="55" t="s">
        <v>1712</v>
      </c>
      <c r="P162" s="86" t="str">
        <f t="shared" si="1"/>
        <v>Igual</v>
      </c>
    </row>
    <row r="163">
      <c r="B163" s="86"/>
      <c r="J163" s="55" t="s">
        <v>1725</v>
      </c>
      <c r="K163" s="55" t="s">
        <v>2252</v>
      </c>
      <c r="L163" s="55" t="s">
        <v>2253</v>
      </c>
      <c r="N163" s="55" t="s">
        <v>165</v>
      </c>
      <c r="O163" s="55" t="s">
        <v>1712</v>
      </c>
      <c r="P163" s="86" t="str">
        <f t="shared" si="1"/>
        <v>Diferente</v>
      </c>
    </row>
    <row r="164">
      <c r="A164" s="55" t="s">
        <v>1670</v>
      </c>
      <c r="B164" s="55" t="s">
        <v>1745</v>
      </c>
      <c r="C164" s="55" t="s">
        <v>2254</v>
      </c>
      <c r="D164" s="55" t="s">
        <v>583</v>
      </c>
      <c r="E164" s="43" t="s">
        <v>2255</v>
      </c>
      <c r="F164" s="55">
        <v>2025.0</v>
      </c>
      <c r="G164" s="55" t="s">
        <v>2256</v>
      </c>
      <c r="H164" s="55" t="s">
        <v>2257</v>
      </c>
      <c r="I164" s="55" t="s">
        <v>31</v>
      </c>
      <c r="J164" s="55" t="s">
        <v>1708</v>
      </c>
      <c r="K164" s="55" t="s">
        <v>2258</v>
      </c>
      <c r="L164" s="90" t="s">
        <v>1718</v>
      </c>
      <c r="M164" s="55" t="s">
        <v>2259</v>
      </c>
      <c r="N164" s="55" t="s">
        <v>166</v>
      </c>
      <c r="O164" s="55" t="s">
        <v>166</v>
      </c>
      <c r="P164" s="86" t="str">
        <f t="shared" si="1"/>
        <v>Igual</v>
      </c>
    </row>
    <row r="165">
      <c r="B165" s="86"/>
      <c r="J165" s="55" t="s">
        <v>1713</v>
      </c>
      <c r="K165" s="55" t="s">
        <v>2260</v>
      </c>
      <c r="L165" s="90" t="s">
        <v>1718</v>
      </c>
      <c r="M165" s="55" t="s">
        <v>2259</v>
      </c>
      <c r="N165" s="55" t="s">
        <v>166</v>
      </c>
      <c r="O165" s="55" t="s">
        <v>166</v>
      </c>
      <c r="P165" s="86" t="str">
        <f t="shared" si="1"/>
        <v>Igual</v>
      </c>
    </row>
    <row r="166">
      <c r="B166" s="86"/>
      <c r="J166" s="55" t="s">
        <v>1717</v>
      </c>
      <c r="K166" s="55" t="s">
        <v>2261</v>
      </c>
      <c r="L166" s="90" t="s">
        <v>2262</v>
      </c>
      <c r="M166" s="55" t="s">
        <v>2263</v>
      </c>
      <c r="N166" s="55" t="s">
        <v>166</v>
      </c>
      <c r="O166" s="55" t="s">
        <v>165</v>
      </c>
      <c r="P166" s="86" t="str">
        <f t="shared" si="1"/>
        <v>Diferente</v>
      </c>
    </row>
    <row r="167">
      <c r="B167" s="86"/>
      <c r="J167" s="55" t="s">
        <v>1721</v>
      </c>
      <c r="K167" s="55" t="s">
        <v>2264</v>
      </c>
      <c r="L167" s="90" t="s">
        <v>2265</v>
      </c>
      <c r="M167" s="55" t="s">
        <v>1755</v>
      </c>
      <c r="N167" s="55" t="s">
        <v>165</v>
      </c>
      <c r="O167" s="55" t="s">
        <v>165</v>
      </c>
      <c r="P167" s="86" t="str">
        <f t="shared" si="1"/>
        <v>Igual</v>
      </c>
    </row>
    <row r="168">
      <c r="B168" s="86"/>
      <c r="J168" s="55" t="s">
        <v>1725</v>
      </c>
      <c r="K168" s="55" t="s">
        <v>2266</v>
      </c>
      <c r="L168" s="90" t="s">
        <v>2267</v>
      </c>
      <c r="M168" s="55" t="s">
        <v>1755</v>
      </c>
      <c r="N168" s="55" t="s">
        <v>165</v>
      </c>
      <c r="O168" s="55" t="s">
        <v>1712</v>
      </c>
      <c r="P168" s="86" t="str">
        <f t="shared" si="1"/>
        <v>Diferente</v>
      </c>
    </row>
    <row r="169">
      <c r="A169" s="55" t="s">
        <v>1673</v>
      </c>
      <c r="B169" s="55" t="s">
        <v>1745</v>
      </c>
      <c r="C169" s="55" t="s">
        <v>2268</v>
      </c>
      <c r="D169" s="55" t="s">
        <v>2269</v>
      </c>
      <c r="E169" s="92" t="s">
        <v>2270</v>
      </c>
      <c r="F169" s="55">
        <v>2024.0</v>
      </c>
      <c r="G169" s="55" t="s">
        <v>2271</v>
      </c>
      <c r="H169" s="55" t="s">
        <v>1749</v>
      </c>
      <c r="I169" s="55" t="s">
        <v>31</v>
      </c>
      <c r="J169" s="55" t="s">
        <v>1708</v>
      </c>
      <c r="K169" s="55" t="s">
        <v>2272</v>
      </c>
      <c r="L169" s="90" t="s">
        <v>2273</v>
      </c>
      <c r="M169" s="55" t="s">
        <v>2274</v>
      </c>
      <c r="N169" s="55" t="s">
        <v>165</v>
      </c>
      <c r="O169" s="55" t="s">
        <v>166</v>
      </c>
      <c r="P169" s="86" t="str">
        <f t="shared" si="1"/>
        <v>Diferente</v>
      </c>
    </row>
    <row r="170">
      <c r="B170" s="86"/>
      <c r="J170" s="55" t="s">
        <v>1713</v>
      </c>
      <c r="K170" s="55" t="s">
        <v>1718</v>
      </c>
      <c r="L170" s="90" t="s">
        <v>2275</v>
      </c>
      <c r="M170" s="55" t="s">
        <v>2276</v>
      </c>
      <c r="N170" s="55" t="s">
        <v>165</v>
      </c>
      <c r="O170" s="55" t="s">
        <v>165</v>
      </c>
      <c r="P170" s="86" t="str">
        <f t="shared" si="1"/>
        <v>Igual</v>
      </c>
    </row>
    <row r="171">
      <c r="B171" s="86"/>
      <c r="J171" s="55" t="s">
        <v>1717</v>
      </c>
      <c r="K171" s="55" t="s">
        <v>2277</v>
      </c>
      <c r="L171" s="90" t="s">
        <v>2278</v>
      </c>
      <c r="M171" s="55" t="s">
        <v>2279</v>
      </c>
      <c r="N171" s="55" t="s">
        <v>165</v>
      </c>
      <c r="O171" s="55" t="s">
        <v>1712</v>
      </c>
      <c r="P171" s="86" t="str">
        <f t="shared" si="1"/>
        <v>Diferente</v>
      </c>
    </row>
    <row r="172">
      <c r="B172" s="86"/>
      <c r="J172" s="55" t="s">
        <v>1721</v>
      </c>
      <c r="K172" s="55" t="s">
        <v>1718</v>
      </c>
      <c r="L172" s="90" t="s">
        <v>2280</v>
      </c>
      <c r="M172" s="55" t="s">
        <v>2281</v>
      </c>
      <c r="N172" s="55" t="s">
        <v>166</v>
      </c>
      <c r="O172" s="55" t="s">
        <v>166</v>
      </c>
      <c r="P172" s="86" t="str">
        <f t="shared" si="1"/>
        <v>Igual</v>
      </c>
    </row>
    <row r="173">
      <c r="B173" s="86"/>
      <c r="J173" s="55" t="s">
        <v>1725</v>
      </c>
      <c r="K173" s="55" t="s">
        <v>1718</v>
      </c>
      <c r="L173" s="90" t="s">
        <v>2282</v>
      </c>
      <c r="M173" s="55" t="s">
        <v>2283</v>
      </c>
      <c r="N173" s="55" t="s">
        <v>166</v>
      </c>
      <c r="O173" s="55" t="s">
        <v>166</v>
      </c>
      <c r="P173" s="86" t="str">
        <f t="shared" si="1"/>
        <v>Igual</v>
      </c>
    </row>
    <row r="174">
      <c r="A174" s="55" t="s">
        <v>1676</v>
      </c>
      <c r="B174" s="55" t="s">
        <v>1704</v>
      </c>
      <c r="C174" s="55" t="s">
        <v>2284</v>
      </c>
      <c r="D174" s="55" t="s">
        <v>603</v>
      </c>
      <c r="E174" s="55" t="s">
        <v>2285</v>
      </c>
      <c r="F174" s="55">
        <v>2025.0</v>
      </c>
      <c r="G174" s="55" t="s">
        <v>2286</v>
      </c>
      <c r="H174" s="55" t="s">
        <v>2287</v>
      </c>
      <c r="I174" s="55" t="s">
        <v>31</v>
      </c>
      <c r="J174" s="55" t="s">
        <v>1708</v>
      </c>
      <c r="K174" s="55" t="s">
        <v>2288</v>
      </c>
      <c r="L174" s="90" t="s">
        <v>2289</v>
      </c>
      <c r="M174" s="55" t="s">
        <v>2290</v>
      </c>
      <c r="N174" s="55" t="s">
        <v>1712</v>
      </c>
      <c r="O174" s="55" t="s">
        <v>166</v>
      </c>
      <c r="P174" s="86" t="str">
        <f t="shared" si="1"/>
        <v>Diferente</v>
      </c>
    </row>
    <row r="175">
      <c r="B175" s="86"/>
      <c r="J175" s="55" t="s">
        <v>1713</v>
      </c>
      <c r="K175" s="55" t="s">
        <v>2291</v>
      </c>
      <c r="L175" s="90" t="s">
        <v>2292</v>
      </c>
      <c r="M175" s="55" t="s">
        <v>2290</v>
      </c>
      <c r="N175" s="55" t="s">
        <v>1712</v>
      </c>
      <c r="O175" s="55" t="s">
        <v>1712</v>
      </c>
      <c r="P175" s="86" t="str">
        <f t="shared" si="1"/>
        <v>Igual</v>
      </c>
    </row>
    <row r="176">
      <c r="B176" s="86"/>
      <c r="J176" s="55" t="s">
        <v>1717</v>
      </c>
      <c r="K176" s="55" t="s">
        <v>2293</v>
      </c>
      <c r="L176" s="90" t="s">
        <v>2294</v>
      </c>
      <c r="M176" s="55" t="s">
        <v>2290</v>
      </c>
      <c r="N176" s="55" t="s">
        <v>1712</v>
      </c>
      <c r="O176" s="55" t="s">
        <v>166</v>
      </c>
      <c r="P176" s="86" t="str">
        <f t="shared" si="1"/>
        <v>Diferente</v>
      </c>
    </row>
    <row r="177">
      <c r="B177" s="86"/>
      <c r="J177" s="55" t="s">
        <v>1721</v>
      </c>
      <c r="K177" s="55" t="s">
        <v>2295</v>
      </c>
      <c r="L177" s="90" t="s">
        <v>2296</v>
      </c>
      <c r="M177" s="55" t="s">
        <v>2297</v>
      </c>
      <c r="N177" s="55" t="s">
        <v>166</v>
      </c>
      <c r="O177" s="55" t="s">
        <v>166</v>
      </c>
      <c r="P177" s="86" t="str">
        <f t="shared" si="1"/>
        <v>Igual</v>
      </c>
    </row>
    <row r="178">
      <c r="B178" s="86"/>
      <c r="J178" s="55" t="s">
        <v>1725</v>
      </c>
      <c r="K178" s="55" t="s">
        <v>2298</v>
      </c>
      <c r="L178" s="90" t="s">
        <v>1755</v>
      </c>
      <c r="M178" s="55" t="s">
        <v>2299</v>
      </c>
      <c r="N178" s="55" t="s">
        <v>166</v>
      </c>
      <c r="O178" s="55" t="s">
        <v>166</v>
      </c>
      <c r="P178" s="86" t="str">
        <f t="shared" si="1"/>
        <v>Igual</v>
      </c>
    </row>
    <row r="179">
      <c r="A179" s="55" t="s">
        <v>1679</v>
      </c>
      <c r="B179" s="55" t="s">
        <v>1745</v>
      </c>
      <c r="C179" s="55" t="s">
        <v>2300</v>
      </c>
      <c r="D179" s="55" t="s">
        <v>649</v>
      </c>
      <c r="E179" s="55" t="s">
        <v>2301</v>
      </c>
      <c r="F179" s="55">
        <v>2025.0</v>
      </c>
      <c r="G179" s="55" t="s">
        <v>2302</v>
      </c>
      <c r="H179" s="55" t="s">
        <v>2303</v>
      </c>
      <c r="I179" s="55" t="s">
        <v>31</v>
      </c>
      <c r="J179" s="55" t="s">
        <v>1708</v>
      </c>
      <c r="K179" s="55" t="s">
        <v>2304</v>
      </c>
      <c r="L179" s="90" t="s">
        <v>2305</v>
      </c>
      <c r="M179" s="55" t="s">
        <v>1755</v>
      </c>
      <c r="N179" s="55" t="s">
        <v>166</v>
      </c>
      <c r="O179" s="55" t="s">
        <v>166</v>
      </c>
      <c r="P179" s="86" t="str">
        <f t="shared" si="1"/>
        <v>Igual</v>
      </c>
    </row>
    <row r="180">
      <c r="B180" s="86"/>
      <c r="J180" s="55" t="s">
        <v>1713</v>
      </c>
      <c r="K180" s="55" t="s">
        <v>1718</v>
      </c>
      <c r="L180" s="90" t="s">
        <v>1755</v>
      </c>
      <c r="M180" s="55" t="s">
        <v>1755</v>
      </c>
      <c r="N180" s="55" t="s">
        <v>165</v>
      </c>
      <c r="O180" s="55" t="s">
        <v>165</v>
      </c>
      <c r="P180" s="86" t="str">
        <f t="shared" si="1"/>
        <v>Igual</v>
      </c>
    </row>
    <row r="181">
      <c r="B181" s="86"/>
      <c r="J181" s="55" t="s">
        <v>1717</v>
      </c>
      <c r="K181" s="55" t="s">
        <v>2306</v>
      </c>
      <c r="L181" s="90" t="s">
        <v>2307</v>
      </c>
      <c r="M181" s="55" t="s">
        <v>2308</v>
      </c>
      <c r="N181" s="55" t="s">
        <v>165</v>
      </c>
      <c r="O181" s="55" t="s">
        <v>1712</v>
      </c>
      <c r="P181" s="86" t="str">
        <f t="shared" si="1"/>
        <v>Diferente</v>
      </c>
    </row>
    <row r="182">
      <c r="B182" s="86"/>
      <c r="J182" s="55" t="s">
        <v>1721</v>
      </c>
      <c r="K182" s="90" t="s">
        <v>1718</v>
      </c>
      <c r="L182" s="90" t="s">
        <v>1755</v>
      </c>
      <c r="M182" s="55" t="s">
        <v>1755</v>
      </c>
      <c r="N182" s="55" t="s">
        <v>165</v>
      </c>
      <c r="O182" s="55" t="s">
        <v>165</v>
      </c>
      <c r="P182" s="86" t="str">
        <f t="shared" si="1"/>
        <v>Igual</v>
      </c>
    </row>
    <row r="183">
      <c r="B183" s="86"/>
      <c r="J183" s="55" t="s">
        <v>1725</v>
      </c>
      <c r="K183" s="90" t="s">
        <v>2309</v>
      </c>
      <c r="L183" s="90" t="s">
        <v>2310</v>
      </c>
      <c r="M183" s="55" t="s">
        <v>1755</v>
      </c>
      <c r="N183" s="55" t="s">
        <v>166</v>
      </c>
      <c r="O183" s="55" t="s">
        <v>166</v>
      </c>
      <c r="P183" s="86" t="str">
        <f t="shared" si="1"/>
        <v>Igual</v>
      </c>
    </row>
    <row r="184">
      <c r="A184" s="55" t="s">
        <v>1682</v>
      </c>
      <c r="B184" s="55" t="s">
        <v>2311</v>
      </c>
      <c r="C184" s="55" t="s">
        <v>2312</v>
      </c>
      <c r="D184" s="55" t="s">
        <v>2313</v>
      </c>
      <c r="E184" s="55" t="s">
        <v>2314</v>
      </c>
      <c r="F184" s="55">
        <v>2025.0</v>
      </c>
      <c r="G184" s="55" t="s">
        <v>2315</v>
      </c>
      <c r="H184" s="55" t="s">
        <v>2101</v>
      </c>
      <c r="I184" s="55" t="s">
        <v>31</v>
      </c>
      <c r="J184" s="55" t="s">
        <v>1708</v>
      </c>
      <c r="K184" s="90" t="s">
        <v>2316</v>
      </c>
      <c r="L184" s="90" t="s">
        <v>2317</v>
      </c>
      <c r="M184" s="55" t="s">
        <v>2318</v>
      </c>
      <c r="N184" s="55" t="s">
        <v>165</v>
      </c>
      <c r="O184" s="55" t="s">
        <v>1712</v>
      </c>
      <c r="P184" s="86" t="str">
        <f t="shared" si="1"/>
        <v>Diferente</v>
      </c>
    </row>
    <row r="185">
      <c r="B185" s="86"/>
      <c r="J185" s="55" t="s">
        <v>1713</v>
      </c>
      <c r="K185" s="90" t="s">
        <v>2319</v>
      </c>
      <c r="L185" s="90" t="s">
        <v>2320</v>
      </c>
      <c r="M185" s="55" t="s">
        <v>2321</v>
      </c>
      <c r="N185" s="55" t="s">
        <v>165</v>
      </c>
      <c r="O185" s="55" t="s">
        <v>165</v>
      </c>
      <c r="P185" s="86" t="str">
        <f t="shared" si="1"/>
        <v>Igual</v>
      </c>
    </row>
    <row r="186">
      <c r="B186" s="86"/>
      <c r="J186" s="55" t="s">
        <v>1717</v>
      </c>
      <c r="K186" s="90" t="s">
        <v>2322</v>
      </c>
      <c r="L186" s="90" t="s">
        <v>2323</v>
      </c>
      <c r="M186" s="55" t="s">
        <v>2324</v>
      </c>
      <c r="N186" s="55" t="s">
        <v>165</v>
      </c>
      <c r="O186" s="55" t="s">
        <v>165</v>
      </c>
      <c r="P186" s="86" t="str">
        <f t="shared" si="1"/>
        <v>Igual</v>
      </c>
    </row>
    <row r="187">
      <c r="B187" s="86"/>
      <c r="J187" s="55" t="s">
        <v>1721</v>
      </c>
      <c r="K187" s="90" t="s">
        <v>2325</v>
      </c>
      <c r="L187" s="90" t="s">
        <v>2326</v>
      </c>
      <c r="N187" s="55" t="s">
        <v>165</v>
      </c>
      <c r="O187" s="55" t="s">
        <v>166</v>
      </c>
      <c r="P187" s="86" t="str">
        <f t="shared" si="1"/>
        <v>Diferente</v>
      </c>
    </row>
    <row r="188">
      <c r="B188" s="86"/>
      <c r="J188" s="55" t="s">
        <v>1725</v>
      </c>
      <c r="K188" s="90" t="s">
        <v>2327</v>
      </c>
      <c r="L188" s="90" t="s">
        <v>2328</v>
      </c>
      <c r="M188" s="55" t="s">
        <v>2329</v>
      </c>
      <c r="N188" s="55" t="s">
        <v>1712</v>
      </c>
      <c r="O188" s="55" t="s">
        <v>166</v>
      </c>
      <c r="P188" s="86" t="str">
        <f t="shared" si="1"/>
        <v>Diferente</v>
      </c>
    </row>
    <row r="189">
      <c r="A189" s="55" t="s">
        <v>1488</v>
      </c>
      <c r="B189" s="55" t="s">
        <v>1745</v>
      </c>
      <c r="C189" s="55" t="s">
        <v>2330</v>
      </c>
      <c r="D189" s="55" t="s">
        <v>1059</v>
      </c>
      <c r="E189" s="43" t="s">
        <v>2331</v>
      </c>
      <c r="F189" s="55">
        <v>2022.0</v>
      </c>
      <c r="G189" s="55" t="s">
        <v>2332</v>
      </c>
      <c r="H189" s="55" t="s">
        <v>2333</v>
      </c>
      <c r="I189" s="55" t="s">
        <v>31</v>
      </c>
      <c r="J189" s="55" t="s">
        <v>1708</v>
      </c>
      <c r="K189" s="90" t="s">
        <v>1718</v>
      </c>
      <c r="L189" s="90" t="s">
        <v>2334</v>
      </c>
      <c r="M189" s="55" t="s">
        <v>2335</v>
      </c>
      <c r="N189" s="55" t="s">
        <v>166</v>
      </c>
      <c r="O189" s="55" t="s">
        <v>165</v>
      </c>
      <c r="P189" s="86" t="str">
        <f t="shared" si="1"/>
        <v>Diferente</v>
      </c>
    </row>
    <row r="190">
      <c r="B190" s="86"/>
      <c r="J190" s="55" t="s">
        <v>1713</v>
      </c>
      <c r="K190" s="90" t="s">
        <v>2336</v>
      </c>
      <c r="L190" s="90" t="s">
        <v>2337</v>
      </c>
      <c r="M190" s="55" t="s">
        <v>2338</v>
      </c>
      <c r="N190" s="55" t="s">
        <v>165</v>
      </c>
      <c r="O190" s="55" t="s">
        <v>166</v>
      </c>
      <c r="P190" s="86" t="str">
        <f t="shared" si="1"/>
        <v>Diferente</v>
      </c>
    </row>
    <row r="191">
      <c r="B191" s="86"/>
      <c r="J191" s="55" t="s">
        <v>1717</v>
      </c>
      <c r="K191" s="55" t="s">
        <v>2339</v>
      </c>
      <c r="L191" s="55" t="s">
        <v>2340</v>
      </c>
      <c r="M191" s="55" t="s">
        <v>2341</v>
      </c>
      <c r="N191" s="55" t="s">
        <v>165</v>
      </c>
      <c r="O191" s="55" t="s">
        <v>1712</v>
      </c>
      <c r="P191" s="86" t="str">
        <f t="shared" si="1"/>
        <v>Diferente</v>
      </c>
    </row>
    <row r="192">
      <c r="B192" s="86"/>
      <c r="J192" s="55" t="s">
        <v>1721</v>
      </c>
      <c r="K192" s="55" t="s">
        <v>2342</v>
      </c>
      <c r="L192" s="55" t="s">
        <v>2343</v>
      </c>
      <c r="M192" s="55" t="s">
        <v>2344</v>
      </c>
      <c r="N192" s="55" t="s">
        <v>165</v>
      </c>
      <c r="O192" s="55" t="s">
        <v>1712</v>
      </c>
      <c r="P192" s="86" t="str">
        <f t="shared" si="1"/>
        <v>Diferente</v>
      </c>
    </row>
    <row r="193">
      <c r="B193" s="86"/>
      <c r="J193" s="55" t="s">
        <v>1725</v>
      </c>
      <c r="K193" s="55" t="s">
        <v>2345</v>
      </c>
      <c r="L193" s="55" t="s">
        <v>2346</v>
      </c>
      <c r="M193" s="55" t="s">
        <v>2347</v>
      </c>
      <c r="N193" s="55" t="s">
        <v>165</v>
      </c>
      <c r="O193" s="55" t="s">
        <v>166</v>
      </c>
      <c r="P193" s="86" t="str">
        <f t="shared" si="1"/>
        <v>Diferente</v>
      </c>
    </row>
    <row r="194">
      <c r="A194" s="55" t="s">
        <v>1491</v>
      </c>
      <c r="B194" s="55" t="s">
        <v>1745</v>
      </c>
      <c r="C194" s="55" t="s">
        <v>2348</v>
      </c>
      <c r="D194" s="55" t="s">
        <v>936</v>
      </c>
      <c r="E194" s="43" t="s">
        <v>2349</v>
      </c>
      <c r="F194" s="55">
        <v>2023.0</v>
      </c>
      <c r="G194" s="55" t="s">
        <v>2350</v>
      </c>
      <c r="H194" s="55" t="s">
        <v>2351</v>
      </c>
      <c r="I194" s="55" t="s">
        <v>31</v>
      </c>
      <c r="J194" s="55" t="s">
        <v>1708</v>
      </c>
      <c r="K194" s="55" t="s">
        <v>2352</v>
      </c>
      <c r="L194" s="55" t="s">
        <v>2353</v>
      </c>
      <c r="M194" s="55" t="s">
        <v>2354</v>
      </c>
      <c r="N194" s="55" t="s">
        <v>166</v>
      </c>
      <c r="O194" s="55" t="s">
        <v>165</v>
      </c>
      <c r="P194" s="86" t="str">
        <f t="shared" si="1"/>
        <v>Diferente</v>
      </c>
    </row>
    <row r="195">
      <c r="B195" s="86"/>
      <c r="J195" s="55" t="s">
        <v>1713</v>
      </c>
      <c r="K195" s="55" t="s">
        <v>2355</v>
      </c>
      <c r="L195" s="55" t="s">
        <v>2356</v>
      </c>
      <c r="M195" s="55" t="s">
        <v>2357</v>
      </c>
      <c r="N195" s="55" t="s">
        <v>165</v>
      </c>
      <c r="O195" s="55" t="s">
        <v>166</v>
      </c>
      <c r="P195" s="86" t="str">
        <f t="shared" si="1"/>
        <v>Diferente</v>
      </c>
    </row>
    <row r="196">
      <c r="B196" s="86"/>
      <c r="J196" s="55" t="s">
        <v>1717</v>
      </c>
      <c r="K196" s="55" t="s">
        <v>2358</v>
      </c>
      <c r="L196" s="55" t="s">
        <v>2359</v>
      </c>
      <c r="M196" s="55" t="s">
        <v>2360</v>
      </c>
      <c r="N196" s="55" t="s">
        <v>165</v>
      </c>
      <c r="O196" s="55" t="s">
        <v>1712</v>
      </c>
      <c r="P196" s="86" t="str">
        <f t="shared" si="1"/>
        <v>Diferente</v>
      </c>
    </row>
    <row r="197">
      <c r="B197" s="86"/>
      <c r="J197" s="55" t="s">
        <v>1721</v>
      </c>
      <c r="K197" s="55" t="s">
        <v>1718</v>
      </c>
      <c r="L197" s="55" t="s">
        <v>2361</v>
      </c>
      <c r="M197" s="55" t="s">
        <v>2362</v>
      </c>
      <c r="N197" s="55" t="s">
        <v>166</v>
      </c>
      <c r="O197" s="55" t="s">
        <v>165</v>
      </c>
      <c r="P197" s="86" t="str">
        <f t="shared" si="1"/>
        <v>Diferente</v>
      </c>
    </row>
    <row r="198">
      <c r="B198" s="86"/>
      <c r="J198" s="55" t="s">
        <v>1725</v>
      </c>
      <c r="K198" s="55" t="s">
        <v>2363</v>
      </c>
      <c r="L198" s="55" t="s">
        <v>2364</v>
      </c>
      <c r="M198" s="55" t="s">
        <v>2365</v>
      </c>
      <c r="N198" s="55" t="s">
        <v>165</v>
      </c>
      <c r="O198" s="55" t="s">
        <v>165</v>
      </c>
      <c r="P198" s="86" t="str">
        <f t="shared" si="1"/>
        <v>Igual</v>
      </c>
    </row>
    <row r="199">
      <c r="A199" s="55" t="s">
        <v>1685</v>
      </c>
      <c r="B199" s="55" t="s">
        <v>1704</v>
      </c>
      <c r="C199" s="55" t="s">
        <v>2366</v>
      </c>
      <c r="D199" s="55" t="s">
        <v>683</v>
      </c>
      <c r="E199" s="55" t="s">
        <v>2367</v>
      </c>
      <c r="F199" s="55">
        <v>2025.0</v>
      </c>
      <c r="G199" s="55" t="s">
        <v>2368</v>
      </c>
      <c r="H199" s="55" t="s">
        <v>2369</v>
      </c>
      <c r="I199" s="55" t="s">
        <v>31</v>
      </c>
      <c r="J199" s="55" t="s">
        <v>1708</v>
      </c>
      <c r="K199" s="55" t="s">
        <v>1755</v>
      </c>
      <c r="L199" s="55" t="s">
        <v>2370</v>
      </c>
      <c r="M199" s="55" t="s">
        <v>2371</v>
      </c>
      <c r="N199" s="55" t="s">
        <v>165</v>
      </c>
      <c r="O199" s="55" t="s">
        <v>165</v>
      </c>
      <c r="P199" s="86" t="str">
        <f t="shared" si="1"/>
        <v>Igual</v>
      </c>
    </row>
    <row r="200">
      <c r="B200" s="86"/>
      <c r="J200" s="55" t="s">
        <v>1713</v>
      </c>
      <c r="K200" s="55" t="s">
        <v>1755</v>
      </c>
      <c r="L200" s="55" t="s">
        <v>2372</v>
      </c>
      <c r="M200" s="55" t="s">
        <v>1755</v>
      </c>
      <c r="N200" s="55" t="s">
        <v>165</v>
      </c>
      <c r="O200" s="55" t="s">
        <v>165</v>
      </c>
      <c r="P200" s="86" t="str">
        <f t="shared" si="1"/>
        <v>Igual</v>
      </c>
    </row>
    <row r="201">
      <c r="B201" s="86"/>
      <c r="J201" s="55" t="s">
        <v>1717</v>
      </c>
      <c r="K201" s="55" t="s">
        <v>1755</v>
      </c>
      <c r="L201" s="55" t="s">
        <v>1755</v>
      </c>
      <c r="M201" s="55" t="s">
        <v>1755</v>
      </c>
      <c r="N201" s="55" t="s">
        <v>165</v>
      </c>
      <c r="O201" s="55" t="s">
        <v>165</v>
      </c>
      <c r="P201" s="86" t="str">
        <f t="shared" si="1"/>
        <v>Igual</v>
      </c>
    </row>
    <row r="202">
      <c r="B202" s="86"/>
      <c r="J202" s="55" t="s">
        <v>1721</v>
      </c>
      <c r="K202" s="55" t="s">
        <v>1755</v>
      </c>
      <c r="L202" s="55" t="s">
        <v>1755</v>
      </c>
      <c r="M202" s="55" t="s">
        <v>1755</v>
      </c>
      <c r="N202" s="55" t="s">
        <v>165</v>
      </c>
      <c r="O202" s="55" t="s">
        <v>165</v>
      </c>
      <c r="P202" s="86" t="str">
        <f t="shared" si="1"/>
        <v>Igual</v>
      </c>
    </row>
    <row r="203">
      <c r="B203" s="86"/>
      <c r="J203" s="55" t="s">
        <v>1725</v>
      </c>
      <c r="K203" s="55" t="s">
        <v>2373</v>
      </c>
      <c r="L203" s="55" t="s">
        <v>1755</v>
      </c>
      <c r="M203" s="55" t="s">
        <v>1755</v>
      </c>
      <c r="N203" s="55" t="s">
        <v>165</v>
      </c>
      <c r="O203" s="55" t="s">
        <v>165</v>
      </c>
      <c r="P203" s="86" t="str">
        <f t="shared" si="1"/>
        <v>Igual</v>
      </c>
    </row>
    <row r="204">
      <c r="A204" s="55" t="s">
        <v>1492</v>
      </c>
      <c r="B204" s="55" t="s">
        <v>1745</v>
      </c>
      <c r="C204" s="55" t="s">
        <v>2374</v>
      </c>
      <c r="D204" s="55" t="s">
        <v>421</v>
      </c>
      <c r="E204" s="92" t="s">
        <v>2375</v>
      </c>
      <c r="F204" s="55">
        <v>2025.0</v>
      </c>
      <c r="G204" s="55" t="s">
        <v>2376</v>
      </c>
      <c r="H204" s="55" t="s">
        <v>1749</v>
      </c>
      <c r="I204" s="55" t="s">
        <v>31</v>
      </c>
      <c r="J204" s="55" t="s">
        <v>1708</v>
      </c>
      <c r="K204" s="55" t="s">
        <v>2377</v>
      </c>
      <c r="L204" s="55" t="s">
        <v>2378</v>
      </c>
      <c r="M204" s="55" t="s">
        <v>2379</v>
      </c>
      <c r="N204" s="55" t="s">
        <v>166</v>
      </c>
      <c r="O204" s="55" t="s">
        <v>165</v>
      </c>
      <c r="P204" s="86" t="str">
        <f t="shared" si="1"/>
        <v>Diferente</v>
      </c>
    </row>
    <row r="205">
      <c r="B205" s="86"/>
      <c r="J205" s="55" t="s">
        <v>1713</v>
      </c>
      <c r="K205" s="55" t="s">
        <v>2380</v>
      </c>
      <c r="L205" s="55" t="s">
        <v>2381</v>
      </c>
      <c r="M205" s="55" t="s">
        <v>2382</v>
      </c>
      <c r="N205" s="55" t="s">
        <v>165</v>
      </c>
      <c r="O205" s="55" t="s">
        <v>1712</v>
      </c>
      <c r="P205" s="86" t="str">
        <f t="shared" si="1"/>
        <v>Diferente</v>
      </c>
    </row>
    <row r="206">
      <c r="B206" s="86"/>
      <c r="J206" s="55" t="s">
        <v>1717</v>
      </c>
      <c r="K206" s="55" t="s">
        <v>2383</v>
      </c>
      <c r="L206" s="55" t="s">
        <v>2384</v>
      </c>
      <c r="M206" s="55" t="s">
        <v>2385</v>
      </c>
      <c r="N206" s="55" t="s">
        <v>166</v>
      </c>
      <c r="O206" s="55" t="s">
        <v>165</v>
      </c>
      <c r="P206" s="86" t="str">
        <f t="shared" si="1"/>
        <v>Diferente</v>
      </c>
    </row>
    <row r="207">
      <c r="B207" s="86"/>
      <c r="J207" s="55" t="s">
        <v>1721</v>
      </c>
      <c r="K207" s="55" t="s">
        <v>1718</v>
      </c>
      <c r="L207" s="55" t="s">
        <v>2386</v>
      </c>
      <c r="M207" s="55" t="s">
        <v>2387</v>
      </c>
      <c r="N207" s="55" t="s">
        <v>166</v>
      </c>
      <c r="O207" s="55" t="s">
        <v>165</v>
      </c>
      <c r="P207" s="86" t="str">
        <f t="shared" si="1"/>
        <v>Diferente</v>
      </c>
    </row>
    <row r="208">
      <c r="B208" s="86"/>
      <c r="J208" s="55" t="s">
        <v>1725</v>
      </c>
      <c r="K208" s="55" t="s">
        <v>2388</v>
      </c>
      <c r="L208" s="55" t="s">
        <v>2389</v>
      </c>
      <c r="M208" s="55" t="s">
        <v>2390</v>
      </c>
      <c r="N208" s="55" t="s">
        <v>166</v>
      </c>
      <c r="O208" s="55" t="s">
        <v>1712</v>
      </c>
      <c r="P208" s="86" t="str">
        <f t="shared" si="1"/>
        <v>Diferente</v>
      </c>
    </row>
    <row r="209">
      <c r="A209" s="55" t="s">
        <v>1498</v>
      </c>
      <c r="B209" s="55" t="s">
        <v>1745</v>
      </c>
      <c r="C209" s="55" t="s">
        <v>2391</v>
      </c>
      <c r="D209" s="55" t="s">
        <v>1499</v>
      </c>
      <c r="E209" s="92" t="s">
        <v>2392</v>
      </c>
      <c r="F209" s="55">
        <v>2025.0</v>
      </c>
      <c r="G209" s="55" t="s">
        <v>2393</v>
      </c>
      <c r="H209" s="55" t="s">
        <v>1845</v>
      </c>
      <c r="I209" s="55" t="s">
        <v>31</v>
      </c>
      <c r="J209" s="55" t="s">
        <v>1708</v>
      </c>
      <c r="K209" s="55" t="s">
        <v>2394</v>
      </c>
      <c r="L209" s="55" t="s">
        <v>2395</v>
      </c>
      <c r="M209" s="55" t="s">
        <v>2396</v>
      </c>
      <c r="N209" s="55" t="s">
        <v>165</v>
      </c>
      <c r="O209" s="55" t="s">
        <v>165</v>
      </c>
      <c r="P209" s="86" t="str">
        <f t="shared" si="1"/>
        <v>Igual</v>
      </c>
    </row>
    <row r="210">
      <c r="B210" s="86"/>
      <c r="J210" s="55" t="s">
        <v>1713</v>
      </c>
      <c r="K210" s="55" t="s">
        <v>2397</v>
      </c>
      <c r="L210" s="55" t="s">
        <v>2398</v>
      </c>
      <c r="M210" s="55" t="s">
        <v>2399</v>
      </c>
      <c r="N210" s="55" t="s">
        <v>1712</v>
      </c>
      <c r="O210" s="55" t="s">
        <v>165</v>
      </c>
      <c r="P210" s="86" t="str">
        <f t="shared" si="1"/>
        <v>Diferente</v>
      </c>
    </row>
    <row r="211">
      <c r="B211" s="86"/>
      <c r="J211" s="55" t="s">
        <v>1717</v>
      </c>
      <c r="K211" s="55" t="s">
        <v>2400</v>
      </c>
      <c r="L211" s="55" t="s">
        <v>2401</v>
      </c>
      <c r="M211" s="55" t="s">
        <v>2402</v>
      </c>
      <c r="N211" s="55" t="s">
        <v>166</v>
      </c>
      <c r="O211" s="55" t="s">
        <v>165</v>
      </c>
      <c r="P211" s="86" t="str">
        <f t="shared" si="1"/>
        <v>Diferente</v>
      </c>
    </row>
    <row r="212">
      <c r="B212" s="86"/>
      <c r="J212" s="55" t="s">
        <v>1721</v>
      </c>
      <c r="K212" s="55" t="s">
        <v>2403</v>
      </c>
      <c r="L212" s="55" t="s">
        <v>2404</v>
      </c>
      <c r="M212" s="55" t="s">
        <v>2405</v>
      </c>
      <c r="N212" s="55" t="s">
        <v>166</v>
      </c>
      <c r="O212" s="55" t="s">
        <v>165</v>
      </c>
      <c r="P212" s="86" t="str">
        <f t="shared" si="1"/>
        <v>Diferente</v>
      </c>
    </row>
    <row r="213">
      <c r="B213" s="86"/>
      <c r="J213" s="55" t="s">
        <v>1725</v>
      </c>
      <c r="K213" s="55" t="s">
        <v>2406</v>
      </c>
      <c r="L213" s="55" t="s">
        <v>2407</v>
      </c>
      <c r="M213" s="55" t="s">
        <v>2408</v>
      </c>
      <c r="N213" s="55" t="s">
        <v>166</v>
      </c>
      <c r="O213" s="55" t="s">
        <v>166</v>
      </c>
      <c r="P213" s="86" t="str">
        <f t="shared" si="1"/>
        <v>Igual</v>
      </c>
    </row>
    <row r="214">
      <c r="A214" s="55" t="s">
        <v>1501</v>
      </c>
      <c r="B214" s="55" t="s">
        <v>1704</v>
      </c>
      <c r="C214" s="55" t="s">
        <v>34</v>
      </c>
      <c r="D214" s="55" t="s">
        <v>1502</v>
      </c>
      <c r="E214" s="92" t="s">
        <v>2409</v>
      </c>
      <c r="F214" s="55">
        <v>2025.0</v>
      </c>
      <c r="G214" s="55" t="s">
        <v>2410</v>
      </c>
      <c r="H214" s="55" t="s">
        <v>1793</v>
      </c>
      <c r="I214" s="55" t="s">
        <v>34</v>
      </c>
      <c r="J214" s="55" t="s">
        <v>1708</v>
      </c>
      <c r="K214" s="55" t="s">
        <v>2411</v>
      </c>
      <c r="L214" s="55" t="s">
        <v>2412</v>
      </c>
      <c r="M214" s="55" t="s">
        <v>2413</v>
      </c>
      <c r="N214" s="55" t="s">
        <v>166</v>
      </c>
      <c r="O214" s="55" t="s">
        <v>165</v>
      </c>
      <c r="P214" s="86" t="str">
        <f t="shared" si="1"/>
        <v>Diferente</v>
      </c>
    </row>
    <row r="215">
      <c r="B215" s="86"/>
      <c r="J215" s="55" t="s">
        <v>1713</v>
      </c>
      <c r="K215" s="55" t="s">
        <v>2414</v>
      </c>
      <c r="L215" s="55" t="s">
        <v>2415</v>
      </c>
      <c r="M215" s="55" t="s">
        <v>2416</v>
      </c>
      <c r="N215" s="55" t="s">
        <v>166</v>
      </c>
      <c r="O215" s="55" t="s">
        <v>165</v>
      </c>
      <c r="P215" s="86" t="str">
        <f t="shared" si="1"/>
        <v>Diferente</v>
      </c>
    </row>
    <row r="216">
      <c r="B216" s="86"/>
      <c r="J216" s="55" t="s">
        <v>1717</v>
      </c>
      <c r="K216" s="55" t="s">
        <v>2417</v>
      </c>
      <c r="L216" s="55" t="s">
        <v>2418</v>
      </c>
      <c r="M216" s="55" t="s">
        <v>2419</v>
      </c>
      <c r="N216" s="55" t="s">
        <v>1712</v>
      </c>
      <c r="O216" s="55" t="s">
        <v>165</v>
      </c>
      <c r="P216" s="86" t="str">
        <f t="shared" si="1"/>
        <v>Diferente</v>
      </c>
    </row>
    <row r="217">
      <c r="B217" s="86"/>
      <c r="J217" s="55" t="s">
        <v>1721</v>
      </c>
      <c r="K217" s="55" t="s">
        <v>2420</v>
      </c>
      <c r="L217" s="55" t="s">
        <v>2421</v>
      </c>
      <c r="M217" s="55" t="s">
        <v>2422</v>
      </c>
      <c r="N217" s="55" t="s">
        <v>166</v>
      </c>
      <c r="O217" s="55" t="s">
        <v>165</v>
      </c>
      <c r="P217" s="86" t="str">
        <f t="shared" si="1"/>
        <v>Diferente</v>
      </c>
    </row>
    <row r="218">
      <c r="B218" s="86"/>
      <c r="J218" s="55" t="s">
        <v>1725</v>
      </c>
      <c r="K218" s="55" t="s">
        <v>2423</v>
      </c>
      <c r="L218" s="55" t="s">
        <v>2424</v>
      </c>
      <c r="M218" s="55" t="s">
        <v>2425</v>
      </c>
      <c r="N218" s="55" t="s">
        <v>165</v>
      </c>
      <c r="O218" s="55" t="s">
        <v>165</v>
      </c>
      <c r="P218" s="86" t="str">
        <f t="shared" si="1"/>
        <v>Igual</v>
      </c>
    </row>
    <row r="219">
      <c r="A219" s="55" t="s">
        <v>1513</v>
      </c>
      <c r="B219" s="55" t="s">
        <v>1745</v>
      </c>
      <c r="C219" s="55" t="s">
        <v>2426</v>
      </c>
      <c r="D219" s="55" t="s">
        <v>481</v>
      </c>
      <c r="E219" s="43" t="s">
        <v>2427</v>
      </c>
      <c r="F219" s="55">
        <v>2025.0</v>
      </c>
      <c r="G219" s="55" t="s">
        <v>2428</v>
      </c>
      <c r="H219" s="55" t="s">
        <v>2429</v>
      </c>
      <c r="I219" s="55" t="s">
        <v>31</v>
      </c>
      <c r="J219" s="55" t="s">
        <v>1708</v>
      </c>
      <c r="K219" s="55" t="s">
        <v>2430</v>
      </c>
      <c r="L219" s="55" t="s">
        <v>2431</v>
      </c>
      <c r="M219" s="55" t="s">
        <v>2432</v>
      </c>
      <c r="N219" s="55" t="s">
        <v>166</v>
      </c>
      <c r="O219" s="55" t="s">
        <v>165</v>
      </c>
      <c r="P219" s="86" t="str">
        <f t="shared" si="1"/>
        <v>Diferente</v>
      </c>
    </row>
    <row r="220">
      <c r="B220" s="86"/>
      <c r="J220" s="55" t="s">
        <v>1713</v>
      </c>
      <c r="K220" s="55" t="s">
        <v>2433</v>
      </c>
      <c r="L220" s="55" t="s">
        <v>2434</v>
      </c>
      <c r="M220" s="55" t="s">
        <v>2435</v>
      </c>
      <c r="N220" s="55" t="s">
        <v>165</v>
      </c>
      <c r="O220" s="55" t="s">
        <v>165</v>
      </c>
      <c r="P220" s="86" t="str">
        <f t="shared" si="1"/>
        <v>Igual</v>
      </c>
    </row>
    <row r="221">
      <c r="B221" s="86"/>
      <c r="J221" s="55" t="s">
        <v>1717</v>
      </c>
      <c r="K221" s="55" t="s">
        <v>2436</v>
      </c>
      <c r="L221" s="55" t="s">
        <v>2437</v>
      </c>
      <c r="M221" s="55" t="s">
        <v>2438</v>
      </c>
      <c r="N221" s="55" t="s">
        <v>165</v>
      </c>
      <c r="O221" s="55" t="s">
        <v>165</v>
      </c>
      <c r="P221" s="86" t="str">
        <f t="shared" si="1"/>
        <v>Igual</v>
      </c>
    </row>
    <row r="222">
      <c r="B222" s="86"/>
      <c r="J222" s="55" t="s">
        <v>1721</v>
      </c>
      <c r="K222" s="55" t="s">
        <v>2439</v>
      </c>
      <c r="L222" s="55" t="s">
        <v>2440</v>
      </c>
      <c r="M222" s="55" t="s">
        <v>2441</v>
      </c>
      <c r="N222" s="55" t="s">
        <v>165</v>
      </c>
      <c r="O222" s="55" t="s">
        <v>166</v>
      </c>
      <c r="P222" s="86" t="str">
        <f t="shared" si="1"/>
        <v>Diferente</v>
      </c>
    </row>
    <row r="223">
      <c r="B223" s="86"/>
      <c r="J223" s="55" t="s">
        <v>1725</v>
      </c>
      <c r="K223" s="55" t="s">
        <v>2442</v>
      </c>
      <c r="L223" s="55" t="s">
        <v>2443</v>
      </c>
      <c r="M223" s="55" t="s">
        <v>2444</v>
      </c>
      <c r="N223" s="55" t="s">
        <v>165</v>
      </c>
      <c r="O223" s="55" t="s">
        <v>1712</v>
      </c>
      <c r="P223" s="86" t="str">
        <f t="shared" si="1"/>
        <v>Diferente</v>
      </c>
    </row>
    <row r="224">
      <c r="A224" s="55" t="s">
        <v>1521</v>
      </c>
      <c r="B224" s="55" t="s">
        <v>1745</v>
      </c>
      <c r="C224" s="55" t="s">
        <v>2445</v>
      </c>
      <c r="D224" s="99" t="s">
        <v>495</v>
      </c>
      <c r="E224" s="43" t="s">
        <v>2446</v>
      </c>
      <c r="F224" s="55">
        <v>2025.0</v>
      </c>
      <c r="G224" s="55" t="s">
        <v>2447</v>
      </c>
      <c r="H224" s="55" t="s">
        <v>1749</v>
      </c>
      <c r="I224" s="55" t="s">
        <v>31</v>
      </c>
      <c r="J224" s="55" t="s">
        <v>1708</v>
      </c>
      <c r="K224" s="55" t="s">
        <v>2448</v>
      </c>
      <c r="L224" s="55" t="s">
        <v>2449</v>
      </c>
      <c r="M224" s="55" t="s">
        <v>2450</v>
      </c>
      <c r="N224" s="55" t="s">
        <v>166</v>
      </c>
      <c r="O224" s="55" t="s">
        <v>165</v>
      </c>
      <c r="P224" s="86" t="str">
        <f t="shared" si="1"/>
        <v>Diferente</v>
      </c>
    </row>
    <row r="225">
      <c r="B225" s="86"/>
      <c r="J225" s="55" t="s">
        <v>1713</v>
      </c>
      <c r="K225" s="55" t="s">
        <v>2451</v>
      </c>
      <c r="L225" s="55" t="s">
        <v>2452</v>
      </c>
      <c r="M225" s="55" t="s">
        <v>2453</v>
      </c>
      <c r="N225" s="55" t="s">
        <v>165</v>
      </c>
      <c r="O225" s="55" t="s">
        <v>165</v>
      </c>
      <c r="P225" s="86" t="str">
        <f t="shared" si="1"/>
        <v>Igual</v>
      </c>
    </row>
    <row r="226">
      <c r="B226" s="86"/>
      <c r="J226" s="55" t="s">
        <v>1717</v>
      </c>
      <c r="K226" s="55" t="s">
        <v>2454</v>
      </c>
      <c r="L226" s="55" t="s">
        <v>2455</v>
      </c>
      <c r="M226" s="55" t="s">
        <v>2456</v>
      </c>
      <c r="N226" s="55" t="s">
        <v>165</v>
      </c>
      <c r="O226" s="55" t="s">
        <v>165</v>
      </c>
      <c r="P226" s="86" t="str">
        <f t="shared" si="1"/>
        <v>Igual</v>
      </c>
    </row>
    <row r="227">
      <c r="B227" s="86"/>
      <c r="J227" s="55" t="s">
        <v>1721</v>
      </c>
      <c r="K227" s="55" t="s">
        <v>2457</v>
      </c>
      <c r="L227" s="55" t="s">
        <v>2458</v>
      </c>
      <c r="M227" s="55" t="s">
        <v>2459</v>
      </c>
      <c r="N227" s="55" t="s">
        <v>1712</v>
      </c>
      <c r="O227" s="55" t="s">
        <v>1712</v>
      </c>
      <c r="P227" s="86" t="str">
        <f t="shared" si="1"/>
        <v>Igual</v>
      </c>
    </row>
    <row r="228">
      <c r="B228" s="86"/>
      <c r="J228" s="55" t="s">
        <v>1725</v>
      </c>
      <c r="K228" s="55" t="s">
        <v>2460</v>
      </c>
      <c r="L228" s="55" t="s">
        <v>2461</v>
      </c>
      <c r="M228" s="55" t="s">
        <v>2462</v>
      </c>
      <c r="N228" s="55" t="s">
        <v>1712</v>
      </c>
      <c r="O228" s="55" t="s">
        <v>165</v>
      </c>
      <c r="P228" s="86" t="str">
        <f t="shared" si="1"/>
        <v>Diferente</v>
      </c>
    </row>
    <row r="229">
      <c r="A229" s="55" t="s">
        <v>1540</v>
      </c>
      <c r="B229" s="55" t="s">
        <v>1745</v>
      </c>
      <c r="C229" s="55" t="s">
        <v>2463</v>
      </c>
      <c r="D229" s="99" t="s">
        <v>560</v>
      </c>
      <c r="E229" s="43" t="s">
        <v>2464</v>
      </c>
      <c r="F229" s="55">
        <v>2025.0</v>
      </c>
      <c r="G229" s="55" t="s">
        <v>2465</v>
      </c>
      <c r="H229" s="55" t="s">
        <v>2466</v>
      </c>
      <c r="I229" s="55" t="s">
        <v>31</v>
      </c>
      <c r="J229" s="55" t="s">
        <v>1708</v>
      </c>
      <c r="K229" s="55" t="s">
        <v>2467</v>
      </c>
      <c r="L229" s="55" t="s">
        <v>2468</v>
      </c>
      <c r="M229" s="55" t="s">
        <v>2469</v>
      </c>
      <c r="N229" s="55" t="s">
        <v>166</v>
      </c>
      <c r="O229" s="55" t="s">
        <v>165</v>
      </c>
      <c r="P229" s="86" t="str">
        <f t="shared" si="1"/>
        <v>Diferente</v>
      </c>
    </row>
    <row r="230">
      <c r="B230" s="86"/>
      <c r="J230" s="55" t="s">
        <v>1713</v>
      </c>
      <c r="K230" s="55" t="s">
        <v>2470</v>
      </c>
      <c r="L230" s="55" t="s">
        <v>2471</v>
      </c>
      <c r="M230" s="55" t="s">
        <v>2472</v>
      </c>
      <c r="N230" s="55" t="s">
        <v>166</v>
      </c>
      <c r="O230" s="55" t="s">
        <v>165</v>
      </c>
      <c r="P230" s="86" t="str">
        <f t="shared" si="1"/>
        <v>Diferente</v>
      </c>
    </row>
    <row r="231">
      <c r="B231" s="86"/>
      <c r="J231" s="55" t="s">
        <v>1717</v>
      </c>
      <c r="K231" s="55" t="s">
        <v>2473</v>
      </c>
      <c r="L231" s="55" t="s">
        <v>2474</v>
      </c>
      <c r="M231" s="55" t="s">
        <v>2475</v>
      </c>
      <c r="N231" s="55" t="s">
        <v>165</v>
      </c>
      <c r="O231" s="55" t="s">
        <v>165</v>
      </c>
      <c r="P231" s="86" t="str">
        <f t="shared" si="1"/>
        <v>Igual</v>
      </c>
    </row>
    <row r="232">
      <c r="B232" s="86"/>
      <c r="J232" s="55" t="s">
        <v>1721</v>
      </c>
      <c r="K232" s="55" t="s">
        <v>2476</v>
      </c>
      <c r="L232" s="55" t="s">
        <v>2477</v>
      </c>
      <c r="M232" s="55" t="s">
        <v>2478</v>
      </c>
      <c r="N232" s="55" t="s">
        <v>1712</v>
      </c>
      <c r="O232" s="55" t="s">
        <v>165</v>
      </c>
      <c r="P232" s="86" t="str">
        <f t="shared" si="1"/>
        <v>Diferente</v>
      </c>
    </row>
    <row r="233">
      <c r="B233" s="86"/>
      <c r="J233" s="55" t="s">
        <v>1725</v>
      </c>
      <c r="K233" s="55" t="s">
        <v>2479</v>
      </c>
      <c r="L233" s="55" t="s">
        <v>2480</v>
      </c>
      <c r="M233" s="55" t="s">
        <v>2481</v>
      </c>
      <c r="N233" s="55" t="s">
        <v>1712</v>
      </c>
      <c r="O233" s="55" t="s">
        <v>165</v>
      </c>
      <c r="P233" s="86" t="str">
        <f t="shared" si="1"/>
        <v>Diferente</v>
      </c>
    </row>
    <row r="234">
      <c r="A234" s="55" t="s">
        <v>1445</v>
      </c>
      <c r="B234" s="55" t="s">
        <v>1745</v>
      </c>
      <c r="C234" s="55" t="s">
        <v>2482</v>
      </c>
      <c r="D234" s="55" t="s">
        <v>947</v>
      </c>
      <c r="E234" s="43" t="s">
        <v>2483</v>
      </c>
      <c r="F234" s="55">
        <v>2025.0</v>
      </c>
      <c r="G234" s="55" t="s">
        <v>2484</v>
      </c>
      <c r="H234" s="55" t="s">
        <v>2485</v>
      </c>
      <c r="I234" s="55" t="s">
        <v>31</v>
      </c>
      <c r="J234" s="55" t="s">
        <v>1708</v>
      </c>
      <c r="K234" s="55" t="s">
        <v>2486</v>
      </c>
      <c r="L234" s="55" t="s">
        <v>1755</v>
      </c>
      <c r="M234" s="55" t="s">
        <v>2487</v>
      </c>
      <c r="N234" s="55" t="s">
        <v>165</v>
      </c>
      <c r="O234" s="55" t="s">
        <v>166</v>
      </c>
      <c r="P234" s="86" t="str">
        <f t="shared" si="1"/>
        <v>Diferente</v>
      </c>
    </row>
    <row r="235">
      <c r="B235" s="86"/>
      <c r="J235" s="55" t="s">
        <v>1713</v>
      </c>
      <c r="K235" s="55" t="s">
        <v>2488</v>
      </c>
      <c r="L235" s="55" t="s">
        <v>2489</v>
      </c>
      <c r="M235" s="55" t="s">
        <v>2490</v>
      </c>
      <c r="N235" s="55" t="s">
        <v>165</v>
      </c>
      <c r="O235" s="55" t="s">
        <v>1712</v>
      </c>
      <c r="P235" s="86" t="str">
        <f t="shared" si="1"/>
        <v>Diferente</v>
      </c>
    </row>
    <row r="236">
      <c r="B236" s="86"/>
      <c r="J236" s="55" t="s">
        <v>1717</v>
      </c>
      <c r="K236" s="55" t="s">
        <v>2491</v>
      </c>
      <c r="L236" s="55" t="s">
        <v>2492</v>
      </c>
      <c r="M236" s="55" t="s">
        <v>2493</v>
      </c>
      <c r="N236" s="55" t="s">
        <v>165</v>
      </c>
      <c r="O236" s="55" t="s">
        <v>1712</v>
      </c>
      <c r="P236" s="86" t="str">
        <f t="shared" si="1"/>
        <v>Diferente</v>
      </c>
    </row>
    <row r="237">
      <c r="B237" s="86"/>
      <c r="J237" s="55" t="s">
        <v>1721</v>
      </c>
      <c r="K237" s="55" t="s">
        <v>2494</v>
      </c>
      <c r="L237" s="55" t="s">
        <v>2495</v>
      </c>
      <c r="M237" s="55" t="s">
        <v>2496</v>
      </c>
      <c r="N237" s="55" t="s">
        <v>165</v>
      </c>
      <c r="O237" s="55" t="s">
        <v>166</v>
      </c>
      <c r="P237" s="86" t="str">
        <f t="shared" si="1"/>
        <v>Diferente</v>
      </c>
    </row>
    <row r="238">
      <c r="B238" s="86"/>
      <c r="J238" s="55" t="s">
        <v>1725</v>
      </c>
      <c r="K238" s="55" t="s">
        <v>2497</v>
      </c>
      <c r="L238" s="55" t="s">
        <v>2498</v>
      </c>
      <c r="M238" s="55" t="s">
        <v>2499</v>
      </c>
      <c r="N238" s="55" t="s">
        <v>165</v>
      </c>
      <c r="O238" s="55" t="s">
        <v>1712</v>
      </c>
      <c r="P238" s="86" t="str">
        <f t="shared" si="1"/>
        <v>Diferente</v>
      </c>
    </row>
    <row r="239">
      <c r="A239" s="55" t="s">
        <v>1448</v>
      </c>
      <c r="B239" s="55" t="s">
        <v>1745</v>
      </c>
      <c r="C239" s="55" t="s">
        <v>2500</v>
      </c>
      <c r="D239" s="55" t="s">
        <v>1067</v>
      </c>
      <c r="E239" s="43" t="s">
        <v>2501</v>
      </c>
      <c r="F239" s="55">
        <v>2022.0</v>
      </c>
      <c r="G239" s="55" t="s">
        <v>1066</v>
      </c>
      <c r="H239" s="55" t="s">
        <v>1749</v>
      </c>
      <c r="I239" s="55" t="s">
        <v>31</v>
      </c>
      <c r="J239" s="55" t="s">
        <v>1708</v>
      </c>
      <c r="K239" s="55" t="s">
        <v>2502</v>
      </c>
      <c r="L239" s="55" t="s">
        <v>2503</v>
      </c>
      <c r="M239" s="55" t="s">
        <v>2504</v>
      </c>
      <c r="N239" s="55" t="s">
        <v>165</v>
      </c>
      <c r="O239" s="55" t="s">
        <v>1712</v>
      </c>
      <c r="P239" s="86" t="str">
        <f t="shared" si="1"/>
        <v>Diferente</v>
      </c>
    </row>
    <row r="240">
      <c r="B240" s="86"/>
      <c r="J240" s="55" t="s">
        <v>1713</v>
      </c>
      <c r="K240" s="55" t="s">
        <v>2505</v>
      </c>
      <c r="L240" s="55" t="s">
        <v>1755</v>
      </c>
      <c r="M240" s="55" t="s">
        <v>2506</v>
      </c>
      <c r="N240" s="55" t="s">
        <v>165</v>
      </c>
      <c r="O240" s="55" t="s">
        <v>165</v>
      </c>
      <c r="P240" s="86" t="str">
        <f t="shared" si="1"/>
        <v>Igual</v>
      </c>
    </row>
    <row r="241">
      <c r="B241" s="86"/>
      <c r="J241" s="55" t="s">
        <v>1717</v>
      </c>
      <c r="K241" s="55" t="s">
        <v>2507</v>
      </c>
      <c r="L241" s="55" t="s">
        <v>1755</v>
      </c>
      <c r="M241" s="55" t="s">
        <v>2508</v>
      </c>
      <c r="N241" s="55" t="s">
        <v>165</v>
      </c>
      <c r="O241" s="55" t="s">
        <v>166</v>
      </c>
      <c r="P241" s="86" t="str">
        <f t="shared" si="1"/>
        <v>Diferente</v>
      </c>
    </row>
    <row r="242">
      <c r="B242" s="86"/>
      <c r="J242" s="55" t="s">
        <v>1721</v>
      </c>
      <c r="K242" s="55" t="s">
        <v>2509</v>
      </c>
      <c r="L242" s="55" t="s">
        <v>1755</v>
      </c>
      <c r="M242" s="55" t="s">
        <v>2510</v>
      </c>
      <c r="N242" s="55" t="s">
        <v>165</v>
      </c>
      <c r="O242" s="55" t="s">
        <v>165</v>
      </c>
      <c r="P242" s="86" t="str">
        <f t="shared" si="1"/>
        <v>Igual</v>
      </c>
    </row>
    <row r="243">
      <c r="B243" s="86"/>
      <c r="J243" s="55" t="s">
        <v>1725</v>
      </c>
      <c r="K243" s="55" t="s">
        <v>2511</v>
      </c>
      <c r="L243" s="55" t="s">
        <v>2512</v>
      </c>
      <c r="M243" s="55" t="s">
        <v>2513</v>
      </c>
      <c r="N243" s="55" t="s">
        <v>165</v>
      </c>
      <c r="O243" s="55" t="s">
        <v>166</v>
      </c>
      <c r="P243" s="86" t="str">
        <f t="shared" si="1"/>
        <v>Diferente</v>
      </c>
    </row>
    <row r="244">
      <c r="A244" s="55" t="s">
        <v>1451</v>
      </c>
      <c r="B244" s="55" t="s">
        <v>1745</v>
      </c>
      <c r="C244" s="55" t="s">
        <v>2514</v>
      </c>
      <c r="D244" s="55" t="s">
        <v>1071</v>
      </c>
      <c r="E244" s="43" t="s">
        <v>2515</v>
      </c>
      <c r="F244" s="55">
        <v>2022.0</v>
      </c>
      <c r="G244" s="55" t="s">
        <v>2516</v>
      </c>
      <c r="H244" s="55" t="s">
        <v>1845</v>
      </c>
      <c r="I244" s="55" t="s">
        <v>31</v>
      </c>
      <c r="J244" s="55" t="s">
        <v>1708</v>
      </c>
      <c r="K244" s="55" t="s">
        <v>2517</v>
      </c>
      <c r="L244" s="55" t="s">
        <v>2518</v>
      </c>
      <c r="M244" s="55" t="s">
        <v>2519</v>
      </c>
      <c r="N244" s="55" t="s">
        <v>165</v>
      </c>
      <c r="O244" s="55" t="s">
        <v>1712</v>
      </c>
      <c r="P244" s="86" t="str">
        <f t="shared" si="1"/>
        <v>Diferente</v>
      </c>
    </row>
    <row r="245">
      <c r="B245" s="86"/>
      <c r="J245" s="55" t="s">
        <v>1713</v>
      </c>
      <c r="K245" s="55" t="s">
        <v>2520</v>
      </c>
      <c r="L245" s="55" t="s">
        <v>2521</v>
      </c>
      <c r="M245" s="55" t="s">
        <v>2522</v>
      </c>
      <c r="N245" s="55" t="s">
        <v>1712</v>
      </c>
      <c r="O245" s="55" t="s">
        <v>166</v>
      </c>
      <c r="P245" s="86" t="str">
        <f t="shared" si="1"/>
        <v>Diferente</v>
      </c>
    </row>
    <row r="246">
      <c r="B246" s="86"/>
      <c r="J246" s="55" t="s">
        <v>1717</v>
      </c>
      <c r="K246" s="55" t="s">
        <v>2523</v>
      </c>
      <c r="L246" s="55" t="s">
        <v>2524</v>
      </c>
      <c r="M246" s="55" t="s">
        <v>2525</v>
      </c>
      <c r="N246" s="55" t="s">
        <v>1712</v>
      </c>
      <c r="O246" s="55" t="s">
        <v>166</v>
      </c>
      <c r="P246" s="86" t="str">
        <f t="shared" si="1"/>
        <v>Diferente</v>
      </c>
    </row>
    <row r="247">
      <c r="B247" s="86"/>
      <c r="J247" s="55" t="s">
        <v>1721</v>
      </c>
      <c r="K247" s="55" t="s">
        <v>2526</v>
      </c>
      <c r="L247" s="55" t="s">
        <v>2527</v>
      </c>
      <c r="M247" s="55" t="s">
        <v>2528</v>
      </c>
      <c r="N247" s="55" t="s">
        <v>1712</v>
      </c>
      <c r="O247" s="55" t="s">
        <v>1712</v>
      </c>
      <c r="P247" s="86" t="str">
        <f t="shared" si="1"/>
        <v>Igual</v>
      </c>
    </row>
    <row r="248">
      <c r="B248" s="86"/>
      <c r="J248" s="55" t="s">
        <v>1725</v>
      </c>
      <c r="K248" s="55" t="s">
        <v>2529</v>
      </c>
      <c r="L248" s="55" t="s">
        <v>2530</v>
      </c>
      <c r="M248" s="55" t="s">
        <v>2531</v>
      </c>
      <c r="N248" s="55" t="s">
        <v>165</v>
      </c>
      <c r="O248" s="55" t="s">
        <v>166</v>
      </c>
      <c r="P248" s="86" t="str">
        <f t="shared" si="1"/>
        <v>Diferente</v>
      </c>
    </row>
    <row r="249">
      <c r="A249" s="55" t="s">
        <v>1456</v>
      </c>
      <c r="B249" s="55" t="s">
        <v>1745</v>
      </c>
      <c r="C249" s="55" t="s">
        <v>2532</v>
      </c>
      <c r="D249" s="55" t="s">
        <v>1084</v>
      </c>
      <c r="E249" s="43" t="s">
        <v>2533</v>
      </c>
      <c r="F249" s="55">
        <v>2020.0</v>
      </c>
      <c r="G249" s="55" t="s">
        <v>2534</v>
      </c>
      <c r="H249" s="55" t="s">
        <v>2006</v>
      </c>
      <c r="I249" s="55" t="s">
        <v>31</v>
      </c>
      <c r="J249" s="55" t="s">
        <v>1708</v>
      </c>
      <c r="K249" s="55" t="s">
        <v>2535</v>
      </c>
      <c r="L249" s="55" t="s">
        <v>2536</v>
      </c>
      <c r="M249" s="55" t="s">
        <v>2537</v>
      </c>
      <c r="N249" s="55" t="s">
        <v>165</v>
      </c>
      <c r="O249" s="55" t="s">
        <v>165</v>
      </c>
      <c r="P249" s="86" t="str">
        <f t="shared" si="1"/>
        <v>Igual</v>
      </c>
    </row>
    <row r="250">
      <c r="B250" s="86"/>
      <c r="J250" s="55" t="s">
        <v>1713</v>
      </c>
      <c r="K250" s="55" t="s">
        <v>2538</v>
      </c>
      <c r="L250" s="55" t="s">
        <v>2539</v>
      </c>
      <c r="M250" s="55" t="s">
        <v>2540</v>
      </c>
      <c r="N250" s="55" t="s">
        <v>165</v>
      </c>
      <c r="O250" s="55" t="s">
        <v>165</v>
      </c>
      <c r="P250" s="86" t="str">
        <f t="shared" si="1"/>
        <v>Igual</v>
      </c>
    </row>
    <row r="251">
      <c r="B251" s="86"/>
      <c r="J251" s="55" t="s">
        <v>1717</v>
      </c>
      <c r="K251" s="55" t="s">
        <v>2541</v>
      </c>
      <c r="L251" s="55" t="s">
        <v>2542</v>
      </c>
      <c r="M251" s="55" t="s">
        <v>2543</v>
      </c>
      <c r="N251" s="55" t="s">
        <v>165</v>
      </c>
      <c r="O251" s="55" t="s">
        <v>165</v>
      </c>
      <c r="P251" s="86" t="str">
        <f t="shared" si="1"/>
        <v>Igual</v>
      </c>
    </row>
    <row r="252">
      <c r="B252" s="86"/>
      <c r="J252" s="55" t="s">
        <v>1721</v>
      </c>
      <c r="K252" s="55" t="s">
        <v>2544</v>
      </c>
      <c r="L252" s="55" t="s">
        <v>2545</v>
      </c>
      <c r="M252" s="55" t="s">
        <v>2546</v>
      </c>
      <c r="N252" s="55" t="s">
        <v>165</v>
      </c>
      <c r="O252" s="55" t="s">
        <v>165</v>
      </c>
      <c r="P252" s="86" t="str">
        <f t="shared" si="1"/>
        <v>Igual</v>
      </c>
    </row>
    <row r="253">
      <c r="B253" s="86"/>
      <c r="J253" s="55" t="s">
        <v>1725</v>
      </c>
      <c r="K253" s="55" t="s">
        <v>2547</v>
      </c>
      <c r="L253" s="55" t="s">
        <v>2548</v>
      </c>
      <c r="M253" s="55" t="s">
        <v>2549</v>
      </c>
      <c r="N253" s="55" t="s">
        <v>165</v>
      </c>
      <c r="O253" s="55" t="s">
        <v>165</v>
      </c>
      <c r="P253" s="86" t="str">
        <f t="shared" si="1"/>
        <v>Igual</v>
      </c>
    </row>
    <row r="254">
      <c r="A254" s="55" t="s">
        <v>1458</v>
      </c>
      <c r="B254" s="55" t="s">
        <v>1704</v>
      </c>
      <c r="C254" s="55" t="s">
        <v>2021</v>
      </c>
      <c r="D254" s="55" t="s">
        <v>1090</v>
      </c>
      <c r="E254" s="92" t="s">
        <v>2550</v>
      </c>
      <c r="F254" s="55">
        <v>2022.0</v>
      </c>
      <c r="G254" s="55" t="s">
        <v>2551</v>
      </c>
      <c r="H254" s="55" t="s">
        <v>2006</v>
      </c>
      <c r="I254" s="55" t="s">
        <v>31</v>
      </c>
      <c r="J254" s="55" t="s">
        <v>1708</v>
      </c>
      <c r="K254" s="55" t="s">
        <v>2552</v>
      </c>
      <c r="L254" s="55" t="s">
        <v>2553</v>
      </c>
      <c r="M254" s="55" t="s">
        <v>2554</v>
      </c>
      <c r="N254" s="55" t="s">
        <v>165</v>
      </c>
      <c r="O254" s="55" t="s">
        <v>1712</v>
      </c>
      <c r="P254" s="86" t="str">
        <f t="shared" si="1"/>
        <v>Diferente</v>
      </c>
    </row>
    <row r="255">
      <c r="B255" s="86"/>
      <c r="J255" s="55" t="s">
        <v>1713</v>
      </c>
      <c r="K255" s="55" t="s">
        <v>2555</v>
      </c>
      <c r="L255" s="55" t="s">
        <v>2556</v>
      </c>
      <c r="M255" s="55" t="s">
        <v>2557</v>
      </c>
      <c r="N255" s="55" t="s">
        <v>165</v>
      </c>
      <c r="O255" s="55" t="s">
        <v>165</v>
      </c>
      <c r="P255" s="86" t="str">
        <f t="shared" si="1"/>
        <v>Igual</v>
      </c>
    </row>
    <row r="256">
      <c r="B256" s="86"/>
      <c r="J256" s="55" t="s">
        <v>1717</v>
      </c>
      <c r="K256" s="55" t="s">
        <v>2558</v>
      </c>
      <c r="L256" s="55" t="s">
        <v>2559</v>
      </c>
      <c r="M256" s="55" t="s">
        <v>2560</v>
      </c>
      <c r="N256" s="55" t="s">
        <v>165</v>
      </c>
      <c r="O256" s="55" t="s">
        <v>165</v>
      </c>
      <c r="P256" s="86" t="str">
        <f t="shared" si="1"/>
        <v>Igual</v>
      </c>
    </row>
    <row r="257">
      <c r="B257" s="86"/>
      <c r="J257" s="55" t="s">
        <v>1721</v>
      </c>
      <c r="K257" s="55" t="s">
        <v>2561</v>
      </c>
      <c r="L257" s="55" t="s">
        <v>2562</v>
      </c>
      <c r="M257" s="55" t="s">
        <v>2563</v>
      </c>
      <c r="N257" s="55" t="s">
        <v>165</v>
      </c>
      <c r="O257" s="55" t="s">
        <v>165</v>
      </c>
      <c r="P257" s="86" t="str">
        <f t="shared" si="1"/>
        <v>Igual</v>
      </c>
    </row>
    <row r="258">
      <c r="B258" s="86"/>
      <c r="J258" s="55" t="s">
        <v>1725</v>
      </c>
      <c r="K258" s="55" t="s">
        <v>2564</v>
      </c>
      <c r="L258" s="55" t="s">
        <v>2565</v>
      </c>
      <c r="M258" s="55" t="s">
        <v>2566</v>
      </c>
      <c r="N258" s="55" t="s">
        <v>165</v>
      </c>
      <c r="O258" s="55" t="s">
        <v>165</v>
      </c>
      <c r="P258" s="86" t="str">
        <f t="shared" si="1"/>
        <v>Igual</v>
      </c>
    </row>
    <row r="259">
      <c r="A259" s="55" t="s">
        <v>1461</v>
      </c>
      <c r="B259" s="55" t="s">
        <v>1745</v>
      </c>
      <c r="C259" s="55" t="s">
        <v>2567</v>
      </c>
      <c r="D259" s="55" t="s">
        <v>1102</v>
      </c>
      <c r="E259" s="43" t="s">
        <v>2568</v>
      </c>
      <c r="F259" s="55">
        <v>2022.0</v>
      </c>
      <c r="G259" s="55" t="s">
        <v>2569</v>
      </c>
      <c r="H259" s="55" t="s">
        <v>2570</v>
      </c>
      <c r="I259" s="55" t="s">
        <v>31</v>
      </c>
      <c r="J259" s="55" t="s">
        <v>1708</v>
      </c>
      <c r="K259" s="55" t="s">
        <v>2571</v>
      </c>
      <c r="L259" s="55" t="s">
        <v>2572</v>
      </c>
      <c r="M259" s="55" t="s">
        <v>2573</v>
      </c>
      <c r="N259" s="55" t="s">
        <v>166</v>
      </c>
      <c r="O259" s="55" t="s">
        <v>165</v>
      </c>
      <c r="P259" s="86" t="str">
        <f t="shared" si="1"/>
        <v>Diferente</v>
      </c>
    </row>
    <row r="260">
      <c r="B260" s="86"/>
      <c r="J260" s="55" t="s">
        <v>1713</v>
      </c>
      <c r="K260" s="55" t="s">
        <v>2574</v>
      </c>
      <c r="L260" s="55" t="s">
        <v>2575</v>
      </c>
      <c r="M260" s="55" t="s">
        <v>2576</v>
      </c>
      <c r="N260" s="55" t="s">
        <v>166</v>
      </c>
      <c r="O260" s="55" t="s">
        <v>165</v>
      </c>
      <c r="P260" s="86" t="str">
        <f t="shared" si="1"/>
        <v>Diferente</v>
      </c>
    </row>
    <row r="261">
      <c r="B261" s="86"/>
      <c r="J261" s="55" t="s">
        <v>1717</v>
      </c>
      <c r="K261" s="55" t="s">
        <v>2577</v>
      </c>
      <c r="L261" s="55" t="s">
        <v>2578</v>
      </c>
      <c r="M261" s="55" t="s">
        <v>2579</v>
      </c>
      <c r="N261" s="55" t="s">
        <v>166</v>
      </c>
      <c r="O261" s="55" t="s">
        <v>165</v>
      </c>
      <c r="P261" s="86" t="str">
        <f t="shared" si="1"/>
        <v>Diferente</v>
      </c>
    </row>
    <row r="262">
      <c r="B262" s="86"/>
      <c r="J262" s="55" t="s">
        <v>1721</v>
      </c>
      <c r="K262" s="55" t="s">
        <v>2580</v>
      </c>
      <c r="L262" s="55" t="s">
        <v>2581</v>
      </c>
      <c r="M262" s="55" t="s">
        <v>2582</v>
      </c>
      <c r="N262" s="55" t="s">
        <v>166</v>
      </c>
      <c r="O262" s="55" t="s">
        <v>165</v>
      </c>
      <c r="P262" s="86" t="str">
        <f t="shared" si="1"/>
        <v>Diferente</v>
      </c>
    </row>
    <row r="263">
      <c r="B263" s="86"/>
      <c r="J263" s="55" t="s">
        <v>1725</v>
      </c>
      <c r="K263" s="55" t="s">
        <v>2583</v>
      </c>
      <c r="L263" s="55" t="s">
        <v>2584</v>
      </c>
      <c r="M263" s="55" t="s">
        <v>2585</v>
      </c>
      <c r="N263" s="55" t="s">
        <v>166</v>
      </c>
      <c r="O263" s="55" t="s">
        <v>165</v>
      </c>
      <c r="P263" s="86" t="str">
        <f t="shared" si="1"/>
        <v>Diferente</v>
      </c>
    </row>
    <row r="264">
      <c r="A264" s="55" t="s">
        <v>1543</v>
      </c>
      <c r="B264" s="55" t="s">
        <v>1745</v>
      </c>
      <c r="C264" s="55" t="s">
        <v>2586</v>
      </c>
      <c r="D264" s="55" t="s">
        <v>567</v>
      </c>
      <c r="E264" s="43" t="s">
        <v>2587</v>
      </c>
      <c r="F264" s="55">
        <v>2025.0</v>
      </c>
      <c r="G264" s="55" t="s">
        <v>2588</v>
      </c>
      <c r="H264" s="55" t="s">
        <v>1755</v>
      </c>
      <c r="I264" s="55" t="s">
        <v>31</v>
      </c>
      <c r="J264" s="55" t="s">
        <v>1708</v>
      </c>
      <c r="K264" s="55" t="s">
        <v>2589</v>
      </c>
      <c r="L264" s="55" t="s">
        <v>1718</v>
      </c>
      <c r="M264" s="55" t="s">
        <v>2590</v>
      </c>
      <c r="N264" s="55" t="s">
        <v>166</v>
      </c>
      <c r="O264" s="55" t="s">
        <v>166</v>
      </c>
      <c r="P264" s="86" t="str">
        <f t="shared" si="1"/>
        <v>Igual</v>
      </c>
    </row>
    <row r="265">
      <c r="B265" s="86"/>
      <c r="J265" s="55" t="s">
        <v>1713</v>
      </c>
      <c r="K265" s="55" t="s">
        <v>2591</v>
      </c>
      <c r="L265" s="55" t="s">
        <v>1718</v>
      </c>
      <c r="M265" s="55" t="s">
        <v>2592</v>
      </c>
      <c r="N265" s="55" t="s">
        <v>165</v>
      </c>
      <c r="O265" s="55" t="s">
        <v>166</v>
      </c>
      <c r="P265" s="86" t="str">
        <f t="shared" si="1"/>
        <v>Diferente</v>
      </c>
    </row>
    <row r="266">
      <c r="B266" s="86"/>
      <c r="J266" s="55" t="s">
        <v>1717</v>
      </c>
      <c r="K266" s="55" t="s">
        <v>2593</v>
      </c>
      <c r="L266" s="55" t="s">
        <v>2594</v>
      </c>
      <c r="M266" s="55" t="s">
        <v>2595</v>
      </c>
      <c r="N266" s="55" t="s">
        <v>1712</v>
      </c>
      <c r="O266" s="55" t="s">
        <v>1712</v>
      </c>
      <c r="P266" s="86" t="str">
        <f t="shared" si="1"/>
        <v>Igual</v>
      </c>
    </row>
    <row r="267">
      <c r="B267" s="86"/>
      <c r="J267" s="55" t="s">
        <v>1721</v>
      </c>
      <c r="K267" s="55" t="s">
        <v>1755</v>
      </c>
      <c r="L267" s="55" t="s">
        <v>1718</v>
      </c>
      <c r="M267" s="55" t="s">
        <v>2596</v>
      </c>
      <c r="N267" s="55" t="s">
        <v>165</v>
      </c>
      <c r="O267" s="55" t="s">
        <v>165</v>
      </c>
      <c r="P267" s="86" t="str">
        <f t="shared" si="1"/>
        <v>Igual</v>
      </c>
    </row>
    <row r="268">
      <c r="B268" s="86"/>
      <c r="J268" s="55" t="s">
        <v>1725</v>
      </c>
      <c r="K268" s="55" t="s">
        <v>2597</v>
      </c>
      <c r="L268" s="55" t="s">
        <v>2598</v>
      </c>
      <c r="M268" s="55" t="s">
        <v>2599</v>
      </c>
      <c r="N268" s="55" t="s">
        <v>166</v>
      </c>
      <c r="O268" s="55" t="s">
        <v>165</v>
      </c>
      <c r="P268" s="86" t="str">
        <f t="shared" si="1"/>
        <v>Diferente</v>
      </c>
    </row>
    <row r="269">
      <c r="A269" s="55" t="s">
        <v>1534</v>
      </c>
      <c r="B269" s="55" t="s">
        <v>1745</v>
      </c>
      <c r="C269" s="55" t="s">
        <v>2600</v>
      </c>
      <c r="D269" s="55" t="s">
        <v>2601</v>
      </c>
      <c r="E269" s="43" t="s">
        <v>2602</v>
      </c>
      <c r="F269" s="55">
        <v>2025.0</v>
      </c>
      <c r="G269" s="55" t="s">
        <v>2603</v>
      </c>
      <c r="H269" s="55" t="s">
        <v>1755</v>
      </c>
      <c r="I269" s="55" t="s">
        <v>31</v>
      </c>
      <c r="J269" s="55" t="s">
        <v>1708</v>
      </c>
      <c r="K269" s="55" t="s">
        <v>1755</v>
      </c>
      <c r="L269" s="55" t="s">
        <v>1755</v>
      </c>
      <c r="M269" s="55" t="s">
        <v>1718</v>
      </c>
      <c r="N269" s="55" t="s">
        <v>165</v>
      </c>
      <c r="O269" s="55" t="s">
        <v>165</v>
      </c>
      <c r="P269" s="86" t="str">
        <f t="shared" si="1"/>
        <v>Igual</v>
      </c>
    </row>
    <row r="270">
      <c r="B270" s="86"/>
      <c r="J270" s="55" t="s">
        <v>1713</v>
      </c>
      <c r="K270" s="55" t="s">
        <v>2604</v>
      </c>
      <c r="L270" s="55" t="s">
        <v>1755</v>
      </c>
      <c r="M270" s="55" t="s">
        <v>2605</v>
      </c>
      <c r="N270" s="55" t="s">
        <v>1712</v>
      </c>
      <c r="O270" s="55" t="s">
        <v>166</v>
      </c>
      <c r="P270" s="86" t="str">
        <f t="shared" si="1"/>
        <v>Diferente</v>
      </c>
    </row>
    <row r="271">
      <c r="B271" s="86"/>
      <c r="J271" s="55" t="s">
        <v>1717</v>
      </c>
      <c r="K271" s="55" t="s">
        <v>1755</v>
      </c>
      <c r="L271" s="55" t="s">
        <v>1755</v>
      </c>
      <c r="M271" s="55" t="s">
        <v>2232</v>
      </c>
      <c r="N271" s="55" t="s">
        <v>165</v>
      </c>
      <c r="O271" s="55" t="s">
        <v>165</v>
      </c>
      <c r="P271" s="86" t="str">
        <f t="shared" si="1"/>
        <v>Igual</v>
      </c>
    </row>
    <row r="272">
      <c r="B272" s="86"/>
      <c r="J272" s="55" t="s">
        <v>1721</v>
      </c>
      <c r="K272" s="55" t="s">
        <v>2606</v>
      </c>
      <c r="L272" s="55" t="s">
        <v>1755</v>
      </c>
      <c r="M272" s="55" t="s">
        <v>2232</v>
      </c>
      <c r="N272" s="55" t="s">
        <v>166</v>
      </c>
      <c r="O272" s="55" t="s">
        <v>165</v>
      </c>
      <c r="P272" s="86" t="str">
        <f t="shared" si="1"/>
        <v>Diferente</v>
      </c>
    </row>
    <row r="273">
      <c r="B273" s="86"/>
      <c r="J273" s="55" t="s">
        <v>1725</v>
      </c>
      <c r="K273" s="55" t="s">
        <v>2606</v>
      </c>
      <c r="L273" s="55" t="s">
        <v>1755</v>
      </c>
      <c r="M273" s="55" t="s">
        <v>2232</v>
      </c>
      <c r="N273" s="55" t="s">
        <v>166</v>
      </c>
      <c r="O273" s="55" t="s">
        <v>165</v>
      </c>
      <c r="P273" s="86" t="str">
        <f t="shared" si="1"/>
        <v>Diferente</v>
      </c>
    </row>
    <row r="274">
      <c r="A274" s="55" t="s">
        <v>1525</v>
      </c>
      <c r="B274" s="55" t="s">
        <v>1745</v>
      </c>
      <c r="C274" s="55" t="s">
        <v>2607</v>
      </c>
      <c r="D274" s="55" t="s">
        <v>466</v>
      </c>
      <c r="E274" s="43" t="s">
        <v>2608</v>
      </c>
      <c r="F274" s="55">
        <v>2025.0</v>
      </c>
      <c r="G274" s="55" t="s">
        <v>2609</v>
      </c>
      <c r="H274" s="55" t="s">
        <v>2610</v>
      </c>
      <c r="I274" s="55" t="s">
        <v>31</v>
      </c>
      <c r="J274" s="55" t="s">
        <v>1708</v>
      </c>
      <c r="K274" s="55" t="s">
        <v>2611</v>
      </c>
      <c r="L274" s="55" t="s">
        <v>2612</v>
      </c>
      <c r="M274" s="55" t="s">
        <v>2613</v>
      </c>
      <c r="N274" s="55" t="s">
        <v>1712</v>
      </c>
      <c r="O274" s="55" t="s">
        <v>1712</v>
      </c>
      <c r="P274" s="86" t="str">
        <f t="shared" si="1"/>
        <v>Igual</v>
      </c>
    </row>
    <row r="275">
      <c r="B275" s="86"/>
      <c r="J275" s="55" t="s">
        <v>1713</v>
      </c>
      <c r="K275" s="55" t="s">
        <v>1718</v>
      </c>
      <c r="L275" s="55" t="s">
        <v>1718</v>
      </c>
      <c r="M275" s="55" t="s">
        <v>2232</v>
      </c>
      <c r="N275" s="55" t="s">
        <v>165</v>
      </c>
      <c r="O275" s="55" t="s">
        <v>165</v>
      </c>
      <c r="P275" s="86" t="str">
        <f t="shared" si="1"/>
        <v>Igual</v>
      </c>
    </row>
    <row r="276">
      <c r="B276" s="86"/>
      <c r="J276" s="55" t="s">
        <v>1717</v>
      </c>
      <c r="K276" s="55" t="s">
        <v>2614</v>
      </c>
      <c r="L276" s="55" t="s">
        <v>2615</v>
      </c>
      <c r="M276" s="55" t="s">
        <v>2616</v>
      </c>
      <c r="N276" s="55" t="s">
        <v>1712</v>
      </c>
      <c r="O276" s="55" t="s">
        <v>1712</v>
      </c>
      <c r="P276" s="86" t="str">
        <f t="shared" si="1"/>
        <v>Igual</v>
      </c>
    </row>
    <row r="277">
      <c r="B277" s="86"/>
      <c r="J277" s="55" t="s">
        <v>1721</v>
      </c>
      <c r="K277" s="55" t="s">
        <v>2617</v>
      </c>
      <c r="L277" s="55" t="s">
        <v>2618</v>
      </c>
      <c r="M277" s="55" t="s">
        <v>2619</v>
      </c>
      <c r="N277" s="55" t="s">
        <v>165</v>
      </c>
      <c r="O277" s="55" t="s">
        <v>1712</v>
      </c>
      <c r="P277" s="86" t="str">
        <f t="shared" si="1"/>
        <v>Diferente</v>
      </c>
    </row>
    <row r="278">
      <c r="B278" s="86"/>
      <c r="J278" s="55" t="s">
        <v>1725</v>
      </c>
      <c r="K278" s="55" t="s">
        <v>2620</v>
      </c>
      <c r="L278" s="55" t="s">
        <v>2621</v>
      </c>
      <c r="M278" s="55" t="s">
        <v>2622</v>
      </c>
      <c r="N278" s="55" t="s">
        <v>1712</v>
      </c>
      <c r="O278" s="55" t="s">
        <v>166</v>
      </c>
      <c r="P278" s="86" t="str">
        <f t="shared" si="1"/>
        <v>Diferente</v>
      </c>
    </row>
    <row r="279">
      <c r="A279" s="55" t="s">
        <v>1464</v>
      </c>
      <c r="B279" s="55" t="s">
        <v>1704</v>
      </c>
      <c r="C279" s="55" t="s">
        <v>2623</v>
      </c>
      <c r="D279" s="55" t="s">
        <v>1105</v>
      </c>
      <c r="E279" s="43" t="s">
        <v>2624</v>
      </c>
      <c r="F279" s="55">
        <v>2024.0</v>
      </c>
      <c r="G279" s="55" t="s">
        <v>2625</v>
      </c>
      <c r="H279" s="55" t="s">
        <v>1755</v>
      </c>
      <c r="I279" s="55" t="s">
        <v>31</v>
      </c>
      <c r="J279" s="55" t="s">
        <v>1708</v>
      </c>
      <c r="K279" s="55" t="s">
        <v>1718</v>
      </c>
      <c r="L279" s="55" t="s">
        <v>1718</v>
      </c>
      <c r="M279" s="55" t="s">
        <v>1718</v>
      </c>
      <c r="N279" s="55" t="s">
        <v>165</v>
      </c>
      <c r="O279" s="55" t="s">
        <v>165</v>
      </c>
      <c r="P279" s="86" t="str">
        <f t="shared" si="1"/>
        <v>Igual</v>
      </c>
    </row>
    <row r="280">
      <c r="B280" s="86"/>
      <c r="J280" s="55" t="s">
        <v>1713</v>
      </c>
      <c r="K280" s="55" t="s">
        <v>1718</v>
      </c>
      <c r="L280" s="55" t="s">
        <v>1718</v>
      </c>
      <c r="M280" s="55" t="s">
        <v>1718</v>
      </c>
      <c r="N280" s="55" t="s">
        <v>165</v>
      </c>
      <c r="O280" s="55" t="s">
        <v>165</v>
      </c>
      <c r="P280" s="86" t="str">
        <f t="shared" si="1"/>
        <v>Igual</v>
      </c>
    </row>
    <row r="281">
      <c r="B281" s="86"/>
      <c r="J281" s="55" t="s">
        <v>1717</v>
      </c>
      <c r="K281" s="55" t="s">
        <v>1718</v>
      </c>
      <c r="L281" s="55" t="s">
        <v>2626</v>
      </c>
      <c r="M281" s="55" t="s">
        <v>2627</v>
      </c>
      <c r="N281" s="55" t="s">
        <v>166</v>
      </c>
      <c r="O281" s="55" t="s">
        <v>165</v>
      </c>
      <c r="P281" s="86" t="str">
        <f t="shared" si="1"/>
        <v>Diferente</v>
      </c>
    </row>
    <row r="282">
      <c r="B282" s="86"/>
      <c r="J282" s="55" t="s">
        <v>1721</v>
      </c>
      <c r="K282" s="55" t="s">
        <v>1718</v>
      </c>
      <c r="L282" s="55" t="s">
        <v>1718</v>
      </c>
      <c r="M282" s="55" t="s">
        <v>1718</v>
      </c>
      <c r="N282" s="55" t="s">
        <v>165</v>
      </c>
      <c r="O282" s="55" t="s">
        <v>165</v>
      </c>
      <c r="P282" s="86" t="str">
        <f t="shared" si="1"/>
        <v>Igual</v>
      </c>
    </row>
    <row r="283">
      <c r="B283" s="86"/>
      <c r="J283" s="55" t="s">
        <v>1725</v>
      </c>
      <c r="K283" s="55" t="s">
        <v>1718</v>
      </c>
      <c r="L283" s="55" t="s">
        <v>2628</v>
      </c>
      <c r="M283" s="55" t="s">
        <v>2629</v>
      </c>
      <c r="N283" s="55" t="s">
        <v>166</v>
      </c>
      <c r="O283" s="55" t="s">
        <v>165</v>
      </c>
      <c r="P283" s="86" t="str">
        <f t="shared" si="1"/>
        <v>Diferente</v>
      </c>
    </row>
    <row r="284">
      <c r="A284" s="55" t="s">
        <v>1467</v>
      </c>
      <c r="B284" s="55" t="s">
        <v>1745</v>
      </c>
      <c r="C284" s="55" t="s">
        <v>2630</v>
      </c>
      <c r="D284" s="55" t="s">
        <v>925</v>
      </c>
      <c r="E284" s="92" t="s">
        <v>2631</v>
      </c>
      <c r="F284" s="55">
        <v>2023.0</v>
      </c>
      <c r="G284" s="55" t="s">
        <v>2632</v>
      </c>
      <c r="H284" s="55" t="s">
        <v>2633</v>
      </c>
      <c r="I284" s="55" t="s">
        <v>31</v>
      </c>
      <c r="J284" s="55" t="s">
        <v>1708</v>
      </c>
      <c r="K284" s="55" t="s">
        <v>1718</v>
      </c>
      <c r="L284" s="55" t="s">
        <v>2634</v>
      </c>
      <c r="M284" s="55" t="s">
        <v>2635</v>
      </c>
      <c r="N284" s="55" t="s">
        <v>1712</v>
      </c>
      <c r="O284" s="55" t="s">
        <v>166</v>
      </c>
      <c r="P284" s="86" t="str">
        <f t="shared" si="1"/>
        <v>Diferente</v>
      </c>
    </row>
    <row r="285">
      <c r="B285" s="86"/>
      <c r="J285" s="55" t="s">
        <v>1713</v>
      </c>
      <c r="K285" s="55" t="s">
        <v>2636</v>
      </c>
      <c r="L285" s="55" t="s">
        <v>2637</v>
      </c>
      <c r="M285" s="55" t="s">
        <v>2638</v>
      </c>
      <c r="N285" s="55" t="s">
        <v>165</v>
      </c>
      <c r="O285" s="55" t="s">
        <v>166</v>
      </c>
      <c r="P285" s="86" t="str">
        <f t="shared" si="1"/>
        <v>Diferente</v>
      </c>
    </row>
    <row r="286">
      <c r="B286" s="86"/>
      <c r="J286" s="55" t="s">
        <v>1717</v>
      </c>
      <c r="K286" s="55" t="s">
        <v>2639</v>
      </c>
      <c r="L286" s="55" t="s">
        <v>2640</v>
      </c>
      <c r="M286" s="55" t="s">
        <v>2641</v>
      </c>
      <c r="N286" s="55" t="s">
        <v>165</v>
      </c>
      <c r="O286" s="55" t="s">
        <v>166</v>
      </c>
      <c r="P286" s="86" t="str">
        <f t="shared" si="1"/>
        <v>Diferente</v>
      </c>
    </row>
    <row r="287">
      <c r="B287" s="86"/>
      <c r="J287" s="55" t="s">
        <v>1721</v>
      </c>
      <c r="K287" s="55" t="s">
        <v>2642</v>
      </c>
      <c r="L287" s="55" t="s">
        <v>2643</v>
      </c>
      <c r="M287" s="55" t="s">
        <v>2644</v>
      </c>
      <c r="N287" s="55" t="s">
        <v>165</v>
      </c>
      <c r="O287" s="55" t="s">
        <v>1712</v>
      </c>
      <c r="P287" s="86" t="str">
        <f t="shared" si="1"/>
        <v>Diferente</v>
      </c>
    </row>
    <row r="288">
      <c r="B288" s="86"/>
      <c r="J288" s="55" t="s">
        <v>1725</v>
      </c>
      <c r="K288" s="55" t="s">
        <v>2645</v>
      </c>
      <c r="L288" s="55" t="s">
        <v>2646</v>
      </c>
      <c r="M288" s="55" t="s">
        <v>2647</v>
      </c>
      <c r="N288" s="55" t="s">
        <v>165</v>
      </c>
      <c r="O288" s="55" t="s">
        <v>166</v>
      </c>
      <c r="P288" s="86" t="str">
        <f t="shared" si="1"/>
        <v>Diferente</v>
      </c>
    </row>
    <row r="289">
      <c r="A289" s="55" t="s">
        <v>1470</v>
      </c>
      <c r="B289" s="55" t="s">
        <v>1745</v>
      </c>
      <c r="C289" s="55" t="s">
        <v>2648</v>
      </c>
      <c r="D289" s="55" t="s">
        <v>973</v>
      </c>
      <c r="E289" s="92" t="s">
        <v>2649</v>
      </c>
      <c r="F289" s="55">
        <v>2023.0</v>
      </c>
      <c r="G289" s="55" t="s">
        <v>2650</v>
      </c>
      <c r="H289" s="55" t="s">
        <v>1755</v>
      </c>
      <c r="I289" s="55" t="s">
        <v>31</v>
      </c>
      <c r="J289" s="55" t="s">
        <v>1708</v>
      </c>
      <c r="K289" s="55" t="s">
        <v>2651</v>
      </c>
      <c r="L289" s="55" t="s">
        <v>2652</v>
      </c>
      <c r="M289" s="55" t="s">
        <v>2653</v>
      </c>
      <c r="N289" s="55" t="s">
        <v>165</v>
      </c>
      <c r="O289" s="55" t="s">
        <v>165</v>
      </c>
      <c r="P289" s="86" t="str">
        <f t="shared" si="1"/>
        <v>Igual</v>
      </c>
    </row>
    <row r="290">
      <c r="B290" s="86"/>
      <c r="J290" s="55" t="s">
        <v>1713</v>
      </c>
      <c r="K290" s="55" t="s">
        <v>2654</v>
      </c>
      <c r="L290" s="55" t="s">
        <v>1755</v>
      </c>
      <c r="M290" s="55" t="s">
        <v>2655</v>
      </c>
      <c r="N290" s="55" t="s">
        <v>165</v>
      </c>
      <c r="O290" s="55" t="s">
        <v>165</v>
      </c>
      <c r="P290" s="86" t="str">
        <f t="shared" si="1"/>
        <v>Igual</v>
      </c>
    </row>
    <row r="291">
      <c r="B291" s="86"/>
      <c r="J291" s="55" t="s">
        <v>1717</v>
      </c>
      <c r="K291" s="55" t="s">
        <v>2656</v>
      </c>
      <c r="L291" s="55" t="s">
        <v>2657</v>
      </c>
      <c r="M291" s="55" t="s">
        <v>2658</v>
      </c>
      <c r="N291" s="55" t="s">
        <v>165</v>
      </c>
      <c r="O291" s="55" t="s">
        <v>165</v>
      </c>
      <c r="P291" s="86" t="str">
        <f t="shared" si="1"/>
        <v>Igual</v>
      </c>
    </row>
    <row r="292">
      <c r="B292" s="86"/>
      <c r="J292" s="55" t="s">
        <v>1721</v>
      </c>
      <c r="K292" s="55" t="s">
        <v>2659</v>
      </c>
      <c r="L292" s="55" t="s">
        <v>1755</v>
      </c>
      <c r="M292" s="55" t="s">
        <v>2660</v>
      </c>
      <c r="N292" s="55" t="s">
        <v>165</v>
      </c>
      <c r="O292" s="55" t="s">
        <v>165</v>
      </c>
      <c r="P292" s="86" t="str">
        <f t="shared" si="1"/>
        <v>Igual</v>
      </c>
    </row>
    <row r="293">
      <c r="B293" s="86"/>
      <c r="J293" s="55" t="s">
        <v>1725</v>
      </c>
      <c r="K293" s="55" t="s">
        <v>2661</v>
      </c>
      <c r="L293" s="55" t="s">
        <v>2662</v>
      </c>
      <c r="M293" s="55" t="s">
        <v>2663</v>
      </c>
      <c r="N293" s="55" t="s">
        <v>165</v>
      </c>
      <c r="O293" s="55" t="s">
        <v>1712</v>
      </c>
      <c r="P293" s="86" t="str">
        <f t="shared" si="1"/>
        <v>Diferente</v>
      </c>
    </row>
    <row r="294">
      <c r="A294" s="55" t="s">
        <v>1473</v>
      </c>
      <c r="B294" s="55" t="s">
        <v>1745</v>
      </c>
      <c r="C294" s="55" t="s">
        <v>2664</v>
      </c>
      <c r="D294" s="55" t="s">
        <v>950</v>
      </c>
      <c r="E294" s="43" t="s">
        <v>2665</v>
      </c>
      <c r="F294" s="55">
        <v>2022.0</v>
      </c>
      <c r="G294" s="55" t="s">
        <v>2666</v>
      </c>
      <c r="H294" s="55" t="s">
        <v>1755</v>
      </c>
      <c r="I294" s="55" t="s">
        <v>31</v>
      </c>
      <c r="J294" s="55" t="s">
        <v>1708</v>
      </c>
      <c r="K294" s="55" t="s">
        <v>2667</v>
      </c>
      <c r="L294" s="55" t="s">
        <v>1755</v>
      </c>
      <c r="M294" s="55" t="s">
        <v>2668</v>
      </c>
      <c r="N294" s="55" t="s">
        <v>165</v>
      </c>
      <c r="O294" s="55" t="s">
        <v>165</v>
      </c>
      <c r="P294" s="86" t="str">
        <f t="shared" si="1"/>
        <v>Igual</v>
      </c>
    </row>
    <row r="295">
      <c r="B295" s="86"/>
      <c r="J295" s="55" t="s">
        <v>1713</v>
      </c>
      <c r="K295" s="55" t="s">
        <v>2669</v>
      </c>
      <c r="L295" s="55" t="s">
        <v>1755</v>
      </c>
      <c r="M295" s="55" t="s">
        <v>2670</v>
      </c>
      <c r="N295" s="55" t="s">
        <v>165</v>
      </c>
      <c r="O295" s="55" t="s">
        <v>165</v>
      </c>
      <c r="P295" s="86" t="str">
        <f t="shared" si="1"/>
        <v>Igual</v>
      </c>
    </row>
    <row r="296">
      <c r="B296" s="86"/>
      <c r="J296" s="55" t="s">
        <v>1717</v>
      </c>
      <c r="K296" s="55" t="s">
        <v>2671</v>
      </c>
      <c r="L296" s="55" t="s">
        <v>1755</v>
      </c>
      <c r="M296" s="55" t="s">
        <v>2672</v>
      </c>
      <c r="N296" s="55" t="s">
        <v>165</v>
      </c>
      <c r="O296" s="55" t="s">
        <v>166</v>
      </c>
      <c r="P296" s="86" t="str">
        <f t="shared" si="1"/>
        <v>Diferente</v>
      </c>
    </row>
    <row r="297">
      <c r="B297" s="86"/>
      <c r="J297" s="55" t="s">
        <v>1721</v>
      </c>
      <c r="K297" s="55" t="s">
        <v>2673</v>
      </c>
      <c r="L297" s="55" t="s">
        <v>1755</v>
      </c>
      <c r="M297" s="55" t="s">
        <v>2674</v>
      </c>
      <c r="N297" s="55" t="s">
        <v>165</v>
      </c>
      <c r="O297" s="55" t="s">
        <v>165</v>
      </c>
      <c r="P297" s="86" t="str">
        <f t="shared" si="1"/>
        <v>Igual</v>
      </c>
    </row>
    <row r="298">
      <c r="B298" s="86"/>
      <c r="J298" s="55" t="s">
        <v>1725</v>
      </c>
      <c r="K298" s="55" t="s">
        <v>2675</v>
      </c>
      <c r="L298" s="55" t="s">
        <v>2676</v>
      </c>
      <c r="M298" s="55" t="s">
        <v>2677</v>
      </c>
      <c r="N298" s="55" t="s">
        <v>165</v>
      </c>
      <c r="O298" s="55" t="s">
        <v>1712</v>
      </c>
      <c r="P298" s="86" t="str">
        <f t="shared" si="1"/>
        <v>Diferente</v>
      </c>
    </row>
    <row r="299">
      <c r="A299" s="55" t="s">
        <v>1476</v>
      </c>
      <c r="B299" s="55" t="s">
        <v>1745</v>
      </c>
      <c r="C299" s="55" t="s">
        <v>2678</v>
      </c>
      <c r="D299" s="55" t="s">
        <v>975</v>
      </c>
      <c r="E299" s="43" t="s">
        <v>2679</v>
      </c>
      <c r="F299" s="55">
        <v>2023.0</v>
      </c>
      <c r="G299" s="55" t="s">
        <v>2680</v>
      </c>
      <c r="H299" s="55" t="s">
        <v>1755</v>
      </c>
      <c r="J299" s="55" t="s">
        <v>1708</v>
      </c>
      <c r="K299" s="55" t="s">
        <v>2681</v>
      </c>
      <c r="L299" s="55" t="s">
        <v>1718</v>
      </c>
      <c r="M299" s="55" t="s">
        <v>2682</v>
      </c>
      <c r="N299" s="55" t="s">
        <v>165</v>
      </c>
      <c r="O299" s="55" t="s">
        <v>166</v>
      </c>
      <c r="P299" s="86" t="str">
        <f t="shared" si="1"/>
        <v>Diferente</v>
      </c>
    </row>
    <row r="300">
      <c r="B300" s="86"/>
      <c r="J300" s="55" t="s">
        <v>1713</v>
      </c>
      <c r="K300" s="55" t="s">
        <v>2683</v>
      </c>
      <c r="L300" s="55" t="s">
        <v>1718</v>
      </c>
      <c r="M300" s="55" t="s">
        <v>2684</v>
      </c>
      <c r="N300" s="55" t="s">
        <v>165</v>
      </c>
      <c r="O300" s="55" t="s">
        <v>165</v>
      </c>
      <c r="P300" s="86" t="str">
        <f t="shared" si="1"/>
        <v>Igual</v>
      </c>
    </row>
    <row r="301">
      <c r="B301" s="86"/>
      <c r="J301" s="55" t="s">
        <v>1717</v>
      </c>
      <c r="K301" s="55" t="s">
        <v>2685</v>
      </c>
      <c r="L301" s="55" t="s">
        <v>1718</v>
      </c>
      <c r="M301" s="55" t="s">
        <v>2686</v>
      </c>
      <c r="N301" s="55" t="s">
        <v>165</v>
      </c>
      <c r="O301" s="55" t="s">
        <v>166</v>
      </c>
      <c r="P301" s="86" t="str">
        <f t="shared" si="1"/>
        <v>Diferente</v>
      </c>
    </row>
    <row r="302">
      <c r="B302" s="86"/>
      <c r="J302" s="55" t="s">
        <v>1721</v>
      </c>
      <c r="K302" s="55" t="s">
        <v>2687</v>
      </c>
      <c r="L302" s="55" t="s">
        <v>1718</v>
      </c>
      <c r="M302" s="55" t="s">
        <v>2688</v>
      </c>
      <c r="N302" s="55" t="s">
        <v>165</v>
      </c>
      <c r="O302" s="55" t="s">
        <v>165</v>
      </c>
      <c r="P302" s="86" t="str">
        <f t="shared" si="1"/>
        <v>Igual</v>
      </c>
    </row>
    <row r="303">
      <c r="B303" s="86"/>
      <c r="J303" s="55" t="s">
        <v>1725</v>
      </c>
      <c r="K303" s="55" t="s">
        <v>2689</v>
      </c>
      <c r="L303" s="55" t="s">
        <v>1718</v>
      </c>
      <c r="M303" s="55" t="s">
        <v>2690</v>
      </c>
      <c r="N303" s="55" t="s">
        <v>165</v>
      </c>
      <c r="O303" s="55" t="s">
        <v>166</v>
      </c>
      <c r="P303" s="86" t="str">
        <f t="shared" si="1"/>
        <v>Diferente</v>
      </c>
    </row>
    <row r="304">
      <c r="B304" s="86"/>
      <c r="J304" s="86"/>
      <c r="N304" s="86"/>
      <c r="O304" s="86"/>
      <c r="P304" s="86" t="str">
        <f t="shared" si="1"/>
        <v/>
      </c>
    </row>
    <row r="305">
      <c r="B305" s="86"/>
      <c r="J305" s="86"/>
      <c r="N305" s="86"/>
      <c r="O305" s="86"/>
      <c r="P305" s="86" t="str">
        <f t="shared" si="1"/>
        <v/>
      </c>
    </row>
    <row r="306">
      <c r="B306" s="86"/>
      <c r="J306" s="86"/>
      <c r="N306" s="86"/>
      <c r="O306" s="86"/>
      <c r="P306" s="86" t="str">
        <f t="shared" si="1"/>
        <v/>
      </c>
    </row>
    <row r="307">
      <c r="B307" s="86"/>
      <c r="J307" s="86"/>
      <c r="N307" s="86"/>
      <c r="O307" s="86"/>
      <c r="P307" s="86" t="str">
        <f t="shared" si="1"/>
        <v/>
      </c>
    </row>
    <row r="308">
      <c r="B308" s="86"/>
      <c r="J308" s="86"/>
      <c r="N308" s="86"/>
      <c r="O308" s="86"/>
      <c r="P308" s="86" t="str">
        <f t="shared" si="1"/>
        <v/>
      </c>
    </row>
    <row r="309">
      <c r="B309" s="86"/>
      <c r="J309" s="86"/>
      <c r="N309" s="86"/>
      <c r="O309" s="86"/>
      <c r="P309" s="86" t="str">
        <f t="shared" si="1"/>
        <v/>
      </c>
    </row>
    <row r="310">
      <c r="B310" s="86"/>
      <c r="J310" s="86"/>
      <c r="N310" s="86"/>
      <c r="O310" s="86"/>
      <c r="P310" s="86" t="str">
        <f t="shared" si="1"/>
        <v/>
      </c>
    </row>
    <row r="311">
      <c r="B311" s="86"/>
      <c r="J311" s="86"/>
      <c r="N311" s="86"/>
      <c r="O311" s="86"/>
      <c r="P311" s="86" t="str">
        <f t="shared" si="1"/>
        <v/>
      </c>
    </row>
    <row r="312">
      <c r="B312" s="86"/>
      <c r="J312" s="86"/>
      <c r="N312" s="86"/>
      <c r="O312" s="86"/>
      <c r="P312" s="86" t="str">
        <f t="shared" si="1"/>
        <v/>
      </c>
    </row>
    <row r="313">
      <c r="B313" s="86"/>
      <c r="J313" s="86"/>
      <c r="N313" s="86"/>
      <c r="O313" s="86"/>
      <c r="P313" s="86" t="str">
        <f t="shared" si="1"/>
        <v/>
      </c>
    </row>
    <row r="314">
      <c r="B314" s="86"/>
      <c r="J314" s="86"/>
      <c r="N314" s="86"/>
      <c r="O314" s="86"/>
      <c r="P314" s="86" t="str">
        <f t="shared" si="1"/>
        <v/>
      </c>
    </row>
    <row r="315">
      <c r="B315" s="86"/>
      <c r="J315" s="86"/>
      <c r="N315" s="86"/>
      <c r="O315" s="86"/>
      <c r="P315" s="86" t="str">
        <f t="shared" si="1"/>
        <v/>
      </c>
    </row>
    <row r="316">
      <c r="B316" s="86"/>
      <c r="J316" s="86"/>
      <c r="N316" s="86"/>
      <c r="O316" s="86"/>
      <c r="P316" s="86" t="str">
        <f t="shared" si="1"/>
        <v/>
      </c>
    </row>
    <row r="317">
      <c r="B317" s="86"/>
      <c r="J317" s="86"/>
      <c r="N317" s="86"/>
      <c r="O317" s="86"/>
      <c r="P317" s="86" t="str">
        <f t="shared" si="1"/>
        <v/>
      </c>
    </row>
    <row r="318">
      <c r="B318" s="86"/>
      <c r="J318" s="86"/>
      <c r="N318" s="86"/>
      <c r="O318" s="86"/>
      <c r="P318" s="86" t="str">
        <f t="shared" si="1"/>
        <v/>
      </c>
    </row>
    <row r="319">
      <c r="B319" s="86"/>
      <c r="J319" s="86"/>
      <c r="N319" s="86"/>
      <c r="O319" s="86"/>
      <c r="P319" s="86" t="str">
        <f t="shared" si="1"/>
        <v/>
      </c>
    </row>
    <row r="320">
      <c r="B320" s="86"/>
      <c r="J320" s="86"/>
      <c r="N320" s="86"/>
      <c r="O320" s="86"/>
      <c r="P320" s="86" t="str">
        <f t="shared" si="1"/>
        <v/>
      </c>
    </row>
    <row r="321">
      <c r="B321" s="86"/>
      <c r="J321" s="86"/>
      <c r="N321" s="86"/>
      <c r="O321" s="86"/>
      <c r="P321" s="86" t="str">
        <f t="shared" si="1"/>
        <v/>
      </c>
    </row>
    <row r="322">
      <c r="B322" s="86"/>
      <c r="J322" s="86"/>
      <c r="N322" s="86"/>
      <c r="O322" s="86"/>
      <c r="P322" s="86" t="str">
        <f t="shared" si="1"/>
        <v/>
      </c>
    </row>
    <row r="323">
      <c r="B323" s="86"/>
      <c r="J323" s="86"/>
      <c r="N323" s="86"/>
      <c r="O323" s="86"/>
      <c r="P323" s="86" t="str">
        <f t="shared" si="1"/>
        <v/>
      </c>
    </row>
    <row r="324">
      <c r="B324" s="86"/>
      <c r="J324" s="86"/>
      <c r="N324" s="86"/>
      <c r="O324" s="86"/>
      <c r="P324" s="86" t="str">
        <f t="shared" si="1"/>
        <v/>
      </c>
    </row>
    <row r="325">
      <c r="B325" s="86"/>
      <c r="J325" s="86"/>
      <c r="N325" s="86"/>
      <c r="O325" s="86"/>
      <c r="P325" s="86" t="str">
        <f t="shared" si="1"/>
        <v/>
      </c>
    </row>
    <row r="326">
      <c r="B326" s="86"/>
      <c r="J326" s="86"/>
      <c r="N326" s="86"/>
      <c r="O326" s="86"/>
      <c r="P326" s="86" t="str">
        <f t="shared" si="1"/>
        <v/>
      </c>
    </row>
    <row r="327">
      <c r="B327" s="86"/>
      <c r="J327" s="86"/>
      <c r="N327" s="86"/>
      <c r="O327" s="86"/>
      <c r="P327" s="86" t="str">
        <f t="shared" si="1"/>
        <v/>
      </c>
    </row>
    <row r="328">
      <c r="B328" s="86"/>
      <c r="J328" s="86"/>
      <c r="N328" s="86"/>
      <c r="O328" s="86"/>
      <c r="P328" s="86" t="str">
        <f t="shared" si="1"/>
        <v/>
      </c>
    </row>
    <row r="329">
      <c r="B329" s="86"/>
      <c r="J329" s="86"/>
      <c r="N329" s="86"/>
      <c r="O329" s="86"/>
      <c r="P329" s="86" t="str">
        <f t="shared" si="1"/>
        <v/>
      </c>
    </row>
    <row r="330">
      <c r="B330" s="86"/>
      <c r="J330" s="86"/>
      <c r="N330" s="86"/>
      <c r="O330" s="86"/>
      <c r="P330" s="86" t="str">
        <f t="shared" si="1"/>
        <v/>
      </c>
    </row>
    <row r="331">
      <c r="B331" s="86"/>
      <c r="J331" s="86"/>
      <c r="N331" s="86"/>
      <c r="O331" s="86"/>
      <c r="P331" s="86" t="str">
        <f t="shared" si="1"/>
        <v/>
      </c>
    </row>
    <row r="332">
      <c r="B332" s="86"/>
      <c r="J332" s="86"/>
      <c r="N332" s="86"/>
      <c r="O332" s="86"/>
      <c r="P332" s="86" t="str">
        <f t="shared" si="1"/>
        <v/>
      </c>
    </row>
    <row r="333">
      <c r="B333" s="86"/>
      <c r="J333" s="86"/>
      <c r="N333" s="86"/>
      <c r="O333" s="86"/>
      <c r="P333" s="86" t="str">
        <f t="shared" si="1"/>
        <v/>
      </c>
    </row>
    <row r="334">
      <c r="B334" s="86"/>
      <c r="J334" s="86"/>
      <c r="N334" s="86"/>
      <c r="O334" s="86"/>
      <c r="P334" s="86" t="str">
        <f t="shared" si="1"/>
        <v/>
      </c>
    </row>
    <row r="335">
      <c r="B335" s="86"/>
      <c r="J335" s="86"/>
      <c r="N335" s="86"/>
      <c r="O335" s="86"/>
      <c r="P335" s="86" t="str">
        <f t="shared" si="1"/>
        <v/>
      </c>
    </row>
    <row r="336">
      <c r="B336" s="86"/>
      <c r="J336" s="86"/>
      <c r="N336" s="86"/>
      <c r="O336" s="86"/>
      <c r="P336" s="86" t="str">
        <f t="shared" si="1"/>
        <v/>
      </c>
    </row>
    <row r="337">
      <c r="B337" s="86"/>
      <c r="J337" s="86"/>
      <c r="N337" s="86"/>
      <c r="O337" s="86"/>
      <c r="P337" s="86" t="str">
        <f t="shared" si="1"/>
        <v/>
      </c>
    </row>
    <row r="338">
      <c r="B338" s="86"/>
      <c r="J338" s="86"/>
      <c r="N338" s="86"/>
      <c r="O338" s="86"/>
      <c r="P338" s="86" t="str">
        <f t="shared" si="1"/>
        <v/>
      </c>
    </row>
    <row r="339">
      <c r="B339" s="86"/>
      <c r="J339" s="86"/>
      <c r="N339" s="86"/>
      <c r="O339" s="86"/>
      <c r="P339" s="86" t="str">
        <f t="shared" si="1"/>
        <v/>
      </c>
    </row>
    <row r="340">
      <c r="B340" s="86"/>
      <c r="J340" s="86"/>
      <c r="N340" s="86"/>
      <c r="O340" s="86"/>
      <c r="P340" s="86" t="str">
        <f t="shared" si="1"/>
        <v/>
      </c>
    </row>
    <row r="341">
      <c r="B341" s="86"/>
      <c r="J341" s="86"/>
      <c r="N341" s="86"/>
      <c r="O341" s="86"/>
      <c r="P341" s="86" t="str">
        <f t="shared" si="1"/>
        <v/>
      </c>
    </row>
    <row r="342">
      <c r="B342" s="86"/>
      <c r="J342" s="86"/>
      <c r="N342" s="86"/>
      <c r="O342" s="86"/>
      <c r="P342" s="86" t="str">
        <f t="shared" si="1"/>
        <v/>
      </c>
    </row>
    <row r="343">
      <c r="B343" s="86"/>
      <c r="J343" s="86"/>
      <c r="N343" s="86"/>
      <c r="O343" s="86"/>
      <c r="P343" s="86" t="str">
        <f t="shared" si="1"/>
        <v/>
      </c>
    </row>
    <row r="344">
      <c r="B344" s="86"/>
      <c r="J344" s="86"/>
      <c r="N344" s="86"/>
      <c r="O344" s="86"/>
      <c r="P344" s="86" t="str">
        <f t="shared" si="1"/>
        <v/>
      </c>
    </row>
    <row r="345">
      <c r="B345" s="86"/>
      <c r="J345" s="86"/>
      <c r="N345" s="86"/>
      <c r="O345" s="86"/>
      <c r="P345" s="86" t="str">
        <f t="shared" si="1"/>
        <v/>
      </c>
    </row>
    <row r="346">
      <c r="B346" s="86"/>
      <c r="J346" s="86"/>
      <c r="N346" s="86"/>
      <c r="O346" s="86"/>
      <c r="P346" s="86" t="str">
        <f t="shared" si="1"/>
        <v/>
      </c>
    </row>
    <row r="347">
      <c r="B347" s="86"/>
      <c r="J347" s="86"/>
      <c r="N347" s="86"/>
      <c r="O347" s="86"/>
      <c r="P347" s="86" t="str">
        <f t="shared" si="1"/>
        <v/>
      </c>
    </row>
    <row r="348">
      <c r="B348" s="86"/>
      <c r="J348" s="86"/>
      <c r="N348" s="86"/>
      <c r="O348" s="86"/>
      <c r="P348" s="86" t="str">
        <f t="shared" si="1"/>
        <v/>
      </c>
    </row>
    <row r="349">
      <c r="B349" s="86"/>
      <c r="J349" s="86"/>
      <c r="N349" s="86"/>
      <c r="O349" s="86"/>
      <c r="P349" s="86" t="str">
        <f t="shared" si="1"/>
        <v/>
      </c>
    </row>
    <row r="350">
      <c r="B350" s="86"/>
      <c r="J350" s="86"/>
      <c r="N350" s="86"/>
      <c r="O350" s="86"/>
      <c r="P350" s="86" t="str">
        <f t="shared" si="1"/>
        <v/>
      </c>
    </row>
    <row r="351">
      <c r="B351" s="86"/>
      <c r="J351" s="86"/>
      <c r="N351" s="86"/>
      <c r="O351" s="86"/>
      <c r="P351" s="86" t="str">
        <f t="shared" si="1"/>
        <v/>
      </c>
    </row>
    <row r="352">
      <c r="B352" s="86"/>
      <c r="J352" s="86"/>
      <c r="N352" s="86"/>
      <c r="O352" s="86"/>
      <c r="P352" s="86" t="str">
        <f t="shared" si="1"/>
        <v/>
      </c>
    </row>
    <row r="353">
      <c r="B353" s="86"/>
      <c r="J353" s="86"/>
      <c r="N353" s="86"/>
      <c r="O353" s="86"/>
      <c r="P353" s="86" t="str">
        <f t="shared" si="1"/>
        <v/>
      </c>
    </row>
    <row r="354">
      <c r="B354" s="86"/>
      <c r="J354" s="86"/>
      <c r="N354" s="86"/>
      <c r="O354" s="86"/>
      <c r="P354" s="86" t="str">
        <f t="shared" si="1"/>
        <v/>
      </c>
    </row>
    <row r="355">
      <c r="B355" s="86"/>
      <c r="J355" s="86"/>
      <c r="N355" s="86"/>
      <c r="O355" s="86"/>
      <c r="P355" s="86" t="str">
        <f t="shared" si="1"/>
        <v/>
      </c>
    </row>
    <row r="356">
      <c r="B356" s="86"/>
      <c r="J356" s="86"/>
      <c r="N356" s="86"/>
      <c r="O356" s="86"/>
      <c r="P356" s="86" t="str">
        <f t="shared" si="1"/>
        <v/>
      </c>
    </row>
    <row r="357">
      <c r="B357" s="86"/>
      <c r="J357" s="86"/>
      <c r="N357" s="86"/>
      <c r="O357" s="86"/>
      <c r="P357" s="86" t="str">
        <f t="shared" si="1"/>
        <v/>
      </c>
    </row>
    <row r="358">
      <c r="B358" s="86"/>
      <c r="J358" s="86"/>
      <c r="N358" s="86"/>
      <c r="O358" s="86"/>
      <c r="P358" s="86" t="str">
        <f t="shared" si="1"/>
        <v/>
      </c>
    </row>
    <row r="359">
      <c r="B359" s="86"/>
      <c r="J359" s="86"/>
      <c r="N359" s="86"/>
      <c r="O359" s="86"/>
      <c r="P359" s="86" t="str">
        <f t="shared" si="1"/>
        <v/>
      </c>
    </row>
    <row r="360">
      <c r="B360" s="86"/>
      <c r="J360" s="86"/>
      <c r="N360" s="86"/>
      <c r="O360" s="86"/>
      <c r="P360" s="86" t="str">
        <f t="shared" si="1"/>
        <v/>
      </c>
    </row>
    <row r="361">
      <c r="B361" s="86"/>
      <c r="J361" s="86"/>
      <c r="N361" s="86"/>
      <c r="O361" s="86"/>
      <c r="P361" s="86" t="str">
        <f t="shared" si="1"/>
        <v/>
      </c>
    </row>
    <row r="362">
      <c r="B362" s="86"/>
      <c r="J362" s="86"/>
      <c r="N362" s="86"/>
      <c r="O362" s="86"/>
      <c r="P362" s="86" t="str">
        <f t="shared" si="1"/>
        <v/>
      </c>
    </row>
    <row r="363">
      <c r="B363" s="86"/>
      <c r="J363" s="86"/>
      <c r="N363" s="86"/>
      <c r="O363" s="86"/>
      <c r="P363" s="86" t="str">
        <f t="shared" si="1"/>
        <v/>
      </c>
    </row>
    <row r="364">
      <c r="B364" s="86"/>
      <c r="J364" s="86"/>
      <c r="N364" s="86"/>
      <c r="O364" s="86"/>
      <c r="P364" s="86" t="str">
        <f t="shared" si="1"/>
        <v/>
      </c>
    </row>
    <row r="365">
      <c r="B365" s="86"/>
      <c r="J365" s="86"/>
      <c r="N365" s="86"/>
      <c r="O365" s="86"/>
      <c r="P365" s="86" t="str">
        <f t="shared" si="1"/>
        <v/>
      </c>
    </row>
    <row r="366">
      <c r="B366" s="86"/>
      <c r="J366" s="86"/>
      <c r="N366" s="86"/>
      <c r="O366" s="86"/>
      <c r="P366" s="86" t="str">
        <f t="shared" si="1"/>
        <v/>
      </c>
    </row>
    <row r="367">
      <c r="B367" s="86"/>
      <c r="J367" s="86"/>
      <c r="N367" s="86"/>
      <c r="O367" s="86"/>
      <c r="P367" s="86" t="str">
        <f t="shared" si="1"/>
        <v/>
      </c>
    </row>
    <row r="368">
      <c r="B368" s="86"/>
      <c r="J368" s="86"/>
      <c r="N368" s="86"/>
      <c r="O368" s="86"/>
      <c r="P368" s="86" t="str">
        <f t="shared" si="1"/>
        <v/>
      </c>
    </row>
    <row r="369">
      <c r="B369" s="86"/>
      <c r="J369" s="86"/>
      <c r="N369" s="86"/>
      <c r="O369" s="86"/>
      <c r="P369" s="86" t="str">
        <f t="shared" si="1"/>
        <v/>
      </c>
    </row>
    <row r="370">
      <c r="B370" s="86"/>
      <c r="J370" s="86"/>
      <c r="N370" s="86"/>
      <c r="O370" s="86"/>
      <c r="P370" s="86" t="str">
        <f t="shared" si="1"/>
        <v/>
      </c>
    </row>
    <row r="371">
      <c r="B371" s="86"/>
      <c r="J371" s="86"/>
      <c r="N371" s="86"/>
      <c r="O371" s="86"/>
      <c r="P371" s="86" t="str">
        <f t="shared" si="1"/>
        <v/>
      </c>
    </row>
    <row r="372">
      <c r="B372" s="86"/>
      <c r="J372" s="86"/>
      <c r="N372" s="86"/>
      <c r="O372" s="86"/>
      <c r="P372" s="86" t="str">
        <f t="shared" si="1"/>
        <v/>
      </c>
    </row>
    <row r="373">
      <c r="B373" s="86"/>
      <c r="J373" s="86"/>
      <c r="N373" s="86"/>
      <c r="O373" s="86"/>
      <c r="P373" s="86" t="str">
        <f t="shared" si="1"/>
        <v/>
      </c>
    </row>
    <row r="374">
      <c r="B374" s="86"/>
      <c r="J374" s="86"/>
      <c r="N374" s="86"/>
      <c r="O374" s="86"/>
      <c r="P374" s="86" t="str">
        <f t="shared" si="1"/>
        <v/>
      </c>
    </row>
    <row r="375">
      <c r="B375" s="86"/>
      <c r="J375" s="86"/>
      <c r="N375" s="86"/>
      <c r="O375" s="86"/>
      <c r="P375" s="86" t="str">
        <f t="shared" si="1"/>
        <v/>
      </c>
    </row>
    <row r="376">
      <c r="B376" s="86"/>
      <c r="J376" s="86"/>
      <c r="N376" s="86"/>
      <c r="O376" s="86"/>
      <c r="P376" s="86" t="str">
        <f t="shared" si="1"/>
        <v/>
      </c>
    </row>
    <row r="377">
      <c r="B377" s="86"/>
      <c r="J377" s="86"/>
      <c r="N377" s="86"/>
      <c r="O377" s="86"/>
      <c r="P377" s="86" t="str">
        <f t="shared" si="1"/>
        <v/>
      </c>
    </row>
    <row r="378">
      <c r="B378" s="86"/>
      <c r="J378" s="86"/>
      <c r="N378" s="86"/>
      <c r="O378" s="86"/>
      <c r="P378" s="86" t="str">
        <f t="shared" si="1"/>
        <v/>
      </c>
    </row>
    <row r="379">
      <c r="B379" s="86"/>
      <c r="J379" s="86"/>
      <c r="N379" s="86"/>
      <c r="O379" s="86"/>
      <c r="P379" s="86" t="str">
        <f t="shared" si="1"/>
        <v/>
      </c>
    </row>
    <row r="380">
      <c r="B380" s="86"/>
      <c r="J380" s="86"/>
      <c r="N380" s="86"/>
      <c r="O380" s="86"/>
      <c r="P380" s="86" t="str">
        <f t="shared" si="1"/>
        <v/>
      </c>
    </row>
    <row r="381">
      <c r="B381" s="86"/>
      <c r="J381" s="86"/>
      <c r="N381" s="86"/>
      <c r="O381" s="86"/>
      <c r="P381" s="86" t="str">
        <f t="shared" si="1"/>
        <v/>
      </c>
    </row>
    <row r="382">
      <c r="B382" s="86"/>
      <c r="J382" s="86"/>
      <c r="N382" s="86"/>
      <c r="O382" s="86"/>
      <c r="P382" s="86" t="str">
        <f t="shared" si="1"/>
        <v/>
      </c>
    </row>
    <row r="383">
      <c r="B383" s="86"/>
      <c r="J383" s="86"/>
      <c r="N383" s="86"/>
      <c r="O383" s="86"/>
      <c r="P383" s="86" t="str">
        <f t="shared" si="1"/>
        <v/>
      </c>
    </row>
    <row r="384">
      <c r="B384" s="86"/>
      <c r="J384" s="86"/>
      <c r="N384" s="86"/>
      <c r="O384" s="86"/>
      <c r="P384" s="86" t="str">
        <f t="shared" si="1"/>
        <v/>
      </c>
    </row>
    <row r="385">
      <c r="B385" s="86"/>
      <c r="J385" s="86"/>
      <c r="N385" s="86"/>
      <c r="O385" s="86"/>
      <c r="P385" s="86" t="str">
        <f t="shared" si="1"/>
        <v/>
      </c>
    </row>
    <row r="386">
      <c r="B386" s="86"/>
      <c r="J386" s="86"/>
      <c r="N386" s="86"/>
      <c r="O386" s="86"/>
      <c r="P386" s="86" t="str">
        <f t="shared" si="1"/>
        <v/>
      </c>
    </row>
    <row r="387">
      <c r="B387" s="86"/>
      <c r="J387" s="86"/>
      <c r="N387" s="86"/>
      <c r="O387" s="86"/>
      <c r="P387" s="86" t="str">
        <f t="shared" si="1"/>
        <v/>
      </c>
    </row>
    <row r="388">
      <c r="B388" s="86"/>
      <c r="J388" s="86"/>
      <c r="N388" s="86"/>
      <c r="O388" s="86"/>
      <c r="P388" s="86" t="str">
        <f t="shared" si="1"/>
        <v/>
      </c>
    </row>
    <row r="389">
      <c r="B389" s="86"/>
      <c r="J389" s="86"/>
      <c r="N389" s="86"/>
      <c r="O389" s="86"/>
      <c r="P389" s="86" t="str">
        <f t="shared" si="1"/>
        <v/>
      </c>
    </row>
    <row r="390">
      <c r="B390" s="86"/>
      <c r="J390" s="86"/>
      <c r="N390" s="86"/>
      <c r="O390" s="86"/>
      <c r="P390" s="86" t="str">
        <f t="shared" si="1"/>
        <v/>
      </c>
    </row>
    <row r="391">
      <c r="B391" s="86"/>
      <c r="J391" s="86"/>
      <c r="N391" s="86"/>
      <c r="O391" s="86"/>
      <c r="P391" s="86" t="str">
        <f t="shared" si="1"/>
        <v/>
      </c>
    </row>
    <row r="392">
      <c r="B392" s="86"/>
      <c r="J392" s="86"/>
      <c r="N392" s="86"/>
      <c r="O392" s="86"/>
      <c r="P392" s="86" t="str">
        <f t="shared" si="1"/>
        <v/>
      </c>
    </row>
    <row r="393">
      <c r="B393" s="86"/>
      <c r="J393" s="86"/>
      <c r="N393" s="86"/>
      <c r="O393" s="86"/>
      <c r="P393" s="86" t="str">
        <f t="shared" si="1"/>
        <v/>
      </c>
    </row>
    <row r="394">
      <c r="B394" s="86"/>
      <c r="J394" s="86"/>
      <c r="N394" s="86"/>
      <c r="O394" s="86"/>
      <c r="P394" s="86" t="str">
        <f t="shared" si="1"/>
        <v/>
      </c>
    </row>
    <row r="395">
      <c r="B395" s="86"/>
      <c r="J395" s="86"/>
      <c r="N395" s="86"/>
      <c r="O395" s="86"/>
      <c r="P395" s="86" t="str">
        <f t="shared" si="1"/>
        <v/>
      </c>
    </row>
    <row r="396">
      <c r="B396" s="86"/>
      <c r="J396" s="86"/>
      <c r="N396" s="86"/>
      <c r="O396" s="86"/>
      <c r="P396" s="86" t="str">
        <f t="shared" si="1"/>
        <v/>
      </c>
    </row>
    <row r="397">
      <c r="B397" s="86"/>
      <c r="J397" s="86"/>
      <c r="N397" s="86"/>
      <c r="O397" s="86"/>
      <c r="P397" s="86" t="str">
        <f t="shared" si="1"/>
        <v/>
      </c>
    </row>
    <row r="398">
      <c r="B398" s="86"/>
      <c r="J398" s="86"/>
      <c r="N398" s="86"/>
      <c r="O398" s="86"/>
      <c r="P398" s="86" t="str">
        <f t="shared" si="1"/>
        <v/>
      </c>
    </row>
    <row r="399">
      <c r="B399" s="86"/>
      <c r="J399" s="86"/>
      <c r="N399" s="86"/>
      <c r="O399" s="86"/>
      <c r="P399" s="86" t="str">
        <f t="shared" si="1"/>
        <v/>
      </c>
    </row>
    <row r="400">
      <c r="B400" s="86"/>
      <c r="J400" s="86"/>
      <c r="N400" s="86"/>
      <c r="O400" s="86"/>
      <c r="P400" s="86" t="str">
        <f t="shared" si="1"/>
        <v/>
      </c>
    </row>
    <row r="401">
      <c r="B401" s="86"/>
      <c r="J401" s="86"/>
      <c r="N401" s="86"/>
      <c r="O401" s="86"/>
      <c r="P401" s="86" t="str">
        <f t="shared" si="1"/>
        <v/>
      </c>
    </row>
    <row r="402">
      <c r="B402" s="86"/>
      <c r="J402" s="86"/>
      <c r="N402" s="86"/>
      <c r="O402" s="86"/>
      <c r="P402" s="86" t="str">
        <f t="shared" si="1"/>
        <v/>
      </c>
    </row>
    <row r="403">
      <c r="B403" s="86"/>
      <c r="J403" s="86"/>
      <c r="N403" s="86"/>
      <c r="O403" s="86"/>
      <c r="P403" s="86" t="str">
        <f t="shared" si="1"/>
        <v/>
      </c>
    </row>
    <row r="404">
      <c r="B404" s="86"/>
      <c r="J404" s="86"/>
      <c r="N404" s="86"/>
      <c r="O404" s="86"/>
      <c r="P404" s="86" t="str">
        <f t="shared" si="1"/>
        <v/>
      </c>
    </row>
    <row r="405">
      <c r="B405" s="86"/>
      <c r="J405" s="86"/>
      <c r="N405" s="86"/>
      <c r="O405" s="86"/>
      <c r="P405" s="86" t="str">
        <f t="shared" si="1"/>
        <v/>
      </c>
    </row>
    <row r="406">
      <c r="B406" s="86"/>
      <c r="J406" s="86"/>
      <c r="N406" s="86"/>
      <c r="O406" s="86"/>
      <c r="P406" s="86" t="str">
        <f t="shared" si="1"/>
        <v/>
      </c>
    </row>
    <row r="407">
      <c r="B407" s="86"/>
      <c r="J407" s="86"/>
      <c r="N407" s="86"/>
      <c r="O407" s="86"/>
      <c r="P407" s="86" t="str">
        <f t="shared" si="1"/>
        <v/>
      </c>
    </row>
    <row r="408">
      <c r="B408" s="86"/>
      <c r="J408" s="86"/>
      <c r="N408" s="86"/>
      <c r="O408" s="86"/>
      <c r="P408" s="86" t="str">
        <f t="shared" si="1"/>
        <v/>
      </c>
    </row>
    <row r="409">
      <c r="B409" s="86"/>
      <c r="J409" s="86"/>
      <c r="N409" s="86"/>
      <c r="O409" s="86"/>
      <c r="P409" s="86" t="str">
        <f t="shared" si="1"/>
        <v/>
      </c>
    </row>
    <row r="410">
      <c r="B410" s="86"/>
      <c r="J410" s="86"/>
      <c r="N410" s="86"/>
      <c r="O410" s="86"/>
      <c r="P410" s="86" t="str">
        <f t="shared" si="1"/>
        <v/>
      </c>
    </row>
    <row r="411">
      <c r="B411" s="86"/>
      <c r="J411" s="86"/>
      <c r="N411" s="86"/>
      <c r="O411" s="86"/>
      <c r="P411" s="86" t="str">
        <f t="shared" si="1"/>
        <v/>
      </c>
    </row>
    <row r="412">
      <c r="B412" s="86"/>
      <c r="J412" s="86"/>
      <c r="N412" s="86"/>
      <c r="O412" s="86"/>
      <c r="P412" s="86" t="str">
        <f t="shared" si="1"/>
        <v/>
      </c>
    </row>
    <row r="413">
      <c r="B413" s="86"/>
      <c r="J413" s="86"/>
      <c r="N413" s="86"/>
      <c r="O413" s="86"/>
      <c r="P413" s="86" t="str">
        <f t="shared" si="1"/>
        <v/>
      </c>
    </row>
    <row r="414">
      <c r="B414" s="86"/>
      <c r="J414" s="86"/>
      <c r="N414" s="86"/>
      <c r="O414" s="86"/>
      <c r="P414" s="86" t="str">
        <f t="shared" si="1"/>
        <v/>
      </c>
    </row>
    <row r="415">
      <c r="B415" s="86"/>
      <c r="J415" s="86"/>
      <c r="N415" s="86"/>
      <c r="O415" s="86"/>
      <c r="P415" s="86" t="str">
        <f t="shared" si="1"/>
        <v/>
      </c>
    </row>
    <row r="416">
      <c r="B416" s="86"/>
      <c r="J416" s="86"/>
      <c r="N416" s="86"/>
      <c r="O416" s="86"/>
      <c r="P416" s="86" t="str">
        <f t="shared" si="1"/>
        <v/>
      </c>
    </row>
    <row r="417">
      <c r="B417" s="86"/>
      <c r="J417" s="86"/>
      <c r="N417" s="86"/>
      <c r="O417" s="86"/>
      <c r="P417" s="86" t="str">
        <f t="shared" si="1"/>
        <v/>
      </c>
    </row>
    <row r="418">
      <c r="B418" s="86"/>
      <c r="J418" s="86"/>
      <c r="N418" s="86"/>
      <c r="O418" s="86"/>
      <c r="P418" s="86" t="str">
        <f t="shared" si="1"/>
        <v/>
      </c>
    </row>
    <row r="419">
      <c r="B419" s="86"/>
      <c r="J419" s="86"/>
      <c r="N419" s="86"/>
      <c r="O419" s="86"/>
      <c r="P419" s="86" t="str">
        <f t="shared" si="1"/>
        <v/>
      </c>
    </row>
    <row r="420">
      <c r="B420" s="86"/>
      <c r="J420" s="86"/>
      <c r="N420" s="86"/>
      <c r="O420" s="86"/>
      <c r="P420" s="86" t="str">
        <f t="shared" si="1"/>
        <v/>
      </c>
    </row>
    <row r="421">
      <c r="B421" s="86"/>
      <c r="J421" s="86"/>
      <c r="N421" s="86"/>
      <c r="O421" s="86"/>
      <c r="P421" s="86" t="str">
        <f t="shared" si="1"/>
        <v/>
      </c>
    </row>
    <row r="422">
      <c r="B422" s="86"/>
      <c r="J422" s="86"/>
      <c r="N422" s="86"/>
      <c r="O422" s="86"/>
      <c r="P422" s="86" t="str">
        <f t="shared" si="1"/>
        <v/>
      </c>
    </row>
    <row r="423">
      <c r="B423" s="86"/>
      <c r="J423" s="86"/>
      <c r="N423" s="86"/>
      <c r="O423" s="86"/>
      <c r="P423" s="86" t="str">
        <f t="shared" si="1"/>
        <v/>
      </c>
    </row>
    <row r="424">
      <c r="B424" s="86"/>
      <c r="J424" s="86"/>
      <c r="N424" s="86"/>
      <c r="O424" s="86"/>
      <c r="P424" s="86" t="str">
        <f t="shared" si="1"/>
        <v/>
      </c>
    </row>
    <row r="425">
      <c r="B425" s="86"/>
      <c r="J425" s="86"/>
      <c r="N425" s="86"/>
      <c r="O425" s="86"/>
      <c r="P425" s="86" t="str">
        <f t="shared" si="1"/>
        <v/>
      </c>
    </row>
    <row r="426">
      <c r="B426" s="86"/>
      <c r="J426" s="86"/>
      <c r="N426" s="86"/>
      <c r="O426" s="86"/>
      <c r="P426" s="86" t="str">
        <f t="shared" si="1"/>
        <v/>
      </c>
    </row>
    <row r="427">
      <c r="B427" s="86"/>
      <c r="J427" s="86"/>
      <c r="N427" s="86"/>
      <c r="O427" s="86"/>
      <c r="P427" s="86" t="str">
        <f t="shared" si="1"/>
        <v/>
      </c>
    </row>
    <row r="428">
      <c r="B428" s="86"/>
      <c r="J428" s="86"/>
      <c r="N428" s="86"/>
      <c r="O428" s="86"/>
      <c r="P428" s="86" t="str">
        <f t="shared" si="1"/>
        <v/>
      </c>
    </row>
    <row r="429">
      <c r="B429" s="86"/>
      <c r="J429" s="86"/>
      <c r="N429" s="86"/>
      <c r="O429" s="86"/>
      <c r="P429" s="86" t="str">
        <f t="shared" si="1"/>
        <v/>
      </c>
    </row>
    <row r="430">
      <c r="B430" s="86"/>
      <c r="J430" s="86"/>
      <c r="N430" s="86"/>
      <c r="O430" s="86"/>
      <c r="P430" s="86" t="str">
        <f t="shared" si="1"/>
        <v/>
      </c>
    </row>
    <row r="431">
      <c r="B431" s="86"/>
      <c r="J431" s="86"/>
      <c r="N431" s="86"/>
      <c r="O431" s="86"/>
      <c r="P431" s="86" t="str">
        <f t="shared" si="1"/>
        <v/>
      </c>
    </row>
    <row r="432">
      <c r="B432" s="86"/>
      <c r="J432" s="86"/>
      <c r="N432" s="86"/>
      <c r="O432" s="86"/>
      <c r="P432" s="86" t="str">
        <f t="shared" si="1"/>
        <v/>
      </c>
    </row>
    <row r="433">
      <c r="B433" s="86"/>
      <c r="J433" s="86"/>
      <c r="N433" s="86"/>
      <c r="O433" s="86"/>
      <c r="P433" s="86" t="str">
        <f t="shared" si="1"/>
        <v/>
      </c>
    </row>
    <row r="434">
      <c r="B434" s="86"/>
      <c r="J434" s="86"/>
      <c r="N434" s="86"/>
      <c r="O434" s="86"/>
      <c r="P434" s="86" t="str">
        <f t="shared" si="1"/>
        <v/>
      </c>
    </row>
    <row r="435">
      <c r="B435" s="86"/>
      <c r="J435" s="86"/>
      <c r="N435" s="86"/>
      <c r="O435" s="86"/>
      <c r="P435" s="86" t="str">
        <f t="shared" si="1"/>
        <v/>
      </c>
    </row>
    <row r="436">
      <c r="B436" s="86"/>
      <c r="J436" s="86"/>
      <c r="N436" s="86"/>
      <c r="O436" s="86"/>
      <c r="P436" s="86" t="str">
        <f t="shared" si="1"/>
        <v/>
      </c>
    </row>
    <row r="437">
      <c r="B437" s="86"/>
      <c r="J437" s="86"/>
      <c r="N437" s="86"/>
      <c r="O437" s="86"/>
      <c r="P437" s="86" t="str">
        <f t="shared" si="1"/>
        <v/>
      </c>
    </row>
    <row r="438">
      <c r="B438" s="86"/>
      <c r="J438" s="86"/>
      <c r="N438" s="86"/>
      <c r="O438" s="86"/>
      <c r="P438" s="86" t="str">
        <f t="shared" si="1"/>
        <v/>
      </c>
    </row>
    <row r="439">
      <c r="B439" s="86"/>
      <c r="J439" s="86"/>
      <c r="N439" s="86"/>
      <c r="O439" s="86"/>
      <c r="P439" s="86" t="str">
        <f t="shared" si="1"/>
        <v/>
      </c>
    </row>
    <row r="440">
      <c r="B440" s="86"/>
      <c r="J440" s="86"/>
      <c r="N440" s="86"/>
      <c r="O440" s="86"/>
      <c r="P440" s="86" t="str">
        <f t="shared" si="1"/>
        <v/>
      </c>
    </row>
    <row r="441">
      <c r="B441" s="86"/>
      <c r="J441" s="86"/>
      <c r="N441" s="86"/>
      <c r="O441" s="86"/>
      <c r="P441" s="86" t="str">
        <f t="shared" si="1"/>
        <v/>
      </c>
    </row>
    <row r="442">
      <c r="B442" s="86"/>
      <c r="J442" s="86"/>
      <c r="N442" s="86"/>
      <c r="O442" s="86"/>
      <c r="P442" s="86" t="str">
        <f t="shared" si="1"/>
        <v/>
      </c>
    </row>
    <row r="443">
      <c r="B443" s="86"/>
      <c r="J443" s="86"/>
      <c r="N443" s="86"/>
      <c r="O443" s="86"/>
      <c r="P443" s="86" t="str">
        <f t="shared" si="1"/>
        <v/>
      </c>
    </row>
    <row r="444">
      <c r="B444" s="86"/>
      <c r="J444" s="86"/>
      <c r="N444" s="86"/>
      <c r="O444" s="86"/>
      <c r="P444" s="86" t="str">
        <f t="shared" si="1"/>
        <v/>
      </c>
    </row>
    <row r="445">
      <c r="B445" s="86"/>
      <c r="J445" s="86"/>
      <c r="N445" s="86"/>
      <c r="O445" s="86"/>
      <c r="P445" s="86" t="str">
        <f t="shared" si="1"/>
        <v/>
      </c>
    </row>
    <row r="446">
      <c r="B446" s="86"/>
      <c r="J446" s="86"/>
      <c r="N446" s="86"/>
      <c r="O446" s="86"/>
      <c r="P446" s="86" t="str">
        <f t="shared" si="1"/>
        <v/>
      </c>
    </row>
    <row r="447">
      <c r="B447" s="86"/>
      <c r="J447" s="86"/>
      <c r="N447" s="86"/>
      <c r="O447" s="86"/>
      <c r="P447" s="86" t="str">
        <f t="shared" si="1"/>
        <v/>
      </c>
    </row>
    <row r="448">
      <c r="B448" s="86"/>
      <c r="J448" s="86"/>
      <c r="N448" s="86"/>
      <c r="O448" s="86"/>
      <c r="P448" s="86" t="str">
        <f t="shared" si="1"/>
        <v/>
      </c>
    </row>
    <row r="449">
      <c r="B449" s="86"/>
      <c r="J449" s="86"/>
      <c r="N449" s="86"/>
      <c r="O449" s="86"/>
      <c r="P449" s="86" t="str">
        <f t="shared" si="1"/>
        <v/>
      </c>
    </row>
    <row r="450">
      <c r="B450" s="86"/>
      <c r="J450" s="86"/>
      <c r="N450" s="86"/>
      <c r="O450" s="86"/>
      <c r="P450" s="86" t="str">
        <f t="shared" si="1"/>
        <v/>
      </c>
    </row>
    <row r="451">
      <c r="B451" s="86"/>
      <c r="J451" s="86"/>
      <c r="N451" s="86"/>
      <c r="O451" s="86"/>
      <c r="P451" s="86" t="str">
        <f t="shared" si="1"/>
        <v/>
      </c>
    </row>
    <row r="452">
      <c r="B452" s="86"/>
      <c r="J452" s="86"/>
      <c r="N452" s="86"/>
      <c r="O452" s="86"/>
      <c r="P452" s="86" t="str">
        <f t="shared" si="1"/>
        <v/>
      </c>
    </row>
    <row r="453">
      <c r="B453" s="86"/>
      <c r="J453" s="86"/>
      <c r="N453" s="86"/>
      <c r="O453" s="86"/>
      <c r="P453" s="86" t="str">
        <f t="shared" si="1"/>
        <v/>
      </c>
    </row>
    <row r="454">
      <c r="B454" s="86"/>
      <c r="J454" s="86"/>
      <c r="N454" s="86"/>
      <c r="O454" s="86"/>
      <c r="P454" s="86" t="str">
        <f t="shared" si="1"/>
        <v/>
      </c>
    </row>
    <row r="455">
      <c r="B455" s="86"/>
      <c r="J455" s="86"/>
      <c r="N455" s="86"/>
      <c r="O455" s="86"/>
      <c r="P455" s="86" t="str">
        <f t="shared" si="1"/>
        <v/>
      </c>
    </row>
    <row r="456">
      <c r="B456" s="86"/>
      <c r="J456" s="86"/>
      <c r="N456" s="86"/>
      <c r="O456" s="86"/>
      <c r="P456" s="86" t="str">
        <f t="shared" si="1"/>
        <v/>
      </c>
    </row>
    <row r="457">
      <c r="B457" s="86"/>
      <c r="J457" s="86"/>
      <c r="N457" s="86"/>
      <c r="O457" s="86"/>
      <c r="P457" s="86" t="str">
        <f t="shared" si="1"/>
        <v/>
      </c>
    </row>
    <row r="458">
      <c r="B458" s="86"/>
      <c r="J458" s="86"/>
      <c r="N458" s="86"/>
      <c r="O458" s="86"/>
      <c r="P458" s="86" t="str">
        <f t="shared" si="1"/>
        <v/>
      </c>
    </row>
    <row r="459">
      <c r="B459" s="86"/>
      <c r="J459" s="86"/>
      <c r="N459" s="86"/>
      <c r="O459" s="86"/>
      <c r="P459" s="86" t="str">
        <f t="shared" si="1"/>
        <v/>
      </c>
    </row>
    <row r="460">
      <c r="B460" s="86"/>
      <c r="J460" s="86"/>
      <c r="N460" s="86"/>
      <c r="O460" s="86"/>
      <c r="P460" s="86" t="str">
        <f t="shared" si="1"/>
        <v/>
      </c>
    </row>
    <row r="461">
      <c r="B461" s="86"/>
      <c r="J461" s="86"/>
      <c r="N461" s="86"/>
      <c r="O461" s="86"/>
      <c r="P461" s="86" t="str">
        <f t="shared" si="1"/>
        <v/>
      </c>
    </row>
    <row r="462">
      <c r="B462" s="86"/>
      <c r="J462" s="86"/>
      <c r="N462" s="86"/>
      <c r="O462" s="86"/>
      <c r="P462" s="86" t="str">
        <f t="shared" si="1"/>
        <v/>
      </c>
    </row>
    <row r="463">
      <c r="B463" s="86"/>
      <c r="J463" s="86"/>
      <c r="N463" s="86"/>
      <c r="O463" s="86"/>
      <c r="P463" s="86" t="str">
        <f t="shared" si="1"/>
        <v/>
      </c>
    </row>
    <row r="464">
      <c r="B464" s="86"/>
      <c r="J464" s="86"/>
      <c r="N464" s="86"/>
      <c r="O464" s="86"/>
      <c r="P464" s="86" t="str">
        <f t="shared" si="1"/>
        <v/>
      </c>
    </row>
    <row r="465">
      <c r="B465" s="86"/>
      <c r="J465" s="86"/>
      <c r="N465" s="86"/>
      <c r="O465" s="86"/>
      <c r="P465" s="86" t="str">
        <f t="shared" si="1"/>
        <v/>
      </c>
    </row>
    <row r="466">
      <c r="B466" s="86"/>
      <c r="J466" s="86"/>
      <c r="N466" s="86"/>
      <c r="O466" s="86"/>
      <c r="P466" s="86" t="str">
        <f t="shared" si="1"/>
        <v/>
      </c>
    </row>
    <row r="467">
      <c r="B467" s="86"/>
      <c r="J467" s="86"/>
      <c r="N467" s="86"/>
      <c r="O467" s="86"/>
      <c r="P467" s="86" t="str">
        <f t="shared" si="1"/>
        <v/>
      </c>
    </row>
    <row r="468">
      <c r="B468" s="86"/>
      <c r="J468" s="86"/>
      <c r="N468" s="86"/>
      <c r="O468" s="86"/>
      <c r="P468" s="86" t="str">
        <f t="shared" si="1"/>
        <v/>
      </c>
    </row>
    <row r="469">
      <c r="B469" s="86"/>
      <c r="J469" s="86"/>
      <c r="N469" s="86"/>
      <c r="O469" s="86"/>
      <c r="P469" s="86" t="str">
        <f t="shared" si="1"/>
        <v/>
      </c>
    </row>
    <row r="470">
      <c r="B470" s="86"/>
      <c r="J470" s="86"/>
      <c r="N470" s="86"/>
      <c r="O470" s="86"/>
      <c r="P470" s="86" t="str">
        <f t="shared" si="1"/>
        <v/>
      </c>
    </row>
    <row r="471">
      <c r="B471" s="86"/>
      <c r="J471" s="86"/>
      <c r="N471" s="86"/>
      <c r="O471" s="86"/>
      <c r="P471" s="86" t="str">
        <f t="shared" si="1"/>
        <v/>
      </c>
    </row>
    <row r="472">
      <c r="B472" s="86"/>
      <c r="J472" s="86"/>
      <c r="N472" s="86"/>
      <c r="O472" s="86"/>
      <c r="P472" s="86" t="str">
        <f t="shared" si="1"/>
        <v/>
      </c>
    </row>
    <row r="473">
      <c r="B473" s="86"/>
      <c r="J473" s="86"/>
      <c r="N473" s="86"/>
      <c r="O473" s="86"/>
      <c r="P473" s="86" t="str">
        <f t="shared" si="1"/>
        <v/>
      </c>
    </row>
    <row r="474">
      <c r="B474" s="86"/>
      <c r="J474" s="86"/>
      <c r="N474" s="86"/>
      <c r="O474" s="86"/>
      <c r="P474" s="86" t="str">
        <f t="shared" si="1"/>
        <v/>
      </c>
    </row>
    <row r="475">
      <c r="B475" s="86"/>
      <c r="J475" s="86"/>
      <c r="N475" s="86"/>
      <c r="O475" s="86"/>
      <c r="P475" s="86" t="str">
        <f t="shared" si="1"/>
        <v/>
      </c>
    </row>
    <row r="476">
      <c r="B476" s="86"/>
      <c r="J476" s="86"/>
      <c r="N476" s="86"/>
      <c r="O476" s="86"/>
      <c r="P476" s="86" t="str">
        <f t="shared" si="1"/>
        <v/>
      </c>
    </row>
    <row r="477">
      <c r="B477" s="86"/>
      <c r="J477" s="86"/>
      <c r="N477" s="86"/>
      <c r="O477" s="86"/>
      <c r="P477" s="86" t="str">
        <f t="shared" si="1"/>
        <v/>
      </c>
    </row>
    <row r="478">
      <c r="B478" s="86"/>
      <c r="J478" s="86"/>
      <c r="N478" s="86"/>
      <c r="O478" s="86"/>
      <c r="P478" s="86" t="str">
        <f t="shared" si="1"/>
        <v/>
      </c>
    </row>
    <row r="479">
      <c r="B479" s="86"/>
      <c r="J479" s="86"/>
      <c r="N479" s="86"/>
      <c r="O479" s="86"/>
      <c r="P479" s="86" t="str">
        <f t="shared" si="1"/>
        <v/>
      </c>
    </row>
    <row r="480">
      <c r="B480" s="86"/>
      <c r="J480" s="86"/>
      <c r="N480" s="86"/>
      <c r="O480" s="86"/>
      <c r="P480" s="86" t="str">
        <f t="shared" si="1"/>
        <v/>
      </c>
    </row>
    <row r="481">
      <c r="B481" s="86"/>
      <c r="J481" s="86"/>
      <c r="N481" s="86"/>
      <c r="O481" s="86"/>
      <c r="P481" s="86" t="str">
        <f t="shared" si="1"/>
        <v/>
      </c>
    </row>
    <row r="482">
      <c r="B482" s="86"/>
      <c r="J482" s="86"/>
      <c r="N482" s="86"/>
      <c r="O482" s="86"/>
      <c r="P482" s="86" t="str">
        <f t="shared" si="1"/>
        <v/>
      </c>
    </row>
    <row r="483">
      <c r="B483" s="86"/>
      <c r="J483" s="86"/>
      <c r="N483" s="86"/>
      <c r="O483" s="86"/>
      <c r="P483" s="86" t="str">
        <f t="shared" si="1"/>
        <v/>
      </c>
    </row>
    <row r="484">
      <c r="B484" s="86"/>
      <c r="J484" s="86"/>
      <c r="N484" s="86"/>
      <c r="O484" s="86"/>
      <c r="P484" s="86" t="str">
        <f t="shared" si="1"/>
        <v/>
      </c>
    </row>
    <row r="485">
      <c r="B485" s="86"/>
      <c r="J485" s="86"/>
      <c r="N485" s="86"/>
      <c r="O485" s="86"/>
      <c r="P485" s="86" t="str">
        <f t="shared" si="1"/>
        <v/>
      </c>
    </row>
    <row r="486">
      <c r="B486" s="86"/>
      <c r="J486" s="86"/>
      <c r="N486" s="86"/>
      <c r="O486" s="86"/>
      <c r="P486" s="86" t="str">
        <f t="shared" si="1"/>
        <v/>
      </c>
    </row>
    <row r="487">
      <c r="B487" s="86"/>
      <c r="J487" s="86"/>
      <c r="N487" s="86"/>
      <c r="O487" s="86"/>
      <c r="P487" s="86" t="str">
        <f t="shared" si="1"/>
        <v/>
      </c>
    </row>
    <row r="488">
      <c r="B488" s="86"/>
      <c r="J488" s="86"/>
      <c r="N488" s="86"/>
      <c r="O488" s="86"/>
      <c r="P488" s="86" t="str">
        <f t="shared" si="1"/>
        <v/>
      </c>
    </row>
    <row r="489">
      <c r="B489" s="86"/>
      <c r="J489" s="86"/>
      <c r="N489" s="86"/>
      <c r="O489" s="86"/>
      <c r="P489" s="86" t="str">
        <f t="shared" si="1"/>
        <v/>
      </c>
    </row>
    <row r="490">
      <c r="B490" s="86"/>
      <c r="J490" s="86"/>
      <c r="N490" s="86"/>
      <c r="O490" s="86"/>
      <c r="P490" s="86" t="str">
        <f t="shared" si="1"/>
        <v/>
      </c>
    </row>
    <row r="491">
      <c r="B491" s="86"/>
      <c r="J491" s="86"/>
      <c r="N491" s="86"/>
      <c r="O491" s="86"/>
      <c r="P491" s="86" t="str">
        <f t="shared" si="1"/>
        <v/>
      </c>
    </row>
    <row r="492">
      <c r="B492" s="86"/>
      <c r="J492" s="86"/>
      <c r="N492" s="86"/>
      <c r="O492" s="86"/>
      <c r="P492" s="86" t="str">
        <f t="shared" si="1"/>
        <v/>
      </c>
    </row>
    <row r="493">
      <c r="B493" s="86"/>
      <c r="J493" s="86"/>
      <c r="N493" s="86"/>
      <c r="O493" s="86"/>
      <c r="P493" s="86" t="str">
        <f t="shared" si="1"/>
        <v/>
      </c>
    </row>
    <row r="494">
      <c r="B494" s="86"/>
      <c r="J494" s="86"/>
      <c r="N494" s="86"/>
      <c r="O494" s="86"/>
      <c r="P494" s="86" t="str">
        <f t="shared" si="1"/>
        <v/>
      </c>
    </row>
    <row r="495">
      <c r="B495" s="86"/>
      <c r="J495" s="86"/>
      <c r="N495" s="86"/>
      <c r="O495" s="86"/>
      <c r="P495" s="86" t="str">
        <f t="shared" si="1"/>
        <v/>
      </c>
    </row>
    <row r="496">
      <c r="B496" s="86"/>
      <c r="J496" s="86"/>
      <c r="N496" s="86"/>
      <c r="O496" s="86"/>
      <c r="P496" s="86" t="str">
        <f t="shared" si="1"/>
        <v/>
      </c>
    </row>
    <row r="497">
      <c r="B497" s="86"/>
      <c r="J497" s="86"/>
      <c r="N497" s="86"/>
      <c r="O497" s="86"/>
      <c r="P497" s="86" t="str">
        <f t="shared" si="1"/>
        <v/>
      </c>
    </row>
    <row r="498">
      <c r="B498" s="86"/>
      <c r="J498" s="86"/>
      <c r="N498" s="86"/>
      <c r="O498" s="86"/>
      <c r="P498" s="86" t="str">
        <f t="shared" si="1"/>
        <v/>
      </c>
    </row>
    <row r="499">
      <c r="B499" s="86"/>
      <c r="J499" s="86"/>
      <c r="N499" s="86"/>
      <c r="O499" s="86"/>
      <c r="P499" s="86" t="str">
        <f t="shared" si="1"/>
        <v/>
      </c>
    </row>
    <row r="500">
      <c r="B500" s="86"/>
      <c r="J500" s="86"/>
      <c r="N500" s="86"/>
      <c r="O500" s="86"/>
      <c r="P500" s="86" t="str">
        <f t="shared" si="1"/>
        <v/>
      </c>
    </row>
    <row r="501">
      <c r="B501" s="86"/>
      <c r="J501" s="86"/>
      <c r="N501" s="86"/>
      <c r="O501" s="86"/>
      <c r="P501" s="86" t="str">
        <f t="shared" si="1"/>
        <v/>
      </c>
    </row>
    <row r="502">
      <c r="B502" s="86"/>
      <c r="J502" s="86"/>
      <c r="N502" s="86"/>
      <c r="O502" s="86"/>
      <c r="P502" s="86" t="str">
        <f t="shared" si="1"/>
        <v/>
      </c>
    </row>
    <row r="503">
      <c r="B503" s="86"/>
      <c r="J503" s="86"/>
      <c r="N503" s="86"/>
      <c r="O503" s="86"/>
      <c r="P503" s="86" t="str">
        <f t="shared" si="1"/>
        <v/>
      </c>
    </row>
    <row r="504">
      <c r="B504" s="86"/>
      <c r="J504" s="86"/>
      <c r="N504" s="86"/>
      <c r="O504" s="86"/>
      <c r="P504" s="86" t="str">
        <f t="shared" si="1"/>
        <v/>
      </c>
    </row>
    <row r="505">
      <c r="B505" s="86"/>
      <c r="J505" s="86"/>
      <c r="N505" s="86"/>
      <c r="O505" s="86"/>
      <c r="P505" s="86" t="str">
        <f t="shared" si="1"/>
        <v/>
      </c>
    </row>
    <row r="506">
      <c r="B506" s="86"/>
      <c r="J506" s="86"/>
      <c r="N506" s="86"/>
      <c r="O506" s="86"/>
      <c r="P506" s="86" t="str">
        <f t="shared" si="1"/>
        <v/>
      </c>
    </row>
    <row r="507">
      <c r="B507" s="86"/>
      <c r="J507" s="86"/>
      <c r="N507" s="86"/>
      <c r="O507" s="86"/>
      <c r="P507" s="86" t="str">
        <f t="shared" si="1"/>
        <v/>
      </c>
    </row>
    <row r="508">
      <c r="B508" s="86"/>
      <c r="J508" s="86"/>
      <c r="N508" s="86"/>
      <c r="O508" s="86"/>
      <c r="P508" s="86" t="str">
        <f t="shared" si="1"/>
        <v/>
      </c>
    </row>
    <row r="509">
      <c r="B509" s="86"/>
      <c r="J509" s="86"/>
      <c r="N509" s="86"/>
      <c r="O509" s="86"/>
      <c r="P509" s="86" t="str">
        <f t="shared" si="1"/>
        <v/>
      </c>
    </row>
    <row r="510">
      <c r="B510" s="86"/>
      <c r="J510" s="86"/>
      <c r="N510" s="86"/>
      <c r="O510" s="86"/>
      <c r="P510" s="86" t="str">
        <f t="shared" si="1"/>
        <v/>
      </c>
    </row>
    <row r="511">
      <c r="B511" s="86"/>
      <c r="J511" s="86"/>
      <c r="N511" s="86"/>
      <c r="O511" s="86"/>
      <c r="P511" s="86" t="str">
        <f t="shared" si="1"/>
        <v/>
      </c>
    </row>
    <row r="512">
      <c r="B512" s="86"/>
      <c r="J512" s="86"/>
      <c r="N512" s="86"/>
      <c r="O512" s="86"/>
      <c r="P512" s="86" t="str">
        <f t="shared" si="1"/>
        <v/>
      </c>
    </row>
    <row r="513">
      <c r="B513" s="86"/>
      <c r="J513" s="86"/>
      <c r="N513" s="86"/>
      <c r="O513" s="86"/>
      <c r="P513" s="86" t="str">
        <f t="shared" si="1"/>
        <v/>
      </c>
    </row>
    <row r="514">
      <c r="B514" s="86"/>
      <c r="J514" s="86"/>
      <c r="N514" s="86"/>
      <c r="O514" s="86"/>
      <c r="P514" s="86" t="str">
        <f t="shared" si="1"/>
        <v/>
      </c>
    </row>
    <row r="515">
      <c r="B515" s="86"/>
      <c r="J515" s="86"/>
      <c r="N515" s="86"/>
      <c r="O515" s="86"/>
      <c r="P515" s="86" t="str">
        <f t="shared" si="1"/>
        <v/>
      </c>
    </row>
    <row r="516">
      <c r="B516" s="86"/>
      <c r="J516" s="86"/>
      <c r="N516" s="86"/>
      <c r="O516" s="86"/>
      <c r="P516" s="86" t="str">
        <f t="shared" si="1"/>
        <v/>
      </c>
    </row>
    <row r="517">
      <c r="B517" s="86"/>
      <c r="J517" s="86"/>
      <c r="N517" s="86"/>
      <c r="O517" s="86"/>
      <c r="P517" s="86" t="str">
        <f t="shared" si="1"/>
        <v/>
      </c>
    </row>
    <row r="518">
      <c r="B518" s="86"/>
      <c r="J518" s="86"/>
      <c r="N518" s="86"/>
      <c r="O518" s="86"/>
      <c r="P518" s="86" t="str">
        <f t="shared" si="1"/>
        <v/>
      </c>
    </row>
    <row r="519">
      <c r="B519" s="86"/>
      <c r="J519" s="86"/>
      <c r="N519" s="86"/>
      <c r="O519" s="86"/>
      <c r="P519" s="86" t="str">
        <f t="shared" si="1"/>
        <v/>
      </c>
    </row>
    <row r="520">
      <c r="B520" s="86"/>
      <c r="J520" s="86"/>
      <c r="N520" s="86"/>
      <c r="O520" s="86"/>
      <c r="P520" s="86" t="str">
        <f t="shared" si="1"/>
        <v/>
      </c>
    </row>
    <row r="521">
      <c r="B521" s="86"/>
      <c r="J521" s="86"/>
      <c r="N521" s="86"/>
      <c r="O521" s="86"/>
      <c r="P521" s="86" t="str">
        <f t="shared" si="1"/>
        <v/>
      </c>
    </row>
    <row r="522">
      <c r="B522" s="86"/>
      <c r="J522" s="86"/>
      <c r="N522" s="86"/>
      <c r="O522" s="86"/>
      <c r="P522" s="86" t="str">
        <f t="shared" si="1"/>
        <v/>
      </c>
    </row>
    <row r="523">
      <c r="B523" s="86"/>
      <c r="J523" s="86"/>
      <c r="N523" s="86"/>
      <c r="O523" s="86"/>
      <c r="P523" s="86" t="str">
        <f t="shared" si="1"/>
        <v/>
      </c>
    </row>
    <row r="524">
      <c r="B524" s="86"/>
      <c r="J524" s="86"/>
      <c r="N524" s="86"/>
      <c r="O524" s="86"/>
      <c r="P524" s="86" t="str">
        <f t="shared" si="1"/>
        <v/>
      </c>
    </row>
    <row r="525">
      <c r="B525" s="86"/>
      <c r="J525" s="86"/>
      <c r="N525" s="86"/>
      <c r="O525" s="86"/>
      <c r="P525" s="86" t="str">
        <f t="shared" si="1"/>
        <v/>
      </c>
    </row>
    <row r="526">
      <c r="B526" s="86"/>
      <c r="J526" s="86"/>
      <c r="N526" s="86"/>
      <c r="O526" s="86"/>
      <c r="P526" s="86" t="str">
        <f t="shared" si="1"/>
        <v/>
      </c>
    </row>
    <row r="527">
      <c r="B527" s="86"/>
      <c r="J527" s="86"/>
      <c r="N527" s="86"/>
      <c r="O527" s="86"/>
      <c r="P527" s="86" t="str">
        <f t="shared" si="1"/>
        <v/>
      </c>
    </row>
    <row r="528">
      <c r="B528" s="86"/>
      <c r="J528" s="86"/>
      <c r="N528" s="86"/>
      <c r="O528" s="86"/>
      <c r="P528" s="86" t="str">
        <f t="shared" si="1"/>
        <v/>
      </c>
    </row>
    <row r="529">
      <c r="B529" s="86"/>
      <c r="J529" s="86"/>
      <c r="N529" s="86"/>
      <c r="O529" s="86"/>
      <c r="P529" s="86" t="str">
        <f t="shared" si="1"/>
        <v/>
      </c>
    </row>
    <row r="530">
      <c r="B530" s="86"/>
      <c r="J530" s="86"/>
      <c r="N530" s="86"/>
      <c r="O530" s="86"/>
      <c r="P530" s="86" t="str">
        <f t="shared" si="1"/>
        <v/>
      </c>
    </row>
    <row r="531">
      <c r="B531" s="86"/>
      <c r="J531" s="86"/>
      <c r="N531" s="86"/>
      <c r="O531" s="86"/>
      <c r="P531" s="86" t="str">
        <f t="shared" si="1"/>
        <v/>
      </c>
    </row>
    <row r="532">
      <c r="B532" s="86"/>
      <c r="J532" s="86"/>
      <c r="N532" s="86"/>
      <c r="O532" s="86"/>
      <c r="P532" s="86" t="str">
        <f t="shared" si="1"/>
        <v/>
      </c>
    </row>
    <row r="533">
      <c r="B533" s="86"/>
      <c r="J533" s="86"/>
      <c r="N533" s="86"/>
      <c r="O533" s="86"/>
      <c r="P533" s="86" t="str">
        <f t="shared" si="1"/>
        <v/>
      </c>
    </row>
    <row r="534">
      <c r="B534" s="86"/>
      <c r="J534" s="86"/>
      <c r="N534" s="86"/>
      <c r="O534" s="86"/>
      <c r="P534" s="86" t="str">
        <f t="shared" si="1"/>
        <v/>
      </c>
    </row>
    <row r="535">
      <c r="B535" s="86"/>
      <c r="J535" s="86"/>
      <c r="N535" s="86"/>
      <c r="O535" s="86"/>
      <c r="P535" s="86" t="str">
        <f t="shared" si="1"/>
        <v/>
      </c>
    </row>
    <row r="536">
      <c r="B536" s="86"/>
      <c r="J536" s="86"/>
      <c r="N536" s="86"/>
      <c r="O536" s="86"/>
      <c r="P536" s="86" t="str">
        <f t="shared" si="1"/>
        <v/>
      </c>
    </row>
    <row r="537">
      <c r="B537" s="86"/>
      <c r="J537" s="86"/>
      <c r="N537" s="86"/>
      <c r="O537" s="86"/>
      <c r="P537" s="86" t="str">
        <f t="shared" si="1"/>
        <v/>
      </c>
    </row>
    <row r="538">
      <c r="B538" s="86"/>
      <c r="J538" s="86"/>
      <c r="N538" s="86"/>
      <c r="O538" s="86"/>
      <c r="P538" s="86" t="str">
        <f t="shared" si="1"/>
        <v/>
      </c>
    </row>
    <row r="539">
      <c r="B539" s="86"/>
      <c r="J539" s="86"/>
      <c r="N539" s="86"/>
      <c r="O539" s="86"/>
      <c r="P539" s="86" t="str">
        <f t="shared" si="1"/>
        <v/>
      </c>
    </row>
    <row r="540">
      <c r="B540" s="86"/>
      <c r="J540" s="86"/>
      <c r="N540" s="86"/>
      <c r="O540" s="86"/>
      <c r="P540" s="86" t="str">
        <f t="shared" si="1"/>
        <v/>
      </c>
    </row>
    <row r="541">
      <c r="B541" s="86"/>
      <c r="J541" s="86"/>
      <c r="N541" s="86"/>
      <c r="O541" s="86"/>
      <c r="P541" s="86" t="str">
        <f t="shared" si="1"/>
        <v/>
      </c>
    </row>
    <row r="542">
      <c r="B542" s="86"/>
      <c r="J542" s="86"/>
      <c r="N542" s="86"/>
      <c r="O542" s="86"/>
      <c r="P542" s="86" t="str">
        <f t="shared" si="1"/>
        <v/>
      </c>
    </row>
    <row r="543">
      <c r="B543" s="86"/>
      <c r="J543" s="86"/>
      <c r="N543" s="86"/>
      <c r="O543" s="86"/>
      <c r="P543" s="86" t="str">
        <f t="shared" si="1"/>
        <v/>
      </c>
    </row>
    <row r="544">
      <c r="B544" s="86"/>
      <c r="J544" s="86"/>
      <c r="N544" s="86"/>
      <c r="O544" s="86"/>
      <c r="P544" s="86" t="str">
        <f t="shared" si="1"/>
        <v/>
      </c>
    </row>
    <row r="545">
      <c r="B545" s="86"/>
      <c r="J545" s="86"/>
      <c r="N545" s="86"/>
      <c r="O545" s="86"/>
      <c r="P545" s="86" t="str">
        <f t="shared" si="1"/>
        <v/>
      </c>
    </row>
    <row r="546">
      <c r="B546" s="86"/>
      <c r="J546" s="86"/>
      <c r="N546" s="86"/>
      <c r="O546" s="86"/>
      <c r="P546" s="86" t="str">
        <f t="shared" si="1"/>
        <v/>
      </c>
    </row>
    <row r="547">
      <c r="B547" s="86"/>
      <c r="J547" s="86"/>
      <c r="N547" s="86"/>
      <c r="O547" s="86"/>
      <c r="P547" s="86" t="str">
        <f t="shared" si="1"/>
        <v/>
      </c>
    </row>
    <row r="548">
      <c r="B548" s="86"/>
      <c r="J548" s="86"/>
      <c r="N548" s="86"/>
      <c r="O548" s="86"/>
      <c r="P548" s="86" t="str">
        <f t="shared" si="1"/>
        <v/>
      </c>
    </row>
    <row r="549">
      <c r="B549" s="86"/>
      <c r="J549" s="86"/>
      <c r="N549" s="86"/>
      <c r="O549" s="86"/>
      <c r="P549" s="86" t="str">
        <f t="shared" si="1"/>
        <v/>
      </c>
    </row>
    <row r="550">
      <c r="B550" s="86"/>
      <c r="J550" s="86"/>
      <c r="N550" s="86"/>
      <c r="O550" s="86"/>
      <c r="P550" s="86" t="str">
        <f t="shared" si="1"/>
        <v/>
      </c>
    </row>
    <row r="551">
      <c r="B551" s="86"/>
      <c r="J551" s="86"/>
      <c r="N551" s="86"/>
      <c r="O551" s="86"/>
      <c r="P551" s="86" t="str">
        <f t="shared" si="1"/>
        <v/>
      </c>
    </row>
    <row r="552">
      <c r="B552" s="86"/>
      <c r="J552" s="86"/>
      <c r="N552" s="86"/>
      <c r="O552" s="86"/>
      <c r="P552" s="86" t="str">
        <f t="shared" si="1"/>
        <v/>
      </c>
    </row>
    <row r="553">
      <c r="B553" s="86"/>
      <c r="J553" s="86"/>
      <c r="N553" s="86"/>
      <c r="O553" s="86"/>
      <c r="P553" s="86" t="str">
        <f t="shared" si="1"/>
        <v/>
      </c>
    </row>
    <row r="554">
      <c r="B554" s="86"/>
      <c r="J554" s="86"/>
      <c r="N554" s="86"/>
      <c r="O554" s="86"/>
      <c r="P554" s="86" t="str">
        <f t="shared" si="1"/>
        <v/>
      </c>
    </row>
    <row r="555">
      <c r="B555" s="86"/>
      <c r="J555" s="86"/>
      <c r="N555" s="86"/>
      <c r="O555" s="86"/>
      <c r="P555" s="86" t="str">
        <f t="shared" si="1"/>
        <v/>
      </c>
    </row>
    <row r="556">
      <c r="B556" s="86"/>
      <c r="J556" s="86"/>
      <c r="N556" s="86"/>
      <c r="O556" s="86"/>
      <c r="P556" s="86" t="str">
        <f t="shared" si="1"/>
        <v/>
      </c>
    </row>
    <row r="557">
      <c r="B557" s="86"/>
      <c r="J557" s="86"/>
      <c r="N557" s="86"/>
      <c r="O557" s="86"/>
      <c r="P557" s="86" t="str">
        <f t="shared" si="1"/>
        <v/>
      </c>
    </row>
    <row r="558">
      <c r="B558" s="86"/>
      <c r="J558" s="86"/>
      <c r="N558" s="86"/>
      <c r="O558" s="86"/>
      <c r="P558" s="86" t="str">
        <f t="shared" si="1"/>
        <v/>
      </c>
    </row>
    <row r="559">
      <c r="B559" s="86"/>
      <c r="J559" s="86"/>
      <c r="N559" s="86"/>
      <c r="O559" s="86"/>
      <c r="P559" s="86" t="str">
        <f t="shared" si="1"/>
        <v/>
      </c>
    </row>
    <row r="560">
      <c r="B560" s="86"/>
      <c r="J560" s="86"/>
      <c r="N560" s="86"/>
      <c r="O560" s="86"/>
      <c r="P560" s="86" t="str">
        <f t="shared" si="1"/>
        <v/>
      </c>
    </row>
    <row r="561">
      <c r="B561" s="86"/>
      <c r="J561" s="86"/>
      <c r="N561" s="86"/>
      <c r="O561" s="86"/>
      <c r="P561" s="86" t="str">
        <f t="shared" si="1"/>
        <v/>
      </c>
    </row>
    <row r="562">
      <c r="B562" s="86"/>
      <c r="J562" s="86"/>
      <c r="N562" s="86"/>
      <c r="O562" s="86"/>
      <c r="P562" s="86" t="str">
        <f t="shared" si="1"/>
        <v/>
      </c>
    </row>
    <row r="563">
      <c r="B563" s="86"/>
      <c r="J563" s="86"/>
      <c r="N563" s="86"/>
      <c r="O563" s="86"/>
      <c r="P563" s="86" t="str">
        <f t="shared" si="1"/>
        <v/>
      </c>
    </row>
    <row r="564">
      <c r="B564" s="86"/>
      <c r="J564" s="86"/>
      <c r="N564" s="86"/>
      <c r="O564" s="86"/>
      <c r="P564" s="86" t="str">
        <f t="shared" si="1"/>
        <v/>
      </c>
    </row>
    <row r="565">
      <c r="B565" s="86"/>
      <c r="J565" s="86"/>
      <c r="N565" s="86"/>
      <c r="O565" s="86"/>
      <c r="P565" s="86" t="str">
        <f t="shared" si="1"/>
        <v/>
      </c>
    </row>
    <row r="566">
      <c r="B566" s="86"/>
      <c r="J566" s="86"/>
      <c r="N566" s="86"/>
      <c r="O566" s="86"/>
      <c r="P566" s="86" t="str">
        <f t="shared" si="1"/>
        <v/>
      </c>
    </row>
    <row r="567">
      <c r="B567" s="86"/>
      <c r="J567" s="86"/>
      <c r="N567" s="86"/>
      <c r="O567" s="86"/>
      <c r="P567" s="86" t="str">
        <f t="shared" si="1"/>
        <v/>
      </c>
    </row>
    <row r="568">
      <c r="B568" s="86"/>
      <c r="J568" s="86"/>
      <c r="N568" s="86"/>
      <c r="O568" s="86"/>
      <c r="P568" s="86" t="str">
        <f t="shared" si="1"/>
        <v/>
      </c>
    </row>
    <row r="569">
      <c r="B569" s="86"/>
      <c r="J569" s="86"/>
      <c r="N569" s="86"/>
      <c r="O569" s="86"/>
      <c r="P569" s="86" t="str">
        <f t="shared" si="1"/>
        <v/>
      </c>
    </row>
    <row r="570">
      <c r="B570" s="86"/>
      <c r="J570" s="86"/>
      <c r="N570" s="86"/>
      <c r="O570" s="86"/>
      <c r="P570" s="86" t="str">
        <f t="shared" si="1"/>
        <v/>
      </c>
    </row>
    <row r="571">
      <c r="B571" s="86"/>
      <c r="J571" s="86"/>
      <c r="N571" s="86"/>
      <c r="O571" s="86"/>
      <c r="P571" s="86" t="str">
        <f t="shared" si="1"/>
        <v/>
      </c>
    </row>
    <row r="572">
      <c r="B572" s="86"/>
      <c r="J572" s="86"/>
      <c r="N572" s="86"/>
      <c r="O572" s="86"/>
      <c r="P572" s="86" t="str">
        <f t="shared" si="1"/>
        <v/>
      </c>
    </row>
    <row r="573">
      <c r="B573" s="86"/>
      <c r="J573" s="86"/>
      <c r="N573" s="86"/>
      <c r="O573" s="86"/>
      <c r="P573" s="86" t="str">
        <f t="shared" si="1"/>
        <v/>
      </c>
    </row>
    <row r="574">
      <c r="B574" s="86"/>
      <c r="J574" s="86"/>
      <c r="N574" s="86"/>
      <c r="O574" s="86"/>
      <c r="P574" s="86" t="str">
        <f t="shared" si="1"/>
        <v/>
      </c>
    </row>
    <row r="575">
      <c r="B575" s="86"/>
      <c r="J575" s="86"/>
      <c r="N575" s="86"/>
      <c r="O575" s="86"/>
      <c r="P575" s="86" t="str">
        <f t="shared" si="1"/>
        <v/>
      </c>
    </row>
    <row r="576">
      <c r="B576" s="86"/>
      <c r="J576" s="86"/>
      <c r="N576" s="86"/>
      <c r="O576" s="86"/>
      <c r="P576" s="86" t="str">
        <f t="shared" si="1"/>
        <v/>
      </c>
    </row>
    <row r="577">
      <c r="B577" s="86"/>
      <c r="J577" s="86"/>
      <c r="N577" s="86"/>
      <c r="O577" s="86"/>
      <c r="P577" s="86" t="str">
        <f t="shared" si="1"/>
        <v/>
      </c>
    </row>
    <row r="578">
      <c r="B578" s="86"/>
      <c r="J578" s="86"/>
      <c r="N578" s="86"/>
      <c r="O578" s="86"/>
      <c r="P578" s="86" t="str">
        <f t="shared" si="1"/>
        <v/>
      </c>
    </row>
    <row r="579">
      <c r="B579" s="86"/>
      <c r="J579" s="86"/>
      <c r="N579" s="86"/>
      <c r="O579" s="86"/>
      <c r="P579" s="86" t="str">
        <f t="shared" si="1"/>
        <v/>
      </c>
    </row>
    <row r="580">
      <c r="B580" s="86"/>
      <c r="J580" s="86"/>
      <c r="N580" s="86"/>
      <c r="O580" s="86"/>
      <c r="P580" s="86" t="str">
        <f t="shared" si="1"/>
        <v/>
      </c>
    </row>
    <row r="581">
      <c r="B581" s="86"/>
      <c r="J581" s="86"/>
      <c r="N581" s="86"/>
      <c r="O581" s="86"/>
      <c r="P581" s="86" t="str">
        <f t="shared" si="1"/>
        <v/>
      </c>
    </row>
    <row r="582">
      <c r="B582" s="86"/>
      <c r="J582" s="86"/>
      <c r="N582" s="86"/>
      <c r="O582" s="86"/>
      <c r="P582" s="86" t="str">
        <f t="shared" si="1"/>
        <v/>
      </c>
    </row>
    <row r="583">
      <c r="B583" s="86"/>
      <c r="J583" s="86"/>
      <c r="N583" s="86"/>
      <c r="O583" s="86"/>
      <c r="P583" s="86" t="str">
        <f t="shared" si="1"/>
        <v/>
      </c>
    </row>
    <row r="584">
      <c r="B584" s="86"/>
      <c r="J584" s="86"/>
      <c r="N584" s="86"/>
      <c r="O584" s="86"/>
      <c r="P584" s="86" t="str">
        <f t="shared" si="1"/>
        <v/>
      </c>
    </row>
    <row r="585">
      <c r="B585" s="86"/>
      <c r="J585" s="86"/>
      <c r="N585" s="86"/>
      <c r="O585" s="86"/>
      <c r="P585" s="86" t="str">
        <f t="shared" si="1"/>
        <v/>
      </c>
    </row>
    <row r="586">
      <c r="B586" s="86"/>
      <c r="J586" s="86"/>
      <c r="N586" s="86"/>
      <c r="O586" s="86"/>
      <c r="P586" s="86" t="str">
        <f t="shared" si="1"/>
        <v/>
      </c>
    </row>
    <row r="587">
      <c r="B587" s="86"/>
      <c r="J587" s="86"/>
      <c r="N587" s="86"/>
      <c r="O587" s="86"/>
      <c r="P587" s="86" t="str">
        <f t="shared" si="1"/>
        <v/>
      </c>
    </row>
    <row r="588">
      <c r="B588" s="86"/>
      <c r="J588" s="86"/>
      <c r="N588" s="86"/>
      <c r="O588" s="86"/>
      <c r="P588" s="86" t="str">
        <f t="shared" si="1"/>
        <v/>
      </c>
    </row>
    <row r="589">
      <c r="B589" s="86"/>
      <c r="J589" s="86"/>
      <c r="N589" s="86"/>
      <c r="O589" s="86"/>
      <c r="P589" s="86" t="str">
        <f t="shared" si="1"/>
        <v/>
      </c>
    </row>
    <row r="590">
      <c r="B590" s="86"/>
      <c r="J590" s="86"/>
      <c r="N590" s="86"/>
      <c r="O590" s="86"/>
      <c r="P590" s="86" t="str">
        <f t="shared" si="1"/>
        <v/>
      </c>
    </row>
    <row r="591">
      <c r="B591" s="86"/>
      <c r="J591" s="86"/>
      <c r="N591" s="86"/>
      <c r="O591" s="86"/>
      <c r="P591" s="86" t="str">
        <f t="shared" si="1"/>
        <v/>
      </c>
    </row>
    <row r="592">
      <c r="B592" s="86"/>
      <c r="J592" s="86"/>
      <c r="N592" s="86"/>
      <c r="O592" s="86"/>
      <c r="P592" s="86" t="str">
        <f t="shared" si="1"/>
        <v/>
      </c>
    </row>
    <row r="593">
      <c r="B593" s="86"/>
      <c r="J593" s="86"/>
      <c r="N593" s="86"/>
      <c r="O593" s="86"/>
      <c r="P593" s="86" t="str">
        <f t="shared" si="1"/>
        <v/>
      </c>
    </row>
    <row r="594">
      <c r="B594" s="86"/>
      <c r="J594" s="86"/>
      <c r="N594" s="86"/>
      <c r="O594" s="86"/>
      <c r="P594" s="86" t="str">
        <f t="shared" si="1"/>
        <v/>
      </c>
    </row>
    <row r="595">
      <c r="B595" s="86"/>
      <c r="J595" s="86"/>
      <c r="N595" s="86"/>
      <c r="O595" s="86"/>
      <c r="P595" s="86" t="str">
        <f t="shared" si="1"/>
        <v/>
      </c>
    </row>
    <row r="596">
      <c r="B596" s="86"/>
      <c r="J596" s="86"/>
      <c r="N596" s="86"/>
      <c r="O596" s="86"/>
      <c r="P596" s="86" t="str">
        <f t="shared" si="1"/>
        <v/>
      </c>
    </row>
    <row r="597">
      <c r="B597" s="86"/>
      <c r="J597" s="86"/>
      <c r="N597" s="86"/>
      <c r="O597" s="86"/>
      <c r="P597" s="86" t="str">
        <f t="shared" si="1"/>
        <v/>
      </c>
    </row>
    <row r="598">
      <c r="B598" s="86"/>
      <c r="J598" s="86"/>
      <c r="N598" s="86"/>
      <c r="O598" s="86"/>
      <c r="P598" s="86" t="str">
        <f t="shared" si="1"/>
        <v/>
      </c>
    </row>
    <row r="599">
      <c r="B599" s="86"/>
      <c r="J599" s="86"/>
      <c r="N599" s="86"/>
      <c r="O599" s="86"/>
      <c r="P599" s="86" t="str">
        <f t="shared" si="1"/>
        <v/>
      </c>
    </row>
    <row r="600">
      <c r="B600" s="86"/>
      <c r="J600" s="86"/>
      <c r="N600" s="86"/>
      <c r="O600" s="86"/>
      <c r="P600" s="86" t="str">
        <f t="shared" si="1"/>
        <v/>
      </c>
    </row>
    <row r="601">
      <c r="B601" s="86"/>
      <c r="J601" s="86"/>
      <c r="N601" s="86"/>
      <c r="O601" s="86"/>
      <c r="P601" s="86" t="str">
        <f t="shared" si="1"/>
        <v/>
      </c>
    </row>
    <row r="602">
      <c r="B602" s="86"/>
      <c r="J602" s="86"/>
      <c r="N602" s="86"/>
      <c r="O602" s="86"/>
      <c r="P602" s="86" t="str">
        <f t="shared" si="1"/>
        <v/>
      </c>
    </row>
    <row r="603">
      <c r="B603" s="86"/>
      <c r="J603" s="86"/>
      <c r="N603" s="86"/>
      <c r="O603" s="86"/>
      <c r="P603" s="86" t="str">
        <f t="shared" si="1"/>
        <v/>
      </c>
    </row>
    <row r="604">
      <c r="B604" s="86"/>
      <c r="J604" s="86"/>
      <c r="N604" s="86"/>
      <c r="O604" s="86"/>
      <c r="P604" s="86" t="str">
        <f t="shared" si="1"/>
        <v/>
      </c>
    </row>
    <row r="605">
      <c r="B605" s="86"/>
      <c r="J605" s="86"/>
      <c r="N605" s="86"/>
      <c r="O605" s="86"/>
      <c r="P605" s="86" t="str">
        <f t="shared" si="1"/>
        <v/>
      </c>
    </row>
    <row r="606">
      <c r="B606" s="86"/>
      <c r="J606" s="86"/>
      <c r="N606" s="86"/>
      <c r="O606" s="86"/>
      <c r="P606" s="86" t="str">
        <f t="shared" si="1"/>
        <v/>
      </c>
    </row>
    <row r="607">
      <c r="B607" s="86"/>
      <c r="J607" s="86"/>
      <c r="N607" s="86"/>
      <c r="O607" s="86"/>
      <c r="P607" s="86" t="str">
        <f t="shared" si="1"/>
        <v/>
      </c>
    </row>
    <row r="608">
      <c r="B608" s="86"/>
      <c r="J608" s="86"/>
      <c r="N608" s="86"/>
      <c r="O608" s="86"/>
      <c r="P608" s="86" t="str">
        <f t="shared" si="1"/>
        <v/>
      </c>
    </row>
    <row r="609">
      <c r="B609" s="86"/>
      <c r="J609" s="86"/>
      <c r="N609" s="86"/>
      <c r="O609" s="86"/>
      <c r="P609" s="86" t="str">
        <f t="shared" si="1"/>
        <v/>
      </c>
    </row>
    <row r="610">
      <c r="B610" s="86"/>
      <c r="J610" s="86"/>
      <c r="N610" s="86"/>
      <c r="O610" s="86"/>
      <c r="P610" s="86" t="str">
        <f t="shared" si="1"/>
        <v/>
      </c>
    </row>
    <row r="611">
      <c r="B611" s="86"/>
      <c r="J611" s="86"/>
      <c r="N611" s="86"/>
      <c r="O611" s="86"/>
      <c r="P611" s="86" t="str">
        <f t="shared" si="1"/>
        <v/>
      </c>
    </row>
    <row r="612">
      <c r="B612" s="86"/>
      <c r="J612" s="86"/>
      <c r="N612" s="86"/>
      <c r="O612" s="86"/>
      <c r="P612" s="86" t="str">
        <f t="shared" si="1"/>
        <v/>
      </c>
    </row>
    <row r="613">
      <c r="B613" s="86"/>
      <c r="J613" s="86"/>
      <c r="N613" s="86"/>
      <c r="O613" s="86"/>
      <c r="P613" s="86" t="str">
        <f t="shared" si="1"/>
        <v/>
      </c>
    </row>
    <row r="614">
      <c r="B614" s="86"/>
      <c r="J614" s="86"/>
      <c r="N614" s="86"/>
      <c r="O614" s="86"/>
      <c r="P614" s="86" t="str">
        <f t="shared" si="1"/>
        <v/>
      </c>
    </row>
    <row r="615">
      <c r="B615" s="86"/>
      <c r="J615" s="86"/>
      <c r="N615" s="86"/>
      <c r="O615" s="86"/>
      <c r="P615" s="86" t="str">
        <f t="shared" si="1"/>
        <v/>
      </c>
    </row>
    <row r="616">
      <c r="B616" s="86"/>
      <c r="J616" s="86"/>
      <c r="N616" s="86"/>
      <c r="O616" s="86"/>
      <c r="P616" s="86" t="str">
        <f t="shared" si="1"/>
        <v/>
      </c>
    </row>
    <row r="617">
      <c r="B617" s="86"/>
      <c r="J617" s="86"/>
      <c r="N617" s="86"/>
      <c r="O617" s="86"/>
      <c r="P617" s="86" t="str">
        <f t="shared" si="1"/>
        <v/>
      </c>
    </row>
    <row r="618">
      <c r="B618" s="86"/>
      <c r="J618" s="86"/>
      <c r="N618" s="86"/>
      <c r="O618" s="86"/>
      <c r="P618" s="86" t="str">
        <f t="shared" si="1"/>
        <v/>
      </c>
    </row>
    <row r="619">
      <c r="B619" s="86"/>
      <c r="J619" s="86"/>
      <c r="N619" s="86"/>
      <c r="O619" s="86"/>
      <c r="P619" s="86" t="str">
        <f t="shared" si="1"/>
        <v/>
      </c>
    </row>
    <row r="620">
      <c r="B620" s="86"/>
      <c r="J620" s="86"/>
      <c r="N620" s="86"/>
      <c r="O620" s="86"/>
      <c r="P620" s="86" t="str">
        <f t="shared" si="1"/>
        <v/>
      </c>
    </row>
    <row r="621">
      <c r="B621" s="86"/>
      <c r="J621" s="86"/>
      <c r="N621" s="86"/>
      <c r="O621" s="86"/>
      <c r="P621" s="86" t="str">
        <f t="shared" si="1"/>
        <v/>
      </c>
    </row>
    <row r="622">
      <c r="B622" s="86"/>
      <c r="J622" s="86"/>
      <c r="N622" s="86"/>
      <c r="O622" s="86"/>
      <c r="P622" s="86" t="str">
        <f t="shared" si="1"/>
        <v/>
      </c>
    </row>
    <row r="623">
      <c r="B623" s="86"/>
      <c r="J623" s="86"/>
      <c r="N623" s="86"/>
      <c r="O623" s="86"/>
      <c r="P623" s="86" t="str">
        <f t="shared" si="1"/>
        <v/>
      </c>
    </row>
    <row r="624">
      <c r="B624" s="86"/>
      <c r="J624" s="86"/>
      <c r="N624" s="86"/>
      <c r="O624" s="86"/>
      <c r="P624" s="86" t="str">
        <f t="shared" si="1"/>
        <v/>
      </c>
    </row>
    <row r="625">
      <c r="B625" s="86"/>
      <c r="J625" s="86"/>
      <c r="N625" s="86"/>
      <c r="O625" s="86"/>
      <c r="P625" s="86" t="str">
        <f t="shared" si="1"/>
        <v/>
      </c>
    </row>
    <row r="626">
      <c r="B626" s="86"/>
      <c r="J626" s="86"/>
      <c r="N626" s="86"/>
      <c r="O626" s="86"/>
      <c r="P626" s="86" t="str">
        <f t="shared" si="1"/>
        <v/>
      </c>
    </row>
    <row r="627">
      <c r="B627" s="86"/>
      <c r="J627" s="86"/>
      <c r="N627" s="86"/>
      <c r="O627" s="86"/>
      <c r="P627" s="86" t="str">
        <f t="shared" si="1"/>
        <v/>
      </c>
    </row>
    <row r="628">
      <c r="B628" s="86"/>
      <c r="J628" s="86"/>
      <c r="N628" s="86"/>
      <c r="O628" s="86"/>
      <c r="P628" s="86" t="str">
        <f t="shared" si="1"/>
        <v/>
      </c>
    </row>
    <row r="629">
      <c r="B629" s="86"/>
      <c r="J629" s="86"/>
      <c r="N629" s="86"/>
      <c r="O629" s="86"/>
      <c r="P629" s="86" t="str">
        <f t="shared" si="1"/>
        <v/>
      </c>
    </row>
    <row r="630">
      <c r="B630" s="86"/>
      <c r="J630" s="86"/>
      <c r="N630" s="86"/>
      <c r="O630" s="86"/>
      <c r="P630" s="86" t="str">
        <f t="shared" si="1"/>
        <v/>
      </c>
    </row>
    <row r="631">
      <c r="B631" s="86"/>
      <c r="J631" s="86"/>
      <c r="N631" s="86"/>
      <c r="O631" s="86"/>
      <c r="P631" s="86" t="str">
        <f t="shared" si="1"/>
        <v/>
      </c>
    </row>
    <row r="632">
      <c r="B632" s="86"/>
      <c r="J632" s="86"/>
      <c r="N632" s="86"/>
      <c r="O632" s="86"/>
      <c r="P632" s="86" t="str">
        <f t="shared" si="1"/>
        <v/>
      </c>
    </row>
    <row r="633">
      <c r="B633" s="86"/>
      <c r="J633" s="86"/>
      <c r="N633" s="86"/>
      <c r="O633" s="86"/>
      <c r="P633" s="86" t="str">
        <f t="shared" si="1"/>
        <v/>
      </c>
    </row>
    <row r="634">
      <c r="B634" s="86"/>
      <c r="J634" s="86"/>
      <c r="N634" s="86"/>
      <c r="O634" s="86"/>
      <c r="P634" s="86" t="str">
        <f t="shared" si="1"/>
        <v/>
      </c>
    </row>
    <row r="635">
      <c r="B635" s="86"/>
      <c r="J635" s="86"/>
      <c r="N635" s="86"/>
      <c r="O635" s="86"/>
      <c r="P635" s="86" t="str">
        <f t="shared" si="1"/>
        <v/>
      </c>
    </row>
    <row r="636">
      <c r="B636" s="86"/>
      <c r="J636" s="86"/>
      <c r="N636" s="86"/>
      <c r="O636" s="86"/>
      <c r="P636" s="86" t="str">
        <f t="shared" si="1"/>
        <v/>
      </c>
    </row>
    <row r="637">
      <c r="B637" s="86"/>
      <c r="J637" s="86"/>
      <c r="N637" s="86"/>
      <c r="O637" s="86"/>
      <c r="P637" s="86" t="str">
        <f t="shared" si="1"/>
        <v/>
      </c>
    </row>
    <row r="638">
      <c r="B638" s="86"/>
      <c r="J638" s="86"/>
      <c r="N638" s="86"/>
      <c r="O638" s="86"/>
      <c r="P638" s="86" t="str">
        <f t="shared" si="1"/>
        <v/>
      </c>
    </row>
    <row r="639">
      <c r="B639" s="86"/>
      <c r="J639" s="86"/>
      <c r="N639" s="86"/>
      <c r="O639" s="86"/>
      <c r="P639" s="86" t="str">
        <f t="shared" si="1"/>
        <v/>
      </c>
    </row>
    <row r="640">
      <c r="B640" s="86"/>
      <c r="J640" s="86"/>
      <c r="N640" s="86"/>
      <c r="O640" s="86"/>
      <c r="P640" s="86" t="str">
        <f t="shared" si="1"/>
        <v/>
      </c>
    </row>
    <row r="641">
      <c r="B641" s="86"/>
      <c r="J641" s="86"/>
      <c r="N641" s="86"/>
      <c r="O641" s="86"/>
      <c r="P641" s="86" t="str">
        <f t="shared" si="1"/>
        <v/>
      </c>
    </row>
    <row r="642">
      <c r="B642" s="86"/>
      <c r="J642" s="86"/>
      <c r="N642" s="86"/>
      <c r="O642" s="86"/>
      <c r="P642" s="86" t="str">
        <f t="shared" si="1"/>
        <v/>
      </c>
    </row>
    <row r="643">
      <c r="B643" s="86"/>
      <c r="J643" s="86"/>
      <c r="N643" s="86"/>
      <c r="O643" s="86"/>
      <c r="P643" s="86" t="str">
        <f t="shared" si="1"/>
        <v/>
      </c>
    </row>
    <row r="644">
      <c r="B644" s="86"/>
      <c r="J644" s="86"/>
      <c r="N644" s="86"/>
      <c r="O644" s="86"/>
      <c r="P644" s="86" t="str">
        <f t="shared" si="1"/>
        <v/>
      </c>
    </row>
    <row r="645">
      <c r="B645" s="86"/>
      <c r="J645" s="86"/>
      <c r="N645" s="86"/>
      <c r="O645" s="86"/>
      <c r="P645" s="86" t="str">
        <f t="shared" si="1"/>
        <v/>
      </c>
    </row>
    <row r="646">
      <c r="B646" s="86"/>
      <c r="J646" s="86"/>
      <c r="N646" s="86"/>
      <c r="O646" s="86"/>
      <c r="P646" s="86" t="str">
        <f t="shared" si="1"/>
        <v/>
      </c>
    </row>
    <row r="647">
      <c r="B647" s="86"/>
      <c r="J647" s="86"/>
      <c r="N647" s="86"/>
      <c r="O647" s="86"/>
      <c r="P647" s="86" t="str">
        <f t="shared" si="1"/>
        <v/>
      </c>
    </row>
    <row r="648">
      <c r="B648" s="86"/>
      <c r="J648" s="86"/>
      <c r="N648" s="86"/>
      <c r="O648" s="86"/>
      <c r="P648" s="86" t="str">
        <f t="shared" si="1"/>
        <v/>
      </c>
    </row>
    <row r="649">
      <c r="B649" s="86"/>
      <c r="J649" s="86"/>
      <c r="N649" s="86"/>
      <c r="O649" s="86"/>
      <c r="P649" s="86" t="str">
        <f t="shared" si="1"/>
        <v/>
      </c>
    </row>
    <row r="650">
      <c r="B650" s="86"/>
      <c r="J650" s="86"/>
      <c r="N650" s="86"/>
      <c r="O650" s="86"/>
      <c r="P650" s="86" t="str">
        <f t="shared" si="1"/>
        <v/>
      </c>
    </row>
    <row r="651">
      <c r="B651" s="86"/>
      <c r="J651" s="86"/>
      <c r="N651" s="86"/>
      <c r="O651" s="86"/>
      <c r="P651" s="86" t="str">
        <f t="shared" si="1"/>
        <v/>
      </c>
    </row>
    <row r="652">
      <c r="B652" s="86"/>
      <c r="J652" s="86"/>
      <c r="N652" s="86"/>
      <c r="O652" s="86"/>
      <c r="P652" s="86" t="str">
        <f t="shared" si="1"/>
        <v/>
      </c>
    </row>
    <row r="653">
      <c r="B653" s="86"/>
      <c r="J653" s="86"/>
      <c r="N653" s="86"/>
      <c r="O653" s="86"/>
      <c r="P653" s="86" t="str">
        <f t="shared" si="1"/>
        <v/>
      </c>
    </row>
    <row r="654">
      <c r="B654" s="86"/>
      <c r="J654" s="86"/>
      <c r="N654" s="86"/>
      <c r="O654" s="86"/>
      <c r="P654" s="86" t="str">
        <f t="shared" si="1"/>
        <v/>
      </c>
    </row>
    <row r="655">
      <c r="B655" s="86"/>
      <c r="J655" s="86"/>
      <c r="N655" s="86"/>
      <c r="O655" s="86"/>
      <c r="P655" s="86" t="str">
        <f t="shared" si="1"/>
        <v/>
      </c>
    </row>
    <row r="656">
      <c r="B656" s="86"/>
      <c r="J656" s="86"/>
      <c r="N656" s="86"/>
      <c r="O656" s="86"/>
      <c r="P656" s="86" t="str">
        <f t="shared" si="1"/>
        <v/>
      </c>
    </row>
    <row r="657">
      <c r="B657" s="86"/>
      <c r="J657" s="86"/>
      <c r="N657" s="86"/>
      <c r="O657" s="86"/>
      <c r="P657" s="86" t="str">
        <f t="shared" si="1"/>
        <v/>
      </c>
    </row>
    <row r="658">
      <c r="B658" s="86"/>
      <c r="J658" s="86"/>
      <c r="N658" s="86"/>
      <c r="O658" s="86"/>
      <c r="P658" s="86" t="str">
        <f t="shared" si="1"/>
        <v/>
      </c>
    </row>
    <row r="659">
      <c r="B659" s="86"/>
      <c r="J659" s="86"/>
      <c r="N659" s="86"/>
      <c r="O659" s="86"/>
      <c r="P659" s="86" t="str">
        <f t="shared" si="1"/>
        <v/>
      </c>
    </row>
    <row r="660">
      <c r="B660" s="86"/>
      <c r="J660" s="86"/>
      <c r="N660" s="86"/>
      <c r="O660" s="86"/>
      <c r="P660" s="86" t="str">
        <f t="shared" si="1"/>
        <v/>
      </c>
    </row>
    <row r="661">
      <c r="B661" s="86"/>
      <c r="J661" s="86"/>
      <c r="N661" s="86"/>
      <c r="O661" s="86"/>
      <c r="P661" s="86" t="str">
        <f t="shared" si="1"/>
        <v/>
      </c>
    </row>
    <row r="662">
      <c r="B662" s="86"/>
      <c r="J662" s="86"/>
      <c r="N662" s="86"/>
      <c r="O662" s="86"/>
      <c r="P662" s="86" t="str">
        <f t="shared" si="1"/>
        <v/>
      </c>
    </row>
    <row r="663">
      <c r="B663" s="86"/>
      <c r="J663" s="86"/>
      <c r="N663" s="86"/>
      <c r="O663" s="86"/>
      <c r="P663" s="86" t="str">
        <f t="shared" si="1"/>
        <v/>
      </c>
    </row>
    <row r="664">
      <c r="B664" s="86"/>
      <c r="J664" s="86"/>
      <c r="N664" s="86"/>
      <c r="O664" s="86"/>
      <c r="P664" s="86" t="str">
        <f t="shared" si="1"/>
        <v/>
      </c>
    </row>
    <row r="665">
      <c r="B665" s="86"/>
      <c r="J665" s="86"/>
      <c r="N665" s="86"/>
      <c r="O665" s="86"/>
      <c r="P665" s="86" t="str">
        <f t="shared" si="1"/>
        <v/>
      </c>
    </row>
    <row r="666">
      <c r="B666" s="86"/>
      <c r="J666" s="86"/>
      <c r="N666" s="86"/>
      <c r="O666" s="86"/>
      <c r="P666" s="86" t="str">
        <f t="shared" si="1"/>
        <v/>
      </c>
    </row>
    <row r="667">
      <c r="B667" s="86"/>
      <c r="J667" s="86"/>
      <c r="N667" s="86"/>
      <c r="O667" s="86"/>
      <c r="P667" s="86" t="str">
        <f t="shared" si="1"/>
        <v/>
      </c>
    </row>
    <row r="668">
      <c r="B668" s="86"/>
      <c r="J668" s="86"/>
      <c r="N668" s="86"/>
      <c r="O668" s="86"/>
      <c r="P668" s="86" t="str">
        <f t="shared" si="1"/>
        <v/>
      </c>
    </row>
    <row r="669">
      <c r="B669" s="86"/>
      <c r="J669" s="86"/>
      <c r="N669" s="86"/>
      <c r="O669" s="86"/>
      <c r="P669" s="86" t="str">
        <f t="shared" si="1"/>
        <v/>
      </c>
    </row>
    <row r="670">
      <c r="B670" s="86"/>
      <c r="J670" s="86"/>
      <c r="N670" s="86"/>
      <c r="O670" s="86"/>
      <c r="P670" s="86" t="str">
        <f t="shared" si="1"/>
        <v/>
      </c>
    </row>
    <row r="671">
      <c r="B671" s="86"/>
      <c r="J671" s="86"/>
      <c r="N671" s="86"/>
      <c r="O671" s="86"/>
      <c r="P671" s="86" t="str">
        <f t="shared" si="1"/>
        <v/>
      </c>
    </row>
    <row r="672">
      <c r="B672" s="86"/>
      <c r="J672" s="86"/>
      <c r="N672" s="86"/>
      <c r="O672" s="86"/>
      <c r="P672" s="86" t="str">
        <f t="shared" si="1"/>
        <v/>
      </c>
    </row>
    <row r="673">
      <c r="B673" s="86"/>
      <c r="J673" s="86"/>
      <c r="N673" s="86"/>
      <c r="O673" s="86"/>
      <c r="P673" s="86" t="str">
        <f t="shared" si="1"/>
        <v/>
      </c>
    </row>
    <row r="674">
      <c r="B674" s="86"/>
      <c r="J674" s="86"/>
      <c r="N674" s="86"/>
      <c r="O674" s="86"/>
      <c r="P674" s="86" t="str">
        <f t="shared" si="1"/>
        <v/>
      </c>
    </row>
    <row r="675">
      <c r="B675" s="86"/>
      <c r="J675" s="86"/>
      <c r="N675" s="86"/>
      <c r="O675" s="86"/>
      <c r="P675" s="86" t="str">
        <f t="shared" si="1"/>
        <v/>
      </c>
    </row>
    <row r="676">
      <c r="B676" s="86"/>
      <c r="J676" s="86"/>
      <c r="N676" s="86"/>
      <c r="O676" s="86"/>
      <c r="P676" s="86" t="str">
        <f t="shared" si="1"/>
        <v/>
      </c>
    </row>
    <row r="677">
      <c r="B677" s="86"/>
      <c r="J677" s="86"/>
      <c r="N677" s="86"/>
      <c r="O677" s="86"/>
      <c r="P677" s="86" t="str">
        <f t="shared" si="1"/>
        <v/>
      </c>
    </row>
    <row r="678">
      <c r="B678" s="86"/>
      <c r="J678" s="86"/>
      <c r="N678" s="86"/>
      <c r="O678" s="86"/>
      <c r="P678" s="86" t="str">
        <f t="shared" si="1"/>
        <v/>
      </c>
    </row>
    <row r="679">
      <c r="B679" s="86"/>
      <c r="J679" s="86"/>
      <c r="N679" s="86"/>
      <c r="O679" s="86"/>
      <c r="P679" s="86" t="str">
        <f t="shared" si="1"/>
        <v/>
      </c>
    </row>
    <row r="680">
      <c r="B680" s="86"/>
      <c r="J680" s="86"/>
      <c r="N680" s="86"/>
      <c r="O680" s="86"/>
      <c r="P680" s="86" t="str">
        <f t="shared" si="1"/>
        <v/>
      </c>
    </row>
    <row r="681">
      <c r="B681" s="86"/>
      <c r="J681" s="86"/>
      <c r="N681" s="86"/>
      <c r="O681" s="86"/>
      <c r="P681" s="86" t="str">
        <f t="shared" si="1"/>
        <v/>
      </c>
    </row>
    <row r="682">
      <c r="B682" s="86"/>
      <c r="J682" s="86"/>
      <c r="N682" s="86"/>
      <c r="O682" s="86"/>
      <c r="P682" s="86" t="str">
        <f t="shared" si="1"/>
        <v/>
      </c>
    </row>
    <row r="683">
      <c r="B683" s="86"/>
      <c r="J683" s="86"/>
      <c r="N683" s="86"/>
      <c r="O683" s="86"/>
      <c r="P683" s="86" t="str">
        <f t="shared" si="1"/>
        <v/>
      </c>
    </row>
    <row r="684">
      <c r="B684" s="86"/>
      <c r="J684" s="86"/>
      <c r="N684" s="86"/>
      <c r="O684" s="86"/>
      <c r="P684" s="86" t="str">
        <f t="shared" si="1"/>
        <v/>
      </c>
    </row>
    <row r="685">
      <c r="B685" s="86"/>
      <c r="J685" s="86"/>
      <c r="N685" s="86"/>
      <c r="O685" s="86"/>
      <c r="P685" s="86" t="str">
        <f t="shared" si="1"/>
        <v/>
      </c>
    </row>
    <row r="686">
      <c r="B686" s="86"/>
      <c r="J686" s="86"/>
      <c r="N686" s="86"/>
      <c r="O686" s="86"/>
      <c r="P686" s="86" t="str">
        <f t="shared" si="1"/>
        <v/>
      </c>
    </row>
    <row r="687">
      <c r="B687" s="86"/>
      <c r="J687" s="86"/>
      <c r="N687" s="86"/>
      <c r="O687" s="86"/>
      <c r="P687" s="86" t="str">
        <f t="shared" si="1"/>
        <v/>
      </c>
    </row>
    <row r="688">
      <c r="B688" s="86"/>
      <c r="J688" s="86"/>
      <c r="N688" s="86"/>
      <c r="O688" s="86"/>
      <c r="P688" s="86" t="str">
        <f t="shared" si="1"/>
        <v/>
      </c>
    </row>
    <row r="689">
      <c r="B689" s="86"/>
      <c r="J689" s="86"/>
      <c r="N689" s="86"/>
      <c r="O689" s="86"/>
      <c r="P689" s="86" t="str">
        <f t="shared" si="1"/>
        <v/>
      </c>
    </row>
    <row r="690">
      <c r="B690" s="86"/>
      <c r="J690" s="86"/>
      <c r="N690" s="86"/>
      <c r="O690" s="86"/>
      <c r="P690" s="86" t="str">
        <f t="shared" si="1"/>
        <v/>
      </c>
    </row>
    <row r="691">
      <c r="B691" s="86"/>
      <c r="J691" s="86"/>
      <c r="N691" s="86"/>
      <c r="O691" s="86"/>
      <c r="P691" s="86" t="str">
        <f t="shared" si="1"/>
        <v/>
      </c>
    </row>
    <row r="692">
      <c r="B692" s="86"/>
      <c r="J692" s="86"/>
      <c r="N692" s="86"/>
      <c r="O692" s="86"/>
      <c r="P692" s="86" t="str">
        <f t="shared" si="1"/>
        <v/>
      </c>
    </row>
    <row r="693">
      <c r="B693" s="86"/>
      <c r="J693" s="86"/>
      <c r="N693" s="86"/>
      <c r="O693" s="86"/>
      <c r="P693" s="86" t="str">
        <f t="shared" si="1"/>
        <v/>
      </c>
    </row>
    <row r="694">
      <c r="B694" s="86"/>
      <c r="J694" s="86"/>
      <c r="N694" s="86"/>
      <c r="O694" s="86"/>
      <c r="P694" s="86" t="str">
        <f t="shared" si="1"/>
        <v/>
      </c>
    </row>
    <row r="695">
      <c r="B695" s="86"/>
      <c r="J695" s="86"/>
      <c r="N695" s="86"/>
      <c r="O695" s="86"/>
      <c r="P695" s="86" t="str">
        <f t="shared" si="1"/>
        <v/>
      </c>
    </row>
    <row r="696">
      <c r="B696" s="86"/>
      <c r="J696" s="86"/>
      <c r="N696" s="86"/>
      <c r="O696" s="86"/>
      <c r="P696" s="86" t="str">
        <f t="shared" si="1"/>
        <v/>
      </c>
    </row>
    <row r="697">
      <c r="B697" s="86"/>
      <c r="J697" s="86"/>
      <c r="N697" s="86"/>
      <c r="O697" s="86"/>
      <c r="P697" s="86" t="str">
        <f t="shared" si="1"/>
        <v/>
      </c>
    </row>
    <row r="698">
      <c r="B698" s="86"/>
      <c r="J698" s="86"/>
      <c r="N698" s="86"/>
      <c r="O698" s="86"/>
      <c r="P698" s="86" t="str">
        <f t="shared" si="1"/>
        <v/>
      </c>
    </row>
    <row r="699">
      <c r="B699" s="86"/>
      <c r="J699" s="86"/>
      <c r="N699" s="86"/>
      <c r="O699" s="86"/>
      <c r="P699" s="86" t="str">
        <f t="shared" si="1"/>
        <v/>
      </c>
    </row>
    <row r="700">
      <c r="B700" s="86"/>
      <c r="J700" s="86"/>
      <c r="N700" s="86"/>
      <c r="O700" s="86"/>
      <c r="P700" s="86" t="str">
        <f t="shared" si="1"/>
        <v/>
      </c>
    </row>
    <row r="701">
      <c r="B701" s="86"/>
      <c r="J701" s="86"/>
      <c r="N701" s="86"/>
      <c r="O701" s="86"/>
      <c r="P701" s="86" t="str">
        <f t="shared" si="1"/>
        <v/>
      </c>
    </row>
    <row r="702">
      <c r="B702" s="86"/>
      <c r="J702" s="86"/>
      <c r="N702" s="86"/>
      <c r="O702" s="86"/>
      <c r="P702" s="86" t="str">
        <f t="shared" si="1"/>
        <v/>
      </c>
    </row>
    <row r="703">
      <c r="B703" s="86"/>
      <c r="J703" s="86"/>
      <c r="N703" s="86"/>
      <c r="O703" s="86"/>
      <c r="P703" s="86" t="str">
        <f t="shared" si="1"/>
        <v/>
      </c>
    </row>
    <row r="704">
      <c r="B704" s="86"/>
      <c r="J704" s="86"/>
      <c r="N704" s="86"/>
      <c r="O704" s="86"/>
      <c r="P704" s="86" t="str">
        <f t="shared" si="1"/>
        <v/>
      </c>
    </row>
    <row r="705">
      <c r="B705" s="86"/>
      <c r="J705" s="86"/>
      <c r="N705" s="86"/>
      <c r="O705" s="86"/>
      <c r="P705" s="86" t="str">
        <f t="shared" si="1"/>
        <v/>
      </c>
    </row>
    <row r="706">
      <c r="B706" s="86"/>
      <c r="J706" s="86"/>
      <c r="N706" s="86"/>
      <c r="O706" s="86"/>
      <c r="P706" s="86" t="str">
        <f t="shared" si="1"/>
        <v/>
      </c>
    </row>
    <row r="707">
      <c r="B707" s="86"/>
      <c r="J707" s="86"/>
      <c r="N707" s="86"/>
      <c r="O707" s="86"/>
      <c r="P707" s="86" t="str">
        <f t="shared" si="1"/>
        <v/>
      </c>
    </row>
    <row r="708">
      <c r="B708" s="86"/>
      <c r="J708" s="86"/>
      <c r="N708" s="86"/>
      <c r="O708" s="86"/>
      <c r="P708" s="86" t="str">
        <f t="shared" si="1"/>
        <v/>
      </c>
    </row>
    <row r="709">
      <c r="B709" s="86"/>
      <c r="J709" s="86"/>
      <c r="N709" s="86"/>
      <c r="O709" s="86"/>
      <c r="P709" s="86" t="str">
        <f t="shared" si="1"/>
        <v/>
      </c>
    </row>
    <row r="710">
      <c r="B710" s="86"/>
      <c r="J710" s="86"/>
      <c r="N710" s="86"/>
      <c r="O710" s="86"/>
      <c r="P710" s="86" t="str">
        <f t="shared" si="1"/>
        <v/>
      </c>
    </row>
    <row r="711">
      <c r="B711" s="86"/>
      <c r="J711" s="86"/>
      <c r="N711" s="86"/>
      <c r="O711" s="86"/>
      <c r="P711" s="86" t="str">
        <f t="shared" si="1"/>
        <v/>
      </c>
    </row>
    <row r="712">
      <c r="B712" s="86"/>
      <c r="J712" s="86"/>
      <c r="N712" s="86"/>
      <c r="O712" s="86"/>
      <c r="P712" s="86" t="str">
        <f t="shared" si="1"/>
        <v/>
      </c>
    </row>
    <row r="713">
      <c r="B713" s="86"/>
      <c r="J713" s="86"/>
      <c r="N713" s="86"/>
      <c r="O713" s="86"/>
      <c r="P713" s="86" t="str">
        <f t="shared" si="1"/>
        <v/>
      </c>
    </row>
    <row r="714">
      <c r="B714" s="86"/>
      <c r="J714" s="86"/>
      <c r="N714" s="86"/>
      <c r="O714" s="86"/>
      <c r="P714" s="86" t="str">
        <f t="shared" si="1"/>
        <v/>
      </c>
    </row>
    <row r="715">
      <c r="B715" s="86"/>
      <c r="J715" s="86"/>
      <c r="N715" s="86"/>
      <c r="O715" s="86"/>
      <c r="P715" s="86" t="str">
        <f t="shared" si="1"/>
        <v/>
      </c>
    </row>
    <row r="716">
      <c r="B716" s="86"/>
      <c r="J716" s="86"/>
      <c r="N716" s="86"/>
      <c r="O716" s="86"/>
      <c r="P716" s="86" t="str">
        <f t="shared" si="1"/>
        <v/>
      </c>
    </row>
    <row r="717">
      <c r="B717" s="86"/>
      <c r="J717" s="86"/>
      <c r="N717" s="86"/>
      <c r="O717" s="86"/>
      <c r="P717" s="86" t="str">
        <f t="shared" si="1"/>
        <v/>
      </c>
    </row>
    <row r="718">
      <c r="B718" s="86"/>
      <c r="J718" s="86"/>
      <c r="N718" s="86"/>
      <c r="O718" s="86"/>
      <c r="P718" s="86" t="str">
        <f t="shared" si="1"/>
        <v/>
      </c>
    </row>
    <row r="719">
      <c r="B719" s="86"/>
      <c r="J719" s="86"/>
      <c r="N719" s="86"/>
      <c r="O719" s="86"/>
      <c r="P719" s="86" t="str">
        <f t="shared" si="1"/>
        <v/>
      </c>
    </row>
    <row r="720">
      <c r="B720" s="86"/>
      <c r="J720" s="86"/>
      <c r="N720" s="86"/>
      <c r="O720" s="86"/>
      <c r="P720" s="86" t="str">
        <f t="shared" si="1"/>
        <v/>
      </c>
    </row>
    <row r="721">
      <c r="B721" s="86"/>
      <c r="J721" s="86"/>
      <c r="N721" s="86"/>
      <c r="O721" s="86"/>
      <c r="P721" s="86" t="str">
        <f t="shared" si="1"/>
        <v/>
      </c>
    </row>
    <row r="722">
      <c r="B722" s="86"/>
      <c r="J722" s="86"/>
      <c r="N722" s="86"/>
      <c r="O722" s="86"/>
      <c r="P722" s="86" t="str">
        <f t="shared" si="1"/>
        <v/>
      </c>
    </row>
    <row r="723">
      <c r="B723" s="86"/>
      <c r="J723" s="86"/>
      <c r="N723" s="86"/>
      <c r="O723" s="86"/>
      <c r="P723" s="86" t="str">
        <f t="shared" si="1"/>
        <v/>
      </c>
    </row>
    <row r="724">
      <c r="B724" s="86"/>
      <c r="J724" s="86"/>
      <c r="N724" s="86"/>
      <c r="O724" s="86"/>
      <c r="P724" s="86" t="str">
        <f t="shared" si="1"/>
        <v/>
      </c>
    </row>
    <row r="725">
      <c r="B725" s="86"/>
      <c r="J725" s="86"/>
      <c r="N725" s="86"/>
      <c r="O725" s="86"/>
      <c r="P725" s="86" t="str">
        <f t="shared" si="1"/>
        <v/>
      </c>
    </row>
    <row r="726">
      <c r="B726" s="86"/>
      <c r="J726" s="86"/>
      <c r="N726" s="86"/>
      <c r="O726" s="86"/>
      <c r="P726" s="86" t="str">
        <f t="shared" si="1"/>
        <v/>
      </c>
    </row>
    <row r="727">
      <c r="B727" s="86"/>
      <c r="J727" s="86"/>
      <c r="N727" s="86"/>
      <c r="O727" s="86"/>
      <c r="P727" s="86" t="str">
        <f t="shared" si="1"/>
        <v/>
      </c>
    </row>
    <row r="728">
      <c r="B728" s="86"/>
      <c r="J728" s="86"/>
      <c r="N728" s="86"/>
      <c r="O728" s="86"/>
      <c r="P728" s="86" t="str">
        <f t="shared" si="1"/>
        <v/>
      </c>
    </row>
    <row r="729">
      <c r="B729" s="86"/>
      <c r="J729" s="86"/>
      <c r="N729" s="86"/>
      <c r="O729" s="86"/>
      <c r="P729" s="86" t="str">
        <f t="shared" si="1"/>
        <v/>
      </c>
    </row>
    <row r="730">
      <c r="B730" s="86"/>
      <c r="J730" s="86"/>
      <c r="N730" s="86"/>
      <c r="O730" s="86"/>
      <c r="P730" s="86" t="str">
        <f t="shared" si="1"/>
        <v/>
      </c>
    </row>
    <row r="731">
      <c r="B731" s="86"/>
      <c r="J731" s="86"/>
      <c r="N731" s="86"/>
      <c r="O731" s="86"/>
      <c r="P731" s="86" t="str">
        <f t="shared" si="1"/>
        <v/>
      </c>
    </row>
    <row r="732">
      <c r="B732" s="86"/>
      <c r="J732" s="86"/>
      <c r="N732" s="86"/>
      <c r="O732" s="86"/>
      <c r="P732" s="86" t="str">
        <f t="shared" si="1"/>
        <v/>
      </c>
    </row>
    <row r="733">
      <c r="B733" s="86"/>
      <c r="J733" s="86"/>
      <c r="N733" s="86"/>
      <c r="O733" s="86"/>
      <c r="P733" s="86" t="str">
        <f t="shared" si="1"/>
        <v/>
      </c>
    </row>
    <row r="734">
      <c r="B734" s="86"/>
      <c r="J734" s="86"/>
      <c r="N734" s="86"/>
      <c r="O734" s="86"/>
      <c r="P734" s="86" t="str">
        <f t="shared" si="1"/>
        <v/>
      </c>
    </row>
    <row r="735">
      <c r="B735" s="86"/>
      <c r="J735" s="86"/>
      <c r="N735" s="86"/>
      <c r="O735" s="86"/>
      <c r="P735" s="86" t="str">
        <f t="shared" si="1"/>
        <v/>
      </c>
    </row>
    <row r="736">
      <c r="B736" s="86"/>
      <c r="J736" s="86"/>
      <c r="N736" s="86"/>
      <c r="O736" s="86"/>
      <c r="P736" s="86" t="str">
        <f t="shared" si="1"/>
        <v/>
      </c>
    </row>
    <row r="737">
      <c r="B737" s="86"/>
      <c r="J737" s="86"/>
      <c r="N737" s="86"/>
      <c r="O737" s="86"/>
      <c r="P737" s="86" t="str">
        <f t="shared" si="1"/>
        <v/>
      </c>
    </row>
    <row r="738">
      <c r="B738" s="86"/>
      <c r="J738" s="86"/>
      <c r="N738" s="86"/>
      <c r="O738" s="86"/>
      <c r="P738" s="86" t="str">
        <f t="shared" si="1"/>
        <v/>
      </c>
    </row>
    <row r="739">
      <c r="B739" s="86"/>
      <c r="J739" s="86"/>
      <c r="N739" s="86"/>
      <c r="O739" s="86"/>
      <c r="P739" s="86" t="str">
        <f t="shared" si="1"/>
        <v/>
      </c>
    </row>
    <row r="740">
      <c r="B740" s="86"/>
      <c r="J740" s="86"/>
      <c r="N740" s="86"/>
      <c r="O740" s="86"/>
      <c r="P740" s="86" t="str">
        <f t="shared" si="1"/>
        <v/>
      </c>
    </row>
    <row r="741">
      <c r="B741" s="86"/>
      <c r="J741" s="86"/>
      <c r="N741" s="86"/>
      <c r="O741" s="86"/>
      <c r="P741" s="86" t="str">
        <f t="shared" si="1"/>
        <v/>
      </c>
    </row>
    <row r="742">
      <c r="B742" s="86"/>
      <c r="J742" s="86"/>
      <c r="N742" s="86"/>
      <c r="O742" s="86"/>
      <c r="P742" s="86" t="str">
        <f t="shared" si="1"/>
        <v/>
      </c>
    </row>
    <row r="743">
      <c r="B743" s="86"/>
      <c r="J743" s="86"/>
      <c r="N743" s="86"/>
      <c r="O743" s="86"/>
      <c r="P743" s="86" t="str">
        <f t="shared" si="1"/>
        <v/>
      </c>
    </row>
    <row r="744">
      <c r="B744" s="86"/>
      <c r="J744" s="86"/>
      <c r="N744" s="86"/>
      <c r="O744" s="86"/>
      <c r="P744" s="86" t="str">
        <f t="shared" si="1"/>
        <v/>
      </c>
    </row>
    <row r="745">
      <c r="B745" s="86"/>
      <c r="J745" s="86"/>
      <c r="N745" s="86"/>
      <c r="O745" s="86"/>
      <c r="P745" s="86" t="str">
        <f t="shared" si="1"/>
        <v/>
      </c>
    </row>
    <row r="746">
      <c r="B746" s="86"/>
      <c r="J746" s="86"/>
      <c r="N746" s="86"/>
      <c r="O746" s="86"/>
      <c r="P746" s="86" t="str">
        <f t="shared" si="1"/>
        <v/>
      </c>
    </row>
    <row r="747">
      <c r="B747" s="86"/>
      <c r="J747" s="86"/>
      <c r="N747" s="86"/>
      <c r="O747" s="86"/>
      <c r="P747" s="86" t="str">
        <f t="shared" si="1"/>
        <v/>
      </c>
    </row>
    <row r="748">
      <c r="B748" s="86"/>
      <c r="J748" s="86"/>
      <c r="N748" s="86"/>
      <c r="O748" s="86"/>
      <c r="P748" s="86" t="str">
        <f t="shared" si="1"/>
        <v/>
      </c>
    </row>
    <row r="749">
      <c r="B749" s="86"/>
      <c r="J749" s="86"/>
      <c r="N749" s="86"/>
      <c r="O749" s="86"/>
      <c r="P749" s="86" t="str">
        <f t="shared" si="1"/>
        <v/>
      </c>
    </row>
    <row r="750">
      <c r="B750" s="86"/>
      <c r="J750" s="86"/>
      <c r="N750" s="86"/>
      <c r="O750" s="86"/>
      <c r="P750" s="86" t="str">
        <f t="shared" si="1"/>
        <v/>
      </c>
    </row>
    <row r="751">
      <c r="B751" s="86"/>
      <c r="J751" s="86"/>
      <c r="N751" s="86"/>
      <c r="O751" s="86"/>
      <c r="P751" s="86" t="str">
        <f t="shared" si="1"/>
        <v/>
      </c>
    </row>
    <row r="752">
      <c r="B752" s="86"/>
      <c r="J752" s="86"/>
      <c r="N752" s="86"/>
      <c r="O752" s="86"/>
      <c r="P752" s="86" t="str">
        <f t="shared" si="1"/>
        <v/>
      </c>
    </row>
    <row r="753">
      <c r="B753" s="86"/>
      <c r="J753" s="86"/>
      <c r="N753" s="86"/>
      <c r="O753" s="86"/>
      <c r="P753" s="86" t="str">
        <f t="shared" si="1"/>
        <v/>
      </c>
    </row>
    <row r="754">
      <c r="B754" s="86"/>
      <c r="J754" s="86"/>
      <c r="N754" s="86"/>
      <c r="O754" s="86"/>
      <c r="P754" s="86" t="str">
        <f t="shared" si="1"/>
        <v/>
      </c>
    </row>
    <row r="755">
      <c r="B755" s="86"/>
      <c r="J755" s="86"/>
      <c r="N755" s="86"/>
      <c r="O755" s="86"/>
      <c r="P755" s="86" t="str">
        <f t="shared" si="1"/>
        <v/>
      </c>
    </row>
    <row r="756">
      <c r="B756" s="86"/>
      <c r="J756" s="86"/>
      <c r="N756" s="86"/>
      <c r="O756" s="86"/>
      <c r="P756" s="86" t="str">
        <f t="shared" si="1"/>
        <v/>
      </c>
    </row>
    <row r="757">
      <c r="B757" s="86"/>
      <c r="J757" s="86"/>
      <c r="N757" s="86"/>
      <c r="O757" s="86"/>
      <c r="P757" s="86" t="str">
        <f t="shared" si="1"/>
        <v/>
      </c>
    </row>
    <row r="758">
      <c r="B758" s="86"/>
      <c r="J758" s="86"/>
      <c r="N758" s="86"/>
      <c r="O758" s="86"/>
      <c r="P758" s="86" t="str">
        <f t="shared" si="1"/>
        <v/>
      </c>
    </row>
    <row r="759">
      <c r="B759" s="86"/>
      <c r="J759" s="86"/>
      <c r="N759" s="86"/>
      <c r="O759" s="86"/>
      <c r="P759" s="86" t="str">
        <f t="shared" si="1"/>
        <v/>
      </c>
    </row>
    <row r="760">
      <c r="B760" s="86"/>
      <c r="J760" s="86"/>
      <c r="N760" s="86"/>
      <c r="O760" s="86"/>
      <c r="P760" s="86" t="str">
        <f t="shared" si="1"/>
        <v/>
      </c>
    </row>
    <row r="761">
      <c r="B761" s="86"/>
      <c r="J761" s="86"/>
      <c r="N761" s="86"/>
      <c r="O761" s="86"/>
      <c r="P761" s="86" t="str">
        <f t="shared" si="1"/>
        <v/>
      </c>
    </row>
    <row r="762">
      <c r="B762" s="86"/>
      <c r="J762" s="86"/>
      <c r="N762" s="86"/>
      <c r="O762" s="86"/>
      <c r="P762" s="86" t="str">
        <f t="shared" si="1"/>
        <v/>
      </c>
    </row>
    <row r="763">
      <c r="B763" s="86"/>
      <c r="J763" s="86"/>
      <c r="N763" s="86"/>
      <c r="O763" s="86"/>
      <c r="P763" s="86" t="str">
        <f t="shared" si="1"/>
        <v/>
      </c>
    </row>
    <row r="764">
      <c r="B764" s="86"/>
      <c r="J764" s="86"/>
      <c r="N764" s="86"/>
      <c r="O764" s="86"/>
      <c r="P764" s="86" t="str">
        <f t="shared" si="1"/>
        <v/>
      </c>
    </row>
    <row r="765">
      <c r="B765" s="86"/>
      <c r="J765" s="86"/>
      <c r="N765" s="86"/>
      <c r="O765" s="86"/>
      <c r="P765" s="86" t="str">
        <f t="shared" si="1"/>
        <v/>
      </c>
    </row>
    <row r="766">
      <c r="B766" s="86"/>
      <c r="J766" s="86"/>
      <c r="N766" s="86"/>
      <c r="O766" s="86"/>
      <c r="P766" s="86" t="str">
        <f t="shared" si="1"/>
        <v/>
      </c>
    </row>
    <row r="767">
      <c r="B767" s="86"/>
      <c r="J767" s="86"/>
      <c r="N767" s="86"/>
      <c r="O767" s="86"/>
      <c r="P767" s="86" t="str">
        <f t="shared" si="1"/>
        <v/>
      </c>
    </row>
    <row r="768">
      <c r="B768" s="86"/>
      <c r="J768" s="86"/>
      <c r="N768" s="86"/>
      <c r="O768" s="86"/>
      <c r="P768" s="86" t="str">
        <f t="shared" si="1"/>
        <v/>
      </c>
    </row>
    <row r="769">
      <c r="B769" s="86"/>
      <c r="J769" s="86"/>
      <c r="N769" s="86"/>
      <c r="O769" s="86"/>
      <c r="P769" s="86" t="str">
        <f t="shared" si="1"/>
        <v/>
      </c>
    </row>
    <row r="770">
      <c r="B770" s="86"/>
      <c r="J770" s="86"/>
      <c r="N770" s="86"/>
      <c r="O770" s="86"/>
      <c r="P770" s="86" t="str">
        <f t="shared" si="1"/>
        <v/>
      </c>
    </row>
    <row r="771">
      <c r="B771" s="86"/>
      <c r="J771" s="86"/>
      <c r="N771" s="86"/>
      <c r="O771" s="86"/>
      <c r="P771" s="86" t="str">
        <f t="shared" si="1"/>
        <v/>
      </c>
    </row>
    <row r="772">
      <c r="B772" s="86"/>
      <c r="J772" s="86"/>
      <c r="N772" s="86"/>
      <c r="O772" s="86"/>
      <c r="P772" s="86" t="str">
        <f t="shared" si="1"/>
        <v/>
      </c>
    </row>
    <row r="773">
      <c r="B773" s="86"/>
      <c r="J773" s="86"/>
      <c r="N773" s="86"/>
      <c r="O773" s="86"/>
      <c r="P773" s="86" t="str">
        <f t="shared" si="1"/>
        <v/>
      </c>
    </row>
    <row r="774">
      <c r="B774" s="86"/>
      <c r="J774" s="86"/>
      <c r="N774" s="86"/>
      <c r="O774" s="86"/>
      <c r="P774" s="86" t="str">
        <f t="shared" si="1"/>
        <v/>
      </c>
    </row>
    <row r="775">
      <c r="B775" s="86"/>
      <c r="J775" s="86"/>
      <c r="N775" s="86"/>
      <c r="O775" s="86"/>
      <c r="P775" s="86" t="str">
        <f t="shared" si="1"/>
        <v/>
      </c>
    </row>
    <row r="776">
      <c r="B776" s="86"/>
      <c r="J776" s="86"/>
      <c r="N776" s="86"/>
      <c r="O776" s="86"/>
      <c r="P776" s="86" t="str">
        <f t="shared" si="1"/>
        <v/>
      </c>
    </row>
    <row r="777">
      <c r="B777" s="86"/>
      <c r="J777" s="86"/>
      <c r="N777" s="86"/>
      <c r="O777" s="86"/>
      <c r="P777" s="86" t="str">
        <f t="shared" si="1"/>
        <v/>
      </c>
    </row>
    <row r="778">
      <c r="B778" s="86"/>
      <c r="J778" s="86"/>
      <c r="N778" s="86"/>
      <c r="O778" s="86"/>
      <c r="P778" s="86" t="str">
        <f t="shared" si="1"/>
        <v/>
      </c>
    </row>
    <row r="779">
      <c r="B779" s="86"/>
      <c r="J779" s="86"/>
      <c r="N779" s="86"/>
      <c r="O779" s="86"/>
      <c r="P779" s="86" t="str">
        <f t="shared" si="1"/>
        <v/>
      </c>
    </row>
    <row r="780">
      <c r="B780" s="86"/>
      <c r="J780" s="86"/>
      <c r="N780" s="86"/>
      <c r="O780" s="86"/>
      <c r="P780" s="86" t="str">
        <f t="shared" si="1"/>
        <v/>
      </c>
    </row>
    <row r="781">
      <c r="B781" s="86"/>
      <c r="J781" s="86"/>
      <c r="N781" s="86"/>
      <c r="O781" s="86"/>
      <c r="P781" s="86" t="str">
        <f t="shared" si="1"/>
        <v/>
      </c>
    </row>
    <row r="782">
      <c r="B782" s="86"/>
      <c r="J782" s="86"/>
      <c r="N782" s="86"/>
      <c r="O782" s="86"/>
      <c r="P782" s="86" t="str">
        <f t="shared" si="1"/>
        <v/>
      </c>
    </row>
    <row r="783">
      <c r="B783" s="86"/>
      <c r="J783" s="86"/>
      <c r="N783" s="86"/>
      <c r="O783" s="86"/>
      <c r="P783" s="86" t="str">
        <f t="shared" si="1"/>
        <v/>
      </c>
    </row>
    <row r="784">
      <c r="B784" s="86"/>
      <c r="J784" s="86"/>
      <c r="N784" s="86"/>
      <c r="O784" s="86"/>
      <c r="P784" s="86" t="str">
        <f t="shared" si="1"/>
        <v/>
      </c>
    </row>
    <row r="785">
      <c r="B785" s="86"/>
      <c r="J785" s="86"/>
      <c r="N785" s="86"/>
      <c r="O785" s="86"/>
      <c r="P785" s="86" t="str">
        <f t="shared" si="1"/>
        <v/>
      </c>
    </row>
    <row r="786">
      <c r="B786" s="86"/>
      <c r="J786" s="86"/>
      <c r="N786" s="86"/>
      <c r="O786" s="86"/>
      <c r="P786" s="86" t="str">
        <f t="shared" si="1"/>
        <v/>
      </c>
    </row>
    <row r="787">
      <c r="B787" s="86"/>
      <c r="J787" s="86"/>
      <c r="N787" s="86"/>
      <c r="O787" s="86"/>
      <c r="P787" s="86" t="str">
        <f t="shared" si="1"/>
        <v/>
      </c>
    </row>
    <row r="788">
      <c r="B788" s="86"/>
      <c r="J788" s="86"/>
      <c r="N788" s="86"/>
      <c r="O788" s="86"/>
      <c r="P788" s="86" t="str">
        <f t="shared" si="1"/>
        <v/>
      </c>
    </row>
    <row r="789">
      <c r="B789" s="86"/>
      <c r="J789" s="86"/>
      <c r="N789" s="86"/>
      <c r="O789" s="86"/>
      <c r="P789" s="86" t="str">
        <f t="shared" si="1"/>
        <v/>
      </c>
    </row>
    <row r="790">
      <c r="B790" s="86"/>
      <c r="J790" s="86"/>
      <c r="N790" s="86"/>
      <c r="O790" s="86"/>
      <c r="P790" s="86" t="str">
        <f t="shared" si="1"/>
        <v/>
      </c>
    </row>
    <row r="791">
      <c r="B791" s="86"/>
      <c r="J791" s="86"/>
      <c r="N791" s="86"/>
      <c r="O791" s="86"/>
      <c r="P791" s="86" t="str">
        <f t="shared" si="1"/>
        <v/>
      </c>
    </row>
    <row r="792">
      <c r="B792" s="86"/>
      <c r="J792" s="86"/>
      <c r="N792" s="86"/>
      <c r="O792" s="86"/>
      <c r="P792" s="86" t="str">
        <f t="shared" si="1"/>
        <v/>
      </c>
    </row>
    <row r="793">
      <c r="B793" s="86"/>
      <c r="J793" s="86"/>
      <c r="N793" s="86"/>
      <c r="O793" s="86"/>
      <c r="P793" s="86" t="str">
        <f t="shared" si="1"/>
        <v/>
      </c>
    </row>
    <row r="794">
      <c r="B794" s="86"/>
      <c r="J794" s="86"/>
      <c r="N794" s="86"/>
      <c r="O794" s="86"/>
      <c r="P794" s="86" t="str">
        <f t="shared" si="1"/>
        <v/>
      </c>
    </row>
    <row r="795">
      <c r="B795" s="86"/>
      <c r="J795" s="86"/>
      <c r="N795" s="86"/>
      <c r="O795" s="86"/>
      <c r="P795" s="86" t="str">
        <f t="shared" si="1"/>
        <v/>
      </c>
    </row>
    <row r="796">
      <c r="B796" s="86"/>
      <c r="J796" s="86"/>
      <c r="N796" s="86"/>
      <c r="O796" s="86"/>
      <c r="P796" s="86" t="str">
        <f t="shared" si="1"/>
        <v/>
      </c>
    </row>
    <row r="797">
      <c r="B797" s="86"/>
      <c r="J797" s="86"/>
      <c r="N797" s="86"/>
      <c r="O797" s="86"/>
      <c r="P797" s="86" t="str">
        <f t="shared" si="1"/>
        <v/>
      </c>
    </row>
    <row r="798">
      <c r="B798" s="86"/>
      <c r="J798" s="86"/>
      <c r="N798" s="86"/>
      <c r="O798" s="86"/>
      <c r="P798" s="86" t="str">
        <f t="shared" si="1"/>
        <v/>
      </c>
    </row>
    <row r="799">
      <c r="B799" s="86"/>
      <c r="J799" s="86"/>
      <c r="N799" s="86"/>
      <c r="O799" s="86"/>
      <c r="P799" s="86" t="str">
        <f t="shared" si="1"/>
        <v/>
      </c>
    </row>
    <row r="800">
      <c r="B800" s="86"/>
      <c r="J800" s="86"/>
      <c r="N800" s="86"/>
      <c r="O800" s="86"/>
      <c r="P800" s="86" t="str">
        <f t="shared" si="1"/>
        <v/>
      </c>
    </row>
    <row r="801">
      <c r="B801" s="86"/>
      <c r="J801" s="86"/>
      <c r="N801" s="86"/>
      <c r="O801" s="86"/>
      <c r="P801" s="86" t="str">
        <f t="shared" si="1"/>
        <v/>
      </c>
    </row>
    <row r="802">
      <c r="B802" s="86"/>
      <c r="J802" s="86"/>
      <c r="N802" s="86"/>
      <c r="O802" s="86"/>
      <c r="P802" s="86" t="str">
        <f t="shared" si="1"/>
        <v/>
      </c>
    </row>
    <row r="803">
      <c r="B803" s="86"/>
      <c r="J803" s="86"/>
      <c r="N803" s="86"/>
      <c r="O803" s="86"/>
      <c r="P803" s="86" t="str">
        <f t="shared" si="1"/>
        <v/>
      </c>
    </row>
    <row r="804">
      <c r="B804" s="86"/>
      <c r="J804" s="86"/>
      <c r="N804" s="86"/>
      <c r="O804" s="86"/>
      <c r="P804" s="86" t="str">
        <f t="shared" si="1"/>
        <v/>
      </c>
    </row>
    <row r="805">
      <c r="B805" s="86"/>
      <c r="J805" s="86"/>
      <c r="N805" s="86"/>
      <c r="O805" s="86"/>
      <c r="P805" s="86" t="str">
        <f t="shared" si="1"/>
        <v/>
      </c>
    </row>
    <row r="806">
      <c r="B806" s="86"/>
      <c r="J806" s="86"/>
      <c r="N806" s="86"/>
      <c r="O806" s="86"/>
      <c r="P806" s="86" t="str">
        <f t="shared" si="1"/>
        <v/>
      </c>
    </row>
    <row r="807">
      <c r="B807" s="86"/>
      <c r="J807" s="86"/>
      <c r="N807" s="86"/>
      <c r="O807" s="86"/>
      <c r="P807" s="86" t="str">
        <f t="shared" si="1"/>
        <v/>
      </c>
    </row>
    <row r="808">
      <c r="B808" s="86"/>
      <c r="J808" s="86"/>
      <c r="N808" s="86"/>
      <c r="O808" s="86"/>
      <c r="P808" s="86" t="str">
        <f t="shared" si="1"/>
        <v/>
      </c>
    </row>
    <row r="809">
      <c r="B809" s="86"/>
      <c r="J809" s="86"/>
      <c r="N809" s="86"/>
      <c r="O809" s="86"/>
      <c r="P809" s="86" t="str">
        <f t="shared" si="1"/>
        <v/>
      </c>
    </row>
    <row r="810">
      <c r="B810" s="86"/>
      <c r="J810" s="86"/>
      <c r="N810" s="86"/>
      <c r="O810" s="86"/>
      <c r="P810" s="86" t="str">
        <f t="shared" si="1"/>
        <v/>
      </c>
    </row>
    <row r="811">
      <c r="B811" s="86"/>
      <c r="J811" s="86"/>
      <c r="N811" s="86"/>
      <c r="O811" s="86"/>
      <c r="P811" s="86" t="str">
        <f t="shared" si="1"/>
        <v/>
      </c>
    </row>
    <row r="812">
      <c r="B812" s="86"/>
      <c r="J812" s="86"/>
      <c r="N812" s="86"/>
      <c r="O812" s="86"/>
      <c r="P812" s="86" t="str">
        <f t="shared" si="1"/>
        <v/>
      </c>
    </row>
    <row r="813">
      <c r="B813" s="86"/>
      <c r="J813" s="86"/>
      <c r="N813" s="86"/>
      <c r="O813" s="86"/>
      <c r="P813" s="86" t="str">
        <f t="shared" si="1"/>
        <v/>
      </c>
    </row>
    <row r="814">
      <c r="B814" s="86"/>
      <c r="J814" s="86"/>
      <c r="N814" s="86"/>
      <c r="O814" s="86"/>
      <c r="P814" s="86" t="str">
        <f t="shared" si="1"/>
        <v/>
      </c>
    </row>
    <row r="815">
      <c r="B815" s="86"/>
      <c r="J815" s="86"/>
      <c r="N815" s="86"/>
      <c r="O815" s="86"/>
      <c r="P815" s="86" t="str">
        <f t="shared" si="1"/>
        <v/>
      </c>
    </row>
    <row r="816">
      <c r="B816" s="86"/>
      <c r="J816" s="86"/>
      <c r="N816" s="86"/>
      <c r="O816" s="86"/>
      <c r="P816" s="86" t="str">
        <f t="shared" si="1"/>
        <v/>
      </c>
    </row>
    <row r="817">
      <c r="B817" s="86"/>
      <c r="J817" s="86"/>
      <c r="N817" s="86"/>
      <c r="O817" s="86"/>
      <c r="P817" s="86" t="str">
        <f t="shared" si="1"/>
        <v/>
      </c>
    </row>
    <row r="818">
      <c r="B818" s="86"/>
      <c r="J818" s="86"/>
      <c r="N818" s="86"/>
      <c r="O818" s="86"/>
      <c r="P818" s="86" t="str">
        <f t="shared" si="1"/>
        <v/>
      </c>
    </row>
    <row r="819">
      <c r="B819" s="86"/>
      <c r="J819" s="86"/>
      <c r="N819" s="86"/>
      <c r="O819" s="86"/>
      <c r="P819" s="86" t="str">
        <f t="shared" si="1"/>
        <v/>
      </c>
    </row>
    <row r="820">
      <c r="B820" s="86"/>
      <c r="J820" s="86"/>
      <c r="N820" s="86"/>
      <c r="O820" s="86"/>
      <c r="P820" s="86" t="str">
        <f t="shared" si="1"/>
        <v/>
      </c>
    </row>
    <row r="821">
      <c r="B821" s="86"/>
      <c r="J821" s="86"/>
      <c r="N821" s="86"/>
      <c r="O821" s="86"/>
      <c r="P821" s="86" t="str">
        <f t="shared" si="1"/>
        <v/>
      </c>
    </row>
    <row r="822">
      <c r="B822" s="86"/>
      <c r="J822" s="86"/>
      <c r="N822" s="86"/>
      <c r="O822" s="86"/>
      <c r="P822" s="86" t="str">
        <f t="shared" si="1"/>
        <v/>
      </c>
    </row>
    <row r="823">
      <c r="B823" s="86"/>
      <c r="J823" s="86"/>
      <c r="N823" s="86"/>
      <c r="O823" s="86"/>
      <c r="P823" s="86" t="str">
        <f t="shared" si="1"/>
        <v/>
      </c>
    </row>
    <row r="824">
      <c r="B824" s="86"/>
      <c r="J824" s="86"/>
      <c r="N824" s="86"/>
      <c r="O824" s="86"/>
      <c r="P824" s="86" t="str">
        <f t="shared" si="1"/>
        <v/>
      </c>
    </row>
    <row r="825">
      <c r="B825" s="86"/>
      <c r="J825" s="86"/>
      <c r="N825" s="86"/>
      <c r="O825" s="86"/>
      <c r="P825" s="86" t="str">
        <f t="shared" si="1"/>
        <v/>
      </c>
    </row>
    <row r="826">
      <c r="B826" s="86"/>
      <c r="J826" s="86"/>
      <c r="N826" s="86"/>
      <c r="O826" s="86"/>
      <c r="P826" s="86" t="str">
        <f t="shared" si="1"/>
        <v/>
      </c>
    </row>
    <row r="827">
      <c r="B827" s="86"/>
      <c r="J827" s="86"/>
      <c r="N827" s="86"/>
      <c r="O827" s="86"/>
      <c r="P827" s="86" t="str">
        <f t="shared" si="1"/>
        <v/>
      </c>
    </row>
    <row r="828">
      <c r="B828" s="86"/>
      <c r="J828" s="86"/>
      <c r="N828" s="86"/>
      <c r="O828" s="86"/>
      <c r="P828" s="86" t="str">
        <f t="shared" si="1"/>
        <v/>
      </c>
    </row>
    <row r="829">
      <c r="B829" s="86"/>
      <c r="J829" s="86"/>
      <c r="N829" s="86"/>
      <c r="O829" s="86"/>
      <c r="P829" s="86" t="str">
        <f t="shared" si="1"/>
        <v/>
      </c>
    </row>
    <row r="830">
      <c r="B830" s="86"/>
      <c r="J830" s="86"/>
      <c r="N830" s="86"/>
      <c r="O830" s="86"/>
      <c r="P830" s="86" t="str">
        <f t="shared" si="1"/>
        <v/>
      </c>
    </row>
    <row r="831">
      <c r="B831" s="86"/>
      <c r="J831" s="86"/>
      <c r="N831" s="86"/>
      <c r="O831" s="86"/>
      <c r="P831" s="86" t="str">
        <f t="shared" si="1"/>
        <v/>
      </c>
    </row>
    <row r="832">
      <c r="B832" s="86"/>
      <c r="J832" s="86"/>
      <c r="N832" s="86"/>
      <c r="O832" s="86"/>
      <c r="P832" s="86" t="str">
        <f t="shared" si="1"/>
        <v/>
      </c>
    </row>
    <row r="833">
      <c r="B833" s="86"/>
      <c r="J833" s="86"/>
      <c r="N833" s="86"/>
      <c r="O833" s="86"/>
      <c r="P833" s="86" t="str">
        <f t="shared" si="1"/>
        <v/>
      </c>
    </row>
    <row r="834">
      <c r="B834" s="86"/>
      <c r="J834" s="86"/>
      <c r="N834" s="86"/>
      <c r="O834" s="86"/>
      <c r="P834" s="86" t="str">
        <f t="shared" si="1"/>
        <v/>
      </c>
    </row>
    <row r="835">
      <c r="B835" s="86"/>
      <c r="J835" s="86"/>
      <c r="N835" s="86"/>
      <c r="O835" s="86"/>
      <c r="P835" s="86" t="str">
        <f t="shared" si="1"/>
        <v/>
      </c>
    </row>
    <row r="836">
      <c r="B836" s="86"/>
      <c r="J836" s="86"/>
      <c r="N836" s="86"/>
      <c r="O836" s="86"/>
      <c r="P836" s="86" t="str">
        <f t="shared" si="1"/>
        <v/>
      </c>
    </row>
    <row r="837">
      <c r="B837" s="86"/>
      <c r="J837" s="86"/>
      <c r="N837" s="86"/>
      <c r="O837" s="86"/>
      <c r="P837" s="86" t="str">
        <f t="shared" si="1"/>
        <v/>
      </c>
    </row>
    <row r="838">
      <c r="B838" s="86"/>
      <c r="J838" s="86"/>
      <c r="N838" s="86"/>
      <c r="O838" s="86"/>
      <c r="P838" s="86" t="str">
        <f t="shared" si="1"/>
        <v/>
      </c>
    </row>
    <row r="839">
      <c r="B839" s="86"/>
      <c r="J839" s="86"/>
      <c r="N839" s="86"/>
      <c r="O839" s="86"/>
      <c r="P839" s="86" t="str">
        <f t="shared" si="1"/>
        <v/>
      </c>
    </row>
    <row r="840">
      <c r="B840" s="86"/>
      <c r="J840" s="86"/>
      <c r="N840" s="86"/>
      <c r="O840" s="86"/>
      <c r="P840" s="86" t="str">
        <f t="shared" si="1"/>
        <v/>
      </c>
    </row>
    <row r="841">
      <c r="B841" s="86"/>
      <c r="J841" s="86"/>
      <c r="N841" s="86"/>
      <c r="O841" s="86"/>
      <c r="P841" s="86" t="str">
        <f t="shared" si="1"/>
        <v/>
      </c>
    </row>
    <row r="842">
      <c r="B842" s="86"/>
      <c r="J842" s="86"/>
      <c r="N842" s="86"/>
      <c r="O842" s="86"/>
      <c r="P842" s="86" t="str">
        <f t="shared" si="1"/>
        <v/>
      </c>
    </row>
    <row r="843">
      <c r="B843" s="86"/>
      <c r="J843" s="86"/>
      <c r="N843" s="86"/>
      <c r="O843" s="86"/>
      <c r="P843" s="86" t="str">
        <f t="shared" si="1"/>
        <v/>
      </c>
    </row>
    <row r="844">
      <c r="B844" s="86"/>
      <c r="J844" s="86"/>
      <c r="N844" s="86"/>
      <c r="O844" s="86"/>
      <c r="P844" s="86" t="str">
        <f t="shared" si="1"/>
        <v/>
      </c>
    </row>
    <row r="845">
      <c r="B845" s="86"/>
      <c r="J845" s="86"/>
      <c r="N845" s="86"/>
      <c r="O845" s="86"/>
      <c r="P845" s="86" t="str">
        <f t="shared" si="1"/>
        <v/>
      </c>
    </row>
    <row r="846">
      <c r="B846" s="86"/>
      <c r="J846" s="86"/>
      <c r="N846" s="86"/>
      <c r="O846" s="86"/>
      <c r="P846" s="86" t="str">
        <f t="shared" si="1"/>
        <v/>
      </c>
    </row>
    <row r="847">
      <c r="B847" s="86"/>
      <c r="J847" s="86"/>
      <c r="N847" s="86"/>
      <c r="O847" s="86"/>
      <c r="P847" s="86" t="str">
        <f t="shared" si="1"/>
        <v/>
      </c>
    </row>
    <row r="848">
      <c r="B848" s="86"/>
      <c r="J848" s="86"/>
      <c r="N848" s="86"/>
      <c r="O848" s="86"/>
      <c r="P848" s="86" t="str">
        <f t="shared" si="1"/>
        <v/>
      </c>
    </row>
    <row r="849">
      <c r="B849" s="86"/>
      <c r="J849" s="86"/>
      <c r="N849" s="86"/>
      <c r="O849" s="86"/>
      <c r="P849" s="86" t="str">
        <f t="shared" si="1"/>
        <v/>
      </c>
    </row>
    <row r="850">
      <c r="B850" s="86"/>
      <c r="J850" s="86"/>
      <c r="N850" s="86"/>
      <c r="O850" s="86"/>
      <c r="P850" s="86" t="str">
        <f t="shared" si="1"/>
        <v/>
      </c>
    </row>
    <row r="851">
      <c r="B851" s="86"/>
      <c r="J851" s="86"/>
      <c r="N851" s="86"/>
      <c r="O851" s="86"/>
      <c r="P851" s="86" t="str">
        <f t="shared" si="1"/>
        <v/>
      </c>
    </row>
    <row r="852">
      <c r="B852" s="86"/>
      <c r="J852" s="86"/>
      <c r="N852" s="86"/>
      <c r="O852" s="86"/>
      <c r="P852" s="86" t="str">
        <f t="shared" si="1"/>
        <v/>
      </c>
    </row>
    <row r="853">
      <c r="B853" s="86"/>
      <c r="J853" s="86"/>
      <c r="N853" s="86"/>
      <c r="O853" s="86"/>
      <c r="P853" s="86" t="str">
        <f t="shared" si="1"/>
        <v/>
      </c>
    </row>
    <row r="854">
      <c r="B854" s="86"/>
      <c r="J854" s="86"/>
      <c r="N854" s="86"/>
      <c r="O854" s="86"/>
      <c r="P854" s="86" t="str">
        <f t="shared" si="1"/>
        <v/>
      </c>
    </row>
    <row r="855">
      <c r="B855" s="86"/>
      <c r="J855" s="86"/>
      <c r="N855" s="86"/>
      <c r="O855" s="86"/>
      <c r="P855" s="86" t="str">
        <f t="shared" si="1"/>
        <v/>
      </c>
    </row>
    <row r="856">
      <c r="B856" s="86"/>
      <c r="J856" s="86"/>
      <c r="N856" s="86"/>
      <c r="O856" s="86"/>
      <c r="P856" s="86" t="str">
        <f t="shared" si="1"/>
        <v/>
      </c>
    </row>
    <row r="857">
      <c r="B857" s="86"/>
      <c r="J857" s="86"/>
      <c r="N857" s="86"/>
      <c r="O857" s="86"/>
      <c r="P857" s="86" t="str">
        <f t="shared" si="1"/>
        <v/>
      </c>
    </row>
    <row r="858">
      <c r="B858" s="86"/>
      <c r="J858" s="86"/>
      <c r="N858" s="86"/>
      <c r="O858" s="86"/>
      <c r="P858" s="86" t="str">
        <f t="shared" si="1"/>
        <v/>
      </c>
    </row>
    <row r="859">
      <c r="B859" s="86"/>
      <c r="J859" s="86"/>
      <c r="N859" s="86"/>
      <c r="O859" s="86"/>
      <c r="P859" s="86" t="str">
        <f t="shared" si="1"/>
        <v/>
      </c>
    </row>
    <row r="860">
      <c r="B860" s="86"/>
      <c r="J860" s="86"/>
      <c r="N860" s="86"/>
      <c r="O860" s="86"/>
      <c r="P860" s="86" t="str">
        <f t="shared" si="1"/>
        <v/>
      </c>
    </row>
    <row r="861">
      <c r="B861" s="86"/>
      <c r="J861" s="86"/>
      <c r="N861" s="86"/>
      <c r="O861" s="86"/>
      <c r="P861" s="86" t="str">
        <f t="shared" si="1"/>
        <v/>
      </c>
    </row>
    <row r="862">
      <c r="B862" s="86"/>
      <c r="J862" s="86"/>
      <c r="N862" s="86"/>
      <c r="O862" s="86"/>
      <c r="P862" s="86" t="str">
        <f t="shared" si="1"/>
        <v/>
      </c>
    </row>
    <row r="863">
      <c r="B863" s="86"/>
      <c r="J863" s="86"/>
      <c r="N863" s="86"/>
      <c r="O863" s="86"/>
      <c r="P863" s="86" t="str">
        <f t="shared" si="1"/>
        <v/>
      </c>
    </row>
    <row r="864">
      <c r="B864" s="86"/>
      <c r="J864" s="86"/>
      <c r="N864" s="86"/>
      <c r="O864" s="86"/>
      <c r="P864" s="86" t="str">
        <f t="shared" si="1"/>
        <v/>
      </c>
    </row>
    <row r="865">
      <c r="B865" s="86"/>
      <c r="J865" s="86"/>
      <c r="N865" s="86"/>
      <c r="O865" s="86"/>
      <c r="P865" s="86" t="str">
        <f t="shared" si="1"/>
        <v/>
      </c>
    </row>
    <row r="866">
      <c r="B866" s="86"/>
      <c r="J866" s="86"/>
      <c r="N866" s="86"/>
      <c r="O866" s="86"/>
      <c r="P866" s="86" t="str">
        <f t="shared" si="1"/>
        <v/>
      </c>
    </row>
    <row r="867">
      <c r="B867" s="86"/>
      <c r="J867" s="86"/>
      <c r="N867" s="86"/>
      <c r="O867" s="86"/>
      <c r="P867" s="86" t="str">
        <f t="shared" si="1"/>
        <v/>
      </c>
    </row>
    <row r="868">
      <c r="B868" s="86"/>
      <c r="J868" s="86"/>
      <c r="N868" s="86"/>
      <c r="O868" s="86"/>
      <c r="P868" s="86" t="str">
        <f t="shared" si="1"/>
        <v/>
      </c>
    </row>
    <row r="869">
      <c r="B869" s="86"/>
      <c r="J869" s="86"/>
      <c r="N869" s="86"/>
      <c r="O869" s="86"/>
      <c r="P869" s="86" t="str">
        <f t="shared" si="1"/>
        <v/>
      </c>
    </row>
    <row r="870">
      <c r="B870" s="86"/>
      <c r="J870" s="86"/>
      <c r="N870" s="86"/>
      <c r="O870" s="86"/>
      <c r="P870" s="86" t="str">
        <f t="shared" si="1"/>
        <v/>
      </c>
    </row>
    <row r="871">
      <c r="B871" s="86"/>
      <c r="J871" s="86"/>
      <c r="N871" s="86"/>
      <c r="O871" s="86"/>
      <c r="P871" s="86" t="str">
        <f t="shared" si="1"/>
        <v/>
      </c>
    </row>
    <row r="872">
      <c r="B872" s="86"/>
      <c r="J872" s="86"/>
      <c r="N872" s="86"/>
      <c r="O872" s="86"/>
      <c r="P872" s="86" t="str">
        <f t="shared" si="1"/>
        <v/>
      </c>
    </row>
    <row r="873">
      <c r="B873" s="86"/>
      <c r="J873" s="86"/>
      <c r="N873" s="86"/>
      <c r="O873" s="86"/>
      <c r="P873" s="86" t="str">
        <f t="shared" si="1"/>
        <v/>
      </c>
    </row>
    <row r="874">
      <c r="B874" s="86"/>
      <c r="J874" s="86"/>
      <c r="N874" s="86"/>
      <c r="O874" s="86"/>
      <c r="P874" s="86" t="str">
        <f t="shared" si="1"/>
        <v/>
      </c>
    </row>
    <row r="875">
      <c r="B875" s="86"/>
      <c r="J875" s="86"/>
      <c r="N875" s="86"/>
      <c r="O875" s="86"/>
      <c r="P875" s="86" t="str">
        <f t="shared" si="1"/>
        <v/>
      </c>
    </row>
    <row r="876">
      <c r="B876" s="86"/>
      <c r="J876" s="86"/>
      <c r="N876" s="86"/>
      <c r="O876" s="86"/>
      <c r="P876" s="86" t="str">
        <f t="shared" si="1"/>
        <v/>
      </c>
    </row>
    <row r="877">
      <c r="B877" s="86"/>
      <c r="J877" s="86"/>
      <c r="N877" s="86"/>
      <c r="O877" s="86"/>
      <c r="P877" s="86" t="str">
        <f t="shared" si="1"/>
        <v/>
      </c>
    </row>
    <row r="878">
      <c r="B878" s="86"/>
      <c r="J878" s="86"/>
      <c r="N878" s="86"/>
      <c r="O878" s="86"/>
      <c r="P878" s="86" t="str">
        <f t="shared" si="1"/>
        <v/>
      </c>
    </row>
    <row r="879">
      <c r="B879" s="86"/>
      <c r="J879" s="86"/>
      <c r="N879" s="86"/>
      <c r="O879" s="86"/>
      <c r="P879" s="86" t="str">
        <f t="shared" si="1"/>
        <v/>
      </c>
    </row>
    <row r="880">
      <c r="B880" s="86"/>
      <c r="J880" s="86"/>
      <c r="N880" s="86"/>
      <c r="O880" s="86"/>
      <c r="P880" s="86" t="str">
        <f t="shared" si="1"/>
        <v/>
      </c>
    </row>
    <row r="881">
      <c r="B881" s="86"/>
      <c r="J881" s="86"/>
      <c r="N881" s="86"/>
      <c r="O881" s="86"/>
      <c r="P881" s="86" t="str">
        <f t="shared" si="1"/>
        <v/>
      </c>
    </row>
    <row r="882">
      <c r="B882" s="86"/>
      <c r="J882" s="86"/>
      <c r="N882" s="86"/>
      <c r="O882" s="86"/>
      <c r="P882" s="86" t="str">
        <f t="shared" si="1"/>
        <v/>
      </c>
    </row>
    <row r="883">
      <c r="B883" s="86"/>
      <c r="J883" s="86"/>
      <c r="N883" s="86"/>
      <c r="O883" s="86"/>
      <c r="P883" s="86" t="str">
        <f t="shared" si="1"/>
        <v/>
      </c>
    </row>
    <row r="884">
      <c r="B884" s="86"/>
      <c r="J884" s="86"/>
      <c r="N884" s="86"/>
      <c r="O884" s="86"/>
      <c r="P884" s="86" t="str">
        <f t="shared" si="1"/>
        <v/>
      </c>
    </row>
    <row r="885">
      <c r="B885" s="86"/>
      <c r="J885" s="86"/>
      <c r="N885" s="86"/>
      <c r="O885" s="86"/>
      <c r="P885" s="86" t="str">
        <f t="shared" si="1"/>
        <v/>
      </c>
    </row>
    <row r="886">
      <c r="B886" s="86"/>
      <c r="J886" s="86"/>
      <c r="N886" s="86"/>
      <c r="O886" s="86"/>
      <c r="P886" s="86" t="str">
        <f t="shared" si="1"/>
        <v/>
      </c>
    </row>
    <row r="887">
      <c r="B887" s="86"/>
      <c r="J887" s="86"/>
      <c r="N887" s="86"/>
      <c r="O887" s="86"/>
      <c r="P887" s="86" t="str">
        <f t="shared" si="1"/>
        <v/>
      </c>
    </row>
    <row r="888">
      <c r="B888" s="86"/>
      <c r="J888" s="86"/>
      <c r="N888" s="86"/>
      <c r="O888" s="86"/>
      <c r="P888" s="86" t="str">
        <f t="shared" si="1"/>
        <v/>
      </c>
    </row>
    <row r="889">
      <c r="B889" s="86"/>
      <c r="J889" s="86"/>
      <c r="N889" s="86"/>
      <c r="O889" s="86"/>
      <c r="P889" s="86" t="str">
        <f t="shared" si="1"/>
        <v/>
      </c>
    </row>
    <row r="890">
      <c r="B890" s="86"/>
      <c r="J890" s="86"/>
      <c r="N890" s="86"/>
      <c r="O890" s="86"/>
      <c r="P890" s="86" t="str">
        <f t="shared" si="1"/>
        <v/>
      </c>
    </row>
    <row r="891">
      <c r="B891" s="86"/>
      <c r="J891" s="86"/>
      <c r="N891" s="86"/>
      <c r="O891" s="86"/>
      <c r="P891" s="86" t="str">
        <f t="shared" si="1"/>
        <v/>
      </c>
    </row>
    <row r="892">
      <c r="B892" s="86"/>
      <c r="J892" s="86"/>
      <c r="N892" s="86"/>
      <c r="O892" s="86"/>
      <c r="P892" s="86" t="str">
        <f t="shared" si="1"/>
        <v/>
      </c>
    </row>
    <row r="893">
      <c r="B893" s="86"/>
      <c r="J893" s="86"/>
      <c r="N893" s="86"/>
      <c r="O893" s="86"/>
      <c r="P893" s="86" t="str">
        <f t="shared" si="1"/>
        <v/>
      </c>
    </row>
    <row r="894">
      <c r="B894" s="86"/>
      <c r="J894" s="86"/>
      <c r="N894" s="86"/>
      <c r="O894" s="86"/>
      <c r="P894" s="86" t="str">
        <f t="shared" si="1"/>
        <v/>
      </c>
    </row>
    <row r="895">
      <c r="B895" s="86"/>
      <c r="J895" s="86"/>
      <c r="N895" s="86"/>
      <c r="O895" s="86"/>
      <c r="P895" s="86" t="str">
        <f t="shared" si="1"/>
        <v/>
      </c>
    </row>
    <row r="896">
      <c r="B896" s="86"/>
      <c r="J896" s="86"/>
      <c r="N896" s="86"/>
      <c r="O896" s="86"/>
      <c r="P896" s="86" t="str">
        <f t="shared" si="1"/>
        <v/>
      </c>
    </row>
    <row r="897">
      <c r="B897" s="86"/>
      <c r="J897" s="86"/>
      <c r="N897" s="86"/>
      <c r="O897" s="86"/>
      <c r="P897" s="86" t="str">
        <f t="shared" si="1"/>
        <v/>
      </c>
    </row>
    <row r="898">
      <c r="B898" s="86"/>
      <c r="J898" s="86"/>
      <c r="N898" s="86"/>
      <c r="O898" s="86"/>
      <c r="P898" s="86" t="str">
        <f t="shared" si="1"/>
        <v/>
      </c>
    </row>
    <row r="899">
      <c r="B899" s="86"/>
      <c r="J899" s="86"/>
      <c r="N899" s="86"/>
      <c r="O899" s="86"/>
      <c r="P899" s="86" t="str">
        <f t="shared" si="1"/>
        <v/>
      </c>
    </row>
    <row r="900">
      <c r="B900" s="86"/>
      <c r="J900" s="86"/>
      <c r="N900" s="86"/>
      <c r="O900" s="86"/>
      <c r="P900" s="86" t="str">
        <f t="shared" si="1"/>
        <v/>
      </c>
    </row>
    <row r="901">
      <c r="B901" s="86"/>
      <c r="J901" s="86"/>
      <c r="N901" s="86"/>
      <c r="O901" s="86"/>
      <c r="P901" s="86" t="str">
        <f t="shared" si="1"/>
        <v/>
      </c>
    </row>
    <row r="902">
      <c r="B902" s="86"/>
      <c r="J902" s="86"/>
      <c r="N902" s="86"/>
      <c r="O902" s="86"/>
      <c r="P902" s="86" t="str">
        <f t="shared" si="1"/>
        <v/>
      </c>
    </row>
    <row r="903">
      <c r="B903" s="86"/>
      <c r="J903" s="86"/>
      <c r="N903" s="86"/>
      <c r="O903" s="86"/>
      <c r="P903" s="86" t="str">
        <f t="shared" si="1"/>
        <v/>
      </c>
    </row>
    <row r="904">
      <c r="B904" s="86"/>
      <c r="J904" s="86"/>
      <c r="N904" s="86"/>
      <c r="O904" s="86"/>
      <c r="P904" s="86" t="str">
        <f t="shared" si="1"/>
        <v/>
      </c>
    </row>
    <row r="905">
      <c r="B905" s="86"/>
      <c r="J905" s="86"/>
      <c r="N905" s="86"/>
      <c r="O905" s="86"/>
      <c r="P905" s="86" t="str">
        <f t="shared" si="1"/>
        <v/>
      </c>
    </row>
    <row r="906">
      <c r="B906" s="86"/>
      <c r="J906" s="86"/>
      <c r="N906" s="86"/>
      <c r="O906" s="86"/>
      <c r="P906" s="86" t="str">
        <f t="shared" si="1"/>
        <v/>
      </c>
    </row>
    <row r="907">
      <c r="B907" s="86"/>
      <c r="J907" s="86"/>
      <c r="N907" s="86"/>
      <c r="O907" s="86"/>
      <c r="P907" s="86" t="str">
        <f t="shared" si="1"/>
        <v/>
      </c>
    </row>
    <row r="908">
      <c r="B908" s="86"/>
      <c r="J908" s="86"/>
      <c r="N908" s="86"/>
      <c r="O908" s="86"/>
      <c r="P908" s="86" t="str">
        <f t="shared" si="1"/>
        <v/>
      </c>
    </row>
    <row r="909">
      <c r="B909" s="86"/>
      <c r="J909" s="86"/>
      <c r="N909" s="86"/>
      <c r="O909" s="86"/>
      <c r="P909" s="86" t="str">
        <f t="shared" si="1"/>
        <v/>
      </c>
    </row>
    <row r="910">
      <c r="B910" s="86"/>
      <c r="J910" s="86"/>
      <c r="N910" s="86"/>
      <c r="O910" s="86"/>
      <c r="P910" s="86" t="str">
        <f t="shared" si="1"/>
        <v/>
      </c>
    </row>
    <row r="911">
      <c r="B911" s="86"/>
      <c r="J911" s="86"/>
      <c r="N911" s="86"/>
      <c r="O911" s="86"/>
      <c r="P911" s="86" t="str">
        <f t="shared" si="1"/>
        <v/>
      </c>
    </row>
    <row r="912">
      <c r="B912" s="86"/>
      <c r="J912" s="86"/>
      <c r="N912" s="86"/>
      <c r="O912" s="86"/>
      <c r="P912" s="86" t="str">
        <f t="shared" si="1"/>
        <v/>
      </c>
    </row>
    <row r="913">
      <c r="B913" s="86"/>
      <c r="J913" s="86"/>
      <c r="N913" s="86"/>
      <c r="O913" s="86"/>
      <c r="P913" s="86" t="str">
        <f t="shared" si="1"/>
        <v/>
      </c>
    </row>
    <row r="914">
      <c r="B914" s="86"/>
      <c r="J914" s="86"/>
      <c r="N914" s="86"/>
      <c r="O914" s="86"/>
      <c r="P914" s="86" t="str">
        <f t="shared" si="1"/>
        <v/>
      </c>
    </row>
    <row r="915">
      <c r="B915" s="86"/>
      <c r="J915" s="86"/>
      <c r="N915" s="86"/>
      <c r="O915" s="86"/>
      <c r="P915" s="86" t="str">
        <f t="shared" si="1"/>
        <v/>
      </c>
    </row>
    <row r="916">
      <c r="B916" s="86"/>
      <c r="J916" s="86"/>
      <c r="N916" s="86"/>
      <c r="O916" s="86"/>
      <c r="P916" s="86" t="str">
        <f t="shared" si="1"/>
        <v/>
      </c>
    </row>
    <row r="917">
      <c r="B917" s="86"/>
      <c r="J917" s="86"/>
      <c r="N917" s="86"/>
      <c r="O917" s="86"/>
      <c r="P917" s="86" t="str">
        <f t="shared" si="1"/>
        <v/>
      </c>
    </row>
    <row r="918">
      <c r="B918" s="86"/>
      <c r="J918" s="86"/>
      <c r="N918" s="86"/>
      <c r="O918" s="86"/>
      <c r="P918" s="86" t="str">
        <f t="shared" si="1"/>
        <v/>
      </c>
    </row>
    <row r="919">
      <c r="B919" s="86"/>
      <c r="J919" s="86"/>
      <c r="N919" s="86"/>
      <c r="O919" s="86"/>
      <c r="P919" s="86" t="str">
        <f t="shared" si="1"/>
        <v/>
      </c>
    </row>
    <row r="920">
      <c r="B920" s="86"/>
      <c r="J920" s="86"/>
      <c r="N920" s="86"/>
      <c r="O920" s="86"/>
      <c r="P920" s="86" t="str">
        <f t="shared" si="1"/>
        <v/>
      </c>
    </row>
    <row r="921">
      <c r="B921" s="86"/>
      <c r="J921" s="86"/>
      <c r="N921" s="86"/>
      <c r="O921" s="86"/>
      <c r="P921" s="86" t="str">
        <f t="shared" si="1"/>
        <v/>
      </c>
    </row>
    <row r="922">
      <c r="B922" s="86"/>
      <c r="J922" s="86"/>
      <c r="N922" s="86"/>
      <c r="O922" s="86"/>
      <c r="P922" s="86" t="str">
        <f t="shared" si="1"/>
        <v/>
      </c>
    </row>
    <row r="923">
      <c r="B923" s="86"/>
      <c r="J923" s="86"/>
      <c r="N923" s="86"/>
      <c r="O923" s="86"/>
      <c r="P923" s="86" t="str">
        <f t="shared" si="1"/>
        <v/>
      </c>
    </row>
    <row r="924">
      <c r="B924" s="86"/>
      <c r="J924" s="86"/>
      <c r="N924" s="86"/>
      <c r="O924" s="86"/>
      <c r="P924" s="86" t="str">
        <f t="shared" si="1"/>
        <v/>
      </c>
    </row>
    <row r="925">
      <c r="B925" s="86"/>
      <c r="J925" s="86"/>
      <c r="N925" s="86"/>
      <c r="O925" s="86"/>
      <c r="P925" s="86" t="str">
        <f t="shared" si="1"/>
        <v/>
      </c>
    </row>
    <row r="926">
      <c r="B926" s="86"/>
      <c r="J926" s="86"/>
      <c r="N926" s="86"/>
      <c r="O926" s="86"/>
      <c r="P926" s="86" t="str">
        <f t="shared" si="1"/>
        <v/>
      </c>
    </row>
    <row r="927">
      <c r="B927" s="86"/>
      <c r="J927" s="86"/>
      <c r="N927" s="86"/>
      <c r="O927" s="86"/>
      <c r="P927" s="86" t="str">
        <f t="shared" si="1"/>
        <v/>
      </c>
    </row>
    <row r="928">
      <c r="B928" s="86"/>
      <c r="J928" s="86"/>
      <c r="N928" s="86"/>
      <c r="O928" s="86"/>
      <c r="P928" s="86" t="str">
        <f t="shared" si="1"/>
        <v/>
      </c>
    </row>
    <row r="929">
      <c r="B929" s="86"/>
      <c r="J929" s="86"/>
      <c r="N929" s="86"/>
      <c r="O929" s="86"/>
      <c r="P929" s="86" t="str">
        <f t="shared" si="1"/>
        <v/>
      </c>
    </row>
    <row r="930">
      <c r="B930" s="86"/>
      <c r="J930" s="86"/>
      <c r="N930" s="86"/>
      <c r="O930" s="86"/>
      <c r="P930" s="86" t="str">
        <f t="shared" si="1"/>
        <v/>
      </c>
    </row>
    <row r="931">
      <c r="B931" s="86"/>
      <c r="J931" s="86"/>
      <c r="N931" s="86"/>
      <c r="O931" s="86"/>
      <c r="P931" s="86" t="str">
        <f t="shared" si="1"/>
        <v/>
      </c>
    </row>
    <row r="932">
      <c r="B932" s="86"/>
      <c r="J932" s="86"/>
      <c r="N932" s="86"/>
      <c r="O932" s="86"/>
      <c r="P932" s="86" t="str">
        <f t="shared" si="1"/>
        <v/>
      </c>
    </row>
    <row r="933">
      <c r="B933" s="86"/>
      <c r="J933" s="86"/>
      <c r="N933" s="86"/>
      <c r="O933" s="86"/>
      <c r="P933" s="86" t="str">
        <f t="shared" si="1"/>
        <v/>
      </c>
    </row>
    <row r="934">
      <c r="B934" s="86"/>
      <c r="J934" s="86"/>
      <c r="N934" s="86"/>
      <c r="O934" s="86"/>
      <c r="P934" s="86" t="str">
        <f t="shared" si="1"/>
        <v/>
      </c>
    </row>
    <row r="935">
      <c r="B935" s="86"/>
      <c r="J935" s="86"/>
      <c r="N935" s="86"/>
      <c r="O935" s="86"/>
      <c r="P935" s="86" t="str">
        <f t="shared" si="1"/>
        <v/>
      </c>
    </row>
    <row r="936">
      <c r="B936" s="86"/>
      <c r="J936" s="86"/>
      <c r="N936" s="86"/>
      <c r="O936" s="86"/>
      <c r="P936" s="86" t="str">
        <f t="shared" si="1"/>
        <v/>
      </c>
    </row>
    <row r="937">
      <c r="B937" s="86"/>
      <c r="J937" s="86"/>
      <c r="N937" s="86"/>
      <c r="O937" s="86"/>
      <c r="P937" s="86" t="str">
        <f t="shared" si="1"/>
        <v/>
      </c>
    </row>
    <row r="938">
      <c r="B938" s="86"/>
      <c r="J938" s="86"/>
      <c r="N938" s="86"/>
      <c r="O938" s="86"/>
      <c r="P938" s="86" t="str">
        <f t="shared" si="1"/>
        <v/>
      </c>
    </row>
    <row r="939">
      <c r="B939" s="86"/>
      <c r="J939" s="86"/>
      <c r="N939" s="86"/>
      <c r="O939" s="86"/>
      <c r="P939" s="86" t="str">
        <f t="shared" si="1"/>
        <v/>
      </c>
    </row>
    <row r="940">
      <c r="B940" s="86"/>
      <c r="J940" s="86"/>
      <c r="N940" s="86"/>
      <c r="O940" s="86"/>
      <c r="P940" s="86" t="str">
        <f t="shared" si="1"/>
        <v/>
      </c>
    </row>
    <row r="941">
      <c r="B941" s="86"/>
      <c r="J941" s="86"/>
      <c r="N941" s="86"/>
      <c r="O941" s="86"/>
      <c r="P941" s="86" t="str">
        <f t="shared" si="1"/>
        <v/>
      </c>
    </row>
    <row r="942">
      <c r="B942" s="86"/>
      <c r="J942" s="86"/>
      <c r="N942" s="86"/>
      <c r="O942" s="86"/>
      <c r="P942" s="86" t="str">
        <f t="shared" si="1"/>
        <v/>
      </c>
    </row>
    <row r="943">
      <c r="B943" s="86"/>
      <c r="J943" s="86"/>
      <c r="N943" s="86"/>
      <c r="O943" s="86"/>
      <c r="P943" s="86" t="str">
        <f t="shared" si="1"/>
        <v/>
      </c>
    </row>
    <row r="944">
      <c r="B944" s="86"/>
      <c r="J944" s="86"/>
      <c r="N944" s="86"/>
      <c r="O944" s="86"/>
      <c r="P944" s="86" t="str">
        <f t="shared" si="1"/>
        <v/>
      </c>
    </row>
    <row r="945">
      <c r="B945" s="86"/>
      <c r="J945" s="86"/>
      <c r="N945" s="86"/>
      <c r="O945" s="86"/>
      <c r="P945" s="86" t="str">
        <f t="shared" si="1"/>
        <v/>
      </c>
    </row>
    <row r="946">
      <c r="B946" s="86"/>
      <c r="J946" s="86"/>
      <c r="N946" s="86"/>
      <c r="O946" s="86"/>
      <c r="P946" s="86" t="str">
        <f t="shared" si="1"/>
        <v/>
      </c>
    </row>
    <row r="947">
      <c r="B947" s="86"/>
      <c r="J947" s="86"/>
      <c r="N947" s="86"/>
      <c r="O947" s="86"/>
      <c r="P947" s="86" t="str">
        <f t="shared" si="1"/>
        <v/>
      </c>
    </row>
    <row r="948">
      <c r="B948" s="86"/>
      <c r="J948" s="86"/>
      <c r="N948" s="86"/>
      <c r="O948" s="86"/>
      <c r="P948" s="86" t="str">
        <f t="shared" si="1"/>
        <v/>
      </c>
    </row>
    <row r="949">
      <c r="B949" s="86"/>
      <c r="J949" s="86"/>
      <c r="N949" s="86"/>
      <c r="O949" s="86"/>
      <c r="P949" s="86" t="str">
        <f t="shared" si="1"/>
        <v/>
      </c>
    </row>
    <row r="950">
      <c r="B950" s="86"/>
      <c r="J950" s="86"/>
      <c r="N950" s="86"/>
      <c r="O950" s="86"/>
      <c r="P950" s="86" t="str">
        <f t="shared" si="1"/>
        <v/>
      </c>
    </row>
    <row r="951">
      <c r="B951" s="86"/>
      <c r="J951" s="86"/>
      <c r="N951" s="86"/>
      <c r="O951" s="86"/>
      <c r="P951" s="86" t="str">
        <f t="shared" si="1"/>
        <v/>
      </c>
    </row>
    <row r="952">
      <c r="B952" s="86"/>
      <c r="J952" s="86"/>
      <c r="N952" s="86"/>
      <c r="O952" s="86"/>
      <c r="P952" s="86" t="str">
        <f t="shared" si="1"/>
        <v/>
      </c>
    </row>
    <row r="953">
      <c r="B953" s="86"/>
      <c r="J953" s="86"/>
      <c r="N953" s="86"/>
      <c r="O953" s="86"/>
      <c r="P953" s="86" t="str">
        <f t="shared" si="1"/>
        <v/>
      </c>
    </row>
    <row r="954">
      <c r="B954" s="86"/>
      <c r="J954" s="86"/>
      <c r="N954" s="86"/>
      <c r="O954" s="86"/>
      <c r="P954" s="86" t="str">
        <f t="shared" si="1"/>
        <v/>
      </c>
    </row>
    <row r="955">
      <c r="B955" s="86"/>
      <c r="J955" s="86"/>
      <c r="N955" s="86"/>
      <c r="O955" s="86"/>
      <c r="P955" s="86" t="str">
        <f t="shared" si="1"/>
        <v/>
      </c>
    </row>
    <row r="956">
      <c r="B956" s="86"/>
      <c r="J956" s="86"/>
      <c r="N956" s="86"/>
      <c r="O956" s="86"/>
      <c r="P956" s="86" t="str">
        <f t="shared" si="1"/>
        <v/>
      </c>
    </row>
    <row r="957">
      <c r="B957" s="86"/>
      <c r="J957" s="86"/>
      <c r="N957" s="86"/>
      <c r="O957" s="86"/>
      <c r="P957" s="86" t="str">
        <f t="shared" si="1"/>
        <v/>
      </c>
    </row>
    <row r="958">
      <c r="B958" s="86"/>
      <c r="J958" s="86"/>
      <c r="N958" s="86"/>
      <c r="O958" s="86"/>
      <c r="P958" s="86" t="str">
        <f t="shared" si="1"/>
        <v/>
      </c>
    </row>
    <row r="959">
      <c r="B959" s="86"/>
      <c r="J959" s="86"/>
      <c r="N959" s="86"/>
      <c r="O959" s="86"/>
      <c r="P959" s="86" t="str">
        <f t="shared" si="1"/>
        <v/>
      </c>
    </row>
    <row r="960">
      <c r="B960" s="86"/>
      <c r="J960" s="86"/>
      <c r="N960" s="86"/>
      <c r="O960" s="86"/>
      <c r="P960" s="86" t="str">
        <f t="shared" si="1"/>
        <v/>
      </c>
    </row>
    <row r="961">
      <c r="B961" s="86"/>
      <c r="J961" s="86"/>
      <c r="N961" s="86"/>
      <c r="O961" s="86"/>
      <c r="P961" s="86" t="str">
        <f t="shared" si="1"/>
        <v/>
      </c>
    </row>
    <row r="962">
      <c r="B962" s="86"/>
      <c r="J962" s="86"/>
      <c r="N962" s="86"/>
      <c r="O962" s="86"/>
      <c r="P962" s="86" t="str">
        <f t="shared" si="1"/>
        <v/>
      </c>
    </row>
    <row r="963">
      <c r="B963" s="86"/>
      <c r="J963" s="86"/>
      <c r="N963" s="86"/>
      <c r="O963" s="86"/>
      <c r="P963" s="86" t="str">
        <f t="shared" si="1"/>
        <v/>
      </c>
    </row>
    <row r="964">
      <c r="B964" s="86"/>
      <c r="J964" s="86"/>
      <c r="N964" s="86"/>
      <c r="O964" s="86"/>
      <c r="P964" s="86" t="str">
        <f t="shared" si="1"/>
        <v/>
      </c>
    </row>
    <row r="965">
      <c r="B965" s="86"/>
      <c r="J965" s="86"/>
      <c r="N965" s="86"/>
      <c r="O965" s="86"/>
      <c r="P965" s="86" t="str">
        <f t="shared" si="1"/>
        <v/>
      </c>
    </row>
    <row r="966">
      <c r="B966" s="86"/>
      <c r="J966" s="86"/>
      <c r="N966" s="86"/>
      <c r="O966" s="86"/>
      <c r="P966" s="86" t="str">
        <f t="shared" si="1"/>
        <v/>
      </c>
    </row>
    <row r="967">
      <c r="B967" s="86"/>
      <c r="J967" s="86"/>
      <c r="N967" s="86"/>
      <c r="O967" s="86"/>
      <c r="P967" s="86" t="str">
        <f t="shared" si="1"/>
        <v/>
      </c>
    </row>
    <row r="968">
      <c r="B968" s="86"/>
      <c r="J968" s="86"/>
      <c r="N968" s="86"/>
      <c r="O968" s="86"/>
      <c r="P968" s="86" t="str">
        <f t="shared" si="1"/>
        <v/>
      </c>
    </row>
    <row r="969">
      <c r="B969" s="86"/>
      <c r="J969" s="86"/>
      <c r="N969" s="86"/>
      <c r="O969" s="86"/>
      <c r="P969" s="86" t="str">
        <f t="shared" si="1"/>
        <v/>
      </c>
    </row>
    <row r="970">
      <c r="B970" s="86"/>
      <c r="J970" s="86"/>
      <c r="N970" s="86"/>
      <c r="O970" s="86"/>
      <c r="P970" s="86" t="str">
        <f t="shared" si="1"/>
        <v/>
      </c>
    </row>
    <row r="971">
      <c r="B971" s="86"/>
      <c r="J971" s="86"/>
      <c r="N971" s="86"/>
      <c r="O971" s="86"/>
      <c r="P971" s="86" t="str">
        <f t="shared" si="1"/>
        <v/>
      </c>
    </row>
    <row r="972">
      <c r="B972" s="86"/>
      <c r="J972" s="86"/>
      <c r="N972" s="86"/>
      <c r="O972" s="86"/>
      <c r="P972" s="86" t="str">
        <f t="shared" si="1"/>
        <v/>
      </c>
    </row>
    <row r="973">
      <c r="B973" s="86"/>
      <c r="J973" s="86"/>
      <c r="N973" s="86"/>
      <c r="O973" s="86"/>
      <c r="P973" s="86" t="str">
        <f t="shared" si="1"/>
        <v/>
      </c>
    </row>
    <row r="974">
      <c r="B974" s="86"/>
      <c r="J974" s="86"/>
      <c r="N974" s="86"/>
      <c r="O974" s="86"/>
      <c r="P974" s="86" t="str">
        <f t="shared" si="1"/>
        <v/>
      </c>
    </row>
    <row r="975">
      <c r="B975" s="86"/>
      <c r="J975" s="86"/>
      <c r="N975" s="86"/>
      <c r="O975" s="86"/>
      <c r="P975" s="86" t="str">
        <f t="shared" si="1"/>
        <v/>
      </c>
    </row>
    <row r="976">
      <c r="B976" s="86"/>
      <c r="J976" s="86"/>
      <c r="N976" s="86"/>
      <c r="O976" s="86"/>
      <c r="P976" s="86" t="str">
        <f t="shared" si="1"/>
        <v/>
      </c>
    </row>
    <row r="977">
      <c r="B977" s="86"/>
      <c r="J977" s="86"/>
      <c r="N977" s="86"/>
      <c r="O977" s="86"/>
      <c r="P977" s="86" t="str">
        <f t="shared" si="1"/>
        <v/>
      </c>
    </row>
    <row r="978">
      <c r="B978" s="86"/>
      <c r="J978" s="86"/>
      <c r="N978" s="86"/>
      <c r="O978" s="86"/>
      <c r="P978" s="86" t="str">
        <f t="shared" si="1"/>
        <v/>
      </c>
    </row>
    <row r="979">
      <c r="B979" s="86"/>
      <c r="J979" s="86"/>
      <c r="N979" s="86"/>
      <c r="O979" s="86"/>
      <c r="P979" s="86" t="str">
        <f t="shared" si="1"/>
        <v/>
      </c>
    </row>
    <row r="980">
      <c r="B980" s="86"/>
      <c r="J980" s="86"/>
      <c r="N980" s="86"/>
      <c r="O980" s="86"/>
      <c r="P980" s="86" t="str">
        <f t="shared" si="1"/>
        <v/>
      </c>
    </row>
    <row r="981">
      <c r="B981" s="86"/>
      <c r="J981" s="86"/>
      <c r="N981" s="86"/>
      <c r="O981" s="86"/>
      <c r="P981" s="86" t="str">
        <f t="shared" si="1"/>
        <v/>
      </c>
    </row>
    <row r="982">
      <c r="B982" s="86"/>
      <c r="J982" s="86"/>
      <c r="N982" s="86"/>
      <c r="O982" s="86"/>
      <c r="P982" s="86" t="str">
        <f t="shared" si="1"/>
        <v/>
      </c>
    </row>
    <row r="983">
      <c r="B983" s="86"/>
      <c r="J983" s="86"/>
      <c r="N983" s="86"/>
      <c r="O983" s="86"/>
      <c r="P983" s="86" t="str">
        <f t="shared" si="1"/>
        <v/>
      </c>
    </row>
    <row r="984">
      <c r="B984" s="86"/>
      <c r="J984" s="86"/>
      <c r="N984" s="86"/>
      <c r="O984" s="86"/>
      <c r="P984" s="86" t="str">
        <f t="shared" si="1"/>
        <v/>
      </c>
    </row>
    <row r="985">
      <c r="B985" s="86"/>
      <c r="J985" s="86"/>
      <c r="N985" s="86"/>
      <c r="O985" s="86"/>
      <c r="P985" s="86" t="str">
        <f t="shared" si="1"/>
        <v/>
      </c>
    </row>
    <row r="986">
      <c r="B986" s="86"/>
      <c r="J986" s="86"/>
      <c r="N986" s="86"/>
      <c r="O986" s="86"/>
      <c r="P986" s="86" t="str">
        <f t="shared" si="1"/>
        <v/>
      </c>
    </row>
    <row r="987">
      <c r="B987" s="86"/>
      <c r="J987" s="86"/>
      <c r="N987" s="86"/>
      <c r="O987" s="86"/>
      <c r="P987" s="86" t="str">
        <f t="shared" si="1"/>
        <v/>
      </c>
    </row>
    <row r="988">
      <c r="B988" s="86"/>
      <c r="J988" s="86"/>
      <c r="N988" s="86"/>
      <c r="O988" s="86"/>
      <c r="P988" s="86" t="str">
        <f t="shared" si="1"/>
        <v/>
      </c>
    </row>
    <row r="989">
      <c r="B989" s="86"/>
      <c r="J989" s="86"/>
      <c r="N989" s="86"/>
      <c r="O989" s="86"/>
      <c r="P989" s="86" t="str">
        <f t="shared" si="1"/>
        <v/>
      </c>
    </row>
    <row r="990">
      <c r="B990" s="86"/>
      <c r="J990" s="86"/>
      <c r="N990" s="86"/>
      <c r="O990" s="86"/>
      <c r="P990" s="86" t="str">
        <f t="shared" si="1"/>
        <v/>
      </c>
    </row>
    <row r="991">
      <c r="B991" s="86"/>
      <c r="J991" s="86"/>
      <c r="N991" s="86"/>
      <c r="O991" s="86"/>
      <c r="P991" s="86" t="str">
        <f t="shared" si="1"/>
        <v/>
      </c>
    </row>
    <row r="992">
      <c r="B992" s="86"/>
      <c r="J992" s="86"/>
      <c r="N992" s="86"/>
      <c r="O992" s="86"/>
      <c r="P992" s="86" t="str">
        <f t="shared" si="1"/>
        <v/>
      </c>
    </row>
    <row r="993">
      <c r="B993" s="86"/>
      <c r="J993" s="86"/>
      <c r="N993" s="86"/>
      <c r="O993" s="86"/>
      <c r="P993" s="86" t="str">
        <f t="shared" si="1"/>
        <v/>
      </c>
    </row>
    <row r="994">
      <c r="B994" s="86"/>
      <c r="J994" s="86"/>
      <c r="N994" s="86"/>
      <c r="O994" s="86"/>
      <c r="P994" s="86" t="str">
        <f t="shared" si="1"/>
        <v/>
      </c>
    </row>
    <row r="995">
      <c r="B995" s="86"/>
      <c r="J995" s="86"/>
      <c r="N995" s="86"/>
      <c r="O995" s="86"/>
      <c r="P995" s="86" t="str">
        <f t="shared" si="1"/>
        <v/>
      </c>
    </row>
  </sheetData>
  <mergeCells count="2">
    <mergeCell ref="A1:C1"/>
    <mergeCell ref="A2:C2"/>
  </mergeCells>
  <conditionalFormatting sqref="A3:Q3">
    <cfRule type="notContainsBlanks" dxfId="2" priority="1">
      <formula>LEN(TRIM(A3))&gt;0</formula>
    </cfRule>
  </conditionalFormatting>
  <conditionalFormatting sqref="P4:P995">
    <cfRule type="containsText" dxfId="3" priority="2" operator="containsText" text="Igual">
      <formula>NOT(ISERROR(SEARCH(("Igual"),(P4))))</formula>
    </cfRule>
  </conditionalFormatting>
  <conditionalFormatting sqref="P4:P995">
    <cfRule type="containsText" dxfId="4" priority="3" operator="containsText" text="Diferente">
      <formula>NOT(ISERROR(SEARCH(("Diferente"),(P4))))</formula>
    </cfRule>
  </conditionalFormatting>
  <dataValidations>
    <dataValidation type="list" allowBlank="1" showErrorMessage="1" sqref="N4:O995">
      <formula1>"Sim,Não,Parcialmente"</formula1>
    </dataValidation>
    <dataValidation type="list" allowBlank="1" showErrorMessage="1" sqref="B184">
      <formula1>"Conference,Journal,Livro"</formula1>
    </dataValidation>
    <dataValidation type="list" allowBlank="1" showErrorMessage="1" sqref="J4:J995">
      <formula1>"RQ1,RQ2,RQ3,RQ4,RQ5,RQ6"</formula1>
    </dataValidation>
    <dataValidation type="list" allowBlank="1" showErrorMessage="1" sqref="B4:B183 B185:B995">
      <formula1>"Conference,Journal"</formula1>
    </dataValidation>
  </dataValidations>
  <hyperlinks>
    <hyperlink r:id="rId1" ref="E4"/>
    <hyperlink r:id="rId2" ref="E9"/>
    <hyperlink r:id="rId3" ref="E14"/>
    <hyperlink r:id="rId4" ref="E19"/>
    <hyperlink r:id="rId5" ref="E24"/>
    <hyperlink r:id="rId6" ref="E29"/>
    <hyperlink r:id="rId7" ref="E34"/>
    <hyperlink r:id="rId8" ref="E39"/>
    <hyperlink r:id="rId9" ref="E44"/>
    <hyperlink r:id="rId10" ref="E49"/>
    <hyperlink r:id="rId11" ref="E54"/>
    <hyperlink r:id="rId12" ref="E59"/>
    <hyperlink r:id="rId13" ref="E64"/>
    <hyperlink r:id="rId14" ref="E69"/>
    <hyperlink r:id="rId15" ref="E74"/>
    <hyperlink r:id="rId16" ref="E79"/>
    <hyperlink r:id="rId17" ref="E84"/>
    <hyperlink r:id="rId18" ref="E89"/>
    <hyperlink r:id="rId19" ref="E99"/>
    <hyperlink r:id="rId20" ref="E114"/>
    <hyperlink r:id="rId21" ref="E124"/>
    <hyperlink r:id="rId22" ref="E129"/>
    <hyperlink r:id="rId23" ref="E139"/>
    <hyperlink r:id="rId24" ref="E144"/>
    <hyperlink r:id="rId25" ref="E149"/>
    <hyperlink r:id="rId26" ref="E154"/>
    <hyperlink r:id="rId27" ref="E159"/>
    <hyperlink r:id="rId28" ref="E164"/>
    <hyperlink r:id="rId29" ref="E169"/>
    <hyperlink r:id="rId30" ref="E189"/>
    <hyperlink r:id="rId31" ref="E194"/>
    <hyperlink r:id="rId32" ref="E204"/>
    <hyperlink r:id="rId33" ref="E209"/>
    <hyperlink r:id="rId34" ref="E214"/>
    <hyperlink r:id="rId35" ref="E219"/>
    <hyperlink r:id="rId36" ref="E224"/>
    <hyperlink r:id="rId37" ref="E229"/>
    <hyperlink r:id="rId38" ref="E234"/>
    <hyperlink r:id="rId39" ref="E239"/>
    <hyperlink r:id="rId40" ref="E244"/>
    <hyperlink r:id="rId41" location="full-text" ref="E249"/>
    <hyperlink r:id="rId42" ref="E254"/>
    <hyperlink r:id="rId43" ref="E259"/>
    <hyperlink r:id="rId44" ref="E264"/>
    <hyperlink r:id="rId45" ref="E269"/>
    <hyperlink r:id="rId46" ref="E274"/>
    <hyperlink r:id="rId47" location="citeas" ref="E279"/>
    <hyperlink r:id="rId48" ref="E284"/>
    <hyperlink r:id="rId49" ref="E289"/>
    <hyperlink r:id="rId50" ref="E294"/>
    <hyperlink r:id="rId51" ref="E299"/>
  </hyperlinks>
  <printOptions gridLines="1" horizontalCentered="1"/>
  <pageMargins bottom="0.75" footer="0.0" header="0.0" left="0.7" right="0.7" top="0.75"/>
  <pageSetup fitToHeight="0" paperSize="9" cellComments="atEnd" orientation="landscape" pageOrder="overThenDown"/>
  <drawing r:id="rId5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7.38"/>
    <col customWidth="1" min="3" max="3" width="17.88"/>
    <col customWidth="1" min="4" max="4" width="16.38"/>
    <col customWidth="1" min="5" max="5" width="19.38"/>
    <col customWidth="1" min="6" max="6" width="17.88"/>
    <col customWidth="1" min="7" max="7" width="16.13"/>
    <col customWidth="1" min="8" max="8" width="14.63"/>
    <col customWidth="1" min="9" max="9" width="12.13"/>
  </cols>
  <sheetData>
    <row r="1">
      <c r="A1" s="100" t="s">
        <v>2691</v>
      </c>
      <c r="B1" s="100" t="s">
        <v>1354</v>
      </c>
      <c r="C1" s="100" t="s">
        <v>2692</v>
      </c>
      <c r="D1" s="100" t="s">
        <v>2693</v>
      </c>
      <c r="E1" s="100" t="s">
        <v>2694</v>
      </c>
      <c r="F1" s="100" t="s">
        <v>2695</v>
      </c>
      <c r="G1" s="100" t="s">
        <v>2696</v>
      </c>
      <c r="H1" s="100" t="s">
        <v>2697</v>
      </c>
      <c r="I1" s="100" t="s">
        <v>2698</v>
      </c>
    </row>
    <row r="2">
      <c r="A2" s="55">
        <v>1.0</v>
      </c>
      <c r="B2" s="55">
        <v>60.0</v>
      </c>
      <c r="C2" s="55">
        <v>55.0</v>
      </c>
      <c r="D2" s="55">
        <v>51.67</v>
      </c>
      <c r="E2" s="55">
        <v>13.33</v>
      </c>
      <c r="F2" s="55">
        <v>16.67</v>
      </c>
      <c r="G2" s="55">
        <v>31.67</v>
      </c>
      <c r="H2" s="55">
        <v>31.67</v>
      </c>
      <c r="I2" s="55">
        <v>63.33</v>
      </c>
    </row>
    <row r="3">
      <c r="A3" s="55">
        <v>2.0</v>
      </c>
      <c r="B3" s="55">
        <v>60.0</v>
      </c>
      <c r="C3" s="55">
        <v>53.33</v>
      </c>
      <c r="D3" s="55">
        <v>50.0</v>
      </c>
      <c r="E3" s="55">
        <v>18.33</v>
      </c>
      <c r="F3" s="55">
        <v>23.33</v>
      </c>
      <c r="G3" s="55">
        <v>28.33</v>
      </c>
      <c r="H3" s="55">
        <v>26.67</v>
      </c>
      <c r="I3" s="55">
        <v>58.33</v>
      </c>
    </row>
    <row r="4">
      <c r="A4" s="55">
        <v>3.0</v>
      </c>
      <c r="B4" s="55">
        <v>60.0</v>
      </c>
      <c r="C4" s="55">
        <v>55.0</v>
      </c>
      <c r="D4" s="55">
        <v>53.33</v>
      </c>
      <c r="E4" s="55">
        <v>15.0</v>
      </c>
      <c r="F4" s="55">
        <v>16.67</v>
      </c>
      <c r="G4" s="55">
        <v>30.0</v>
      </c>
      <c r="H4" s="55">
        <v>30.0</v>
      </c>
      <c r="I4" s="55">
        <v>60.0</v>
      </c>
    </row>
    <row r="5">
      <c r="A5" s="55">
        <v>4.0</v>
      </c>
      <c r="B5" s="55">
        <v>60.0</v>
      </c>
      <c r="C5" s="55">
        <v>68.33</v>
      </c>
      <c r="D5" s="55">
        <v>61.67</v>
      </c>
      <c r="E5" s="55">
        <v>11.67</v>
      </c>
      <c r="F5" s="55">
        <v>18.33</v>
      </c>
      <c r="G5" s="55">
        <v>20.0</v>
      </c>
      <c r="H5" s="55">
        <v>20.0</v>
      </c>
      <c r="I5" s="55">
        <v>65.0</v>
      </c>
    </row>
    <row r="6">
      <c r="A6" s="55">
        <v>5.0</v>
      </c>
      <c r="B6" s="55">
        <v>60.0</v>
      </c>
      <c r="C6" s="55">
        <v>65.0</v>
      </c>
      <c r="D6" s="55">
        <v>60.0</v>
      </c>
      <c r="E6" s="55">
        <v>15.0</v>
      </c>
      <c r="F6" s="55">
        <v>23.33</v>
      </c>
      <c r="G6" s="55">
        <v>20.0</v>
      </c>
      <c r="H6" s="55">
        <v>16.67</v>
      </c>
      <c r="I6" s="55">
        <v>63.0</v>
      </c>
    </row>
    <row r="7">
      <c r="A7" s="55" t="s">
        <v>1354</v>
      </c>
      <c r="B7" s="55">
        <v>300.0</v>
      </c>
      <c r="C7" s="55">
        <v>59.33</v>
      </c>
      <c r="D7" s="55">
        <v>55.33</v>
      </c>
      <c r="E7" s="55">
        <v>14.67</v>
      </c>
      <c r="F7" s="55">
        <v>19.67</v>
      </c>
      <c r="G7" s="55">
        <v>28.0</v>
      </c>
      <c r="H7" s="55">
        <v>25.0</v>
      </c>
      <c r="I7" s="55">
        <v>62.0</v>
      </c>
    </row>
    <row r="8">
      <c r="B8" s="55">
        <v>0.0</v>
      </c>
    </row>
    <row r="9">
      <c r="B9" s="86" t="str">
        <f t="shared" ref="B9:B1000" si="1">COUNTIF('Extração'!J:J,A9)</f>
        <v>#REF!</v>
      </c>
      <c r="C9" s="86" t="str">
        <f t="shared" ref="C9:C10" si="2">IF(B9=0,"",COUNTIFS('Extração'!N:N,"Sim",'Extração'!J:J,A9)/B9)</f>
        <v>#REF!</v>
      </c>
      <c r="D9" s="86" t="str">
        <f t="shared" ref="D9:D10" si="3">IF(B9=0,"",COUNTIFS('Extração'!O:O,"Sim",'Extração'!J:J,A9)/B9)</f>
        <v>#REF!</v>
      </c>
      <c r="E9" s="86" t="str">
        <f t="shared" ref="E9:E10" si="4">IF(B9=0,"",COUNTIFS('Extração'!N:N,"Parcialmente",'Extração'!J:J,A9)/B9)</f>
        <v>#REF!</v>
      </c>
      <c r="F9" s="86" t="str">
        <f t="shared" ref="F9:F10" si="5">IF(B9=0,"",COUNTIFS('Extração'!O:O,"Parcialmente",'Extração'!J:J,A9)/B9)</f>
        <v>#REF!</v>
      </c>
      <c r="G9" s="86" t="str">
        <f t="shared" ref="G9:G10" si="6">IF(B9=0,"",COUNTIFS('Extração'!N:N,"Não",'Extração'!J:J,A9)/B9)</f>
        <v>#REF!</v>
      </c>
      <c r="H9" s="86" t="str">
        <f t="shared" ref="H9:H10" si="7">IF(B9=0,"",COUNTIFS('Extração'!O:O,"Não",'Extração'!J:J,A9)/B9)</f>
        <v>#REF!</v>
      </c>
      <c r="I9" s="86" t="str">
        <f t="shared" ref="I9:I10" si="8">IF(B9=0,"",COUNTIFS('Extração'!P:P,"Igual",'Extração'!J:J,A9)/B9)</f>
        <v>#REF!</v>
      </c>
    </row>
    <row r="10">
      <c r="B10" s="86" t="str">
        <f t="shared" si="1"/>
        <v>#REF!</v>
      </c>
      <c r="C10" s="86" t="str">
        <f t="shared" si="2"/>
        <v>#REF!</v>
      </c>
      <c r="D10" s="86" t="str">
        <f t="shared" si="3"/>
        <v>#REF!</v>
      </c>
      <c r="E10" s="86" t="str">
        <f t="shared" si="4"/>
        <v>#REF!</v>
      </c>
      <c r="F10" s="86" t="str">
        <f t="shared" si="5"/>
        <v>#REF!</v>
      </c>
      <c r="G10" s="86" t="str">
        <f t="shared" si="6"/>
        <v>#REF!</v>
      </c>
      <c r="H10" s="86" t="str">
        <f t="shared" si="7"/>
        <v>#REF!</v>
      </c>
      <c r="I10" s="86" t="str">
        <f t="shared" si="8"/>
        <v>#REF!</v>
      </c>
    </row>
    <row r="11">
      <c r="A11" s="101"/>
      <c r="B11" s="86" t="str">
        <f t="shared" si="1"/>
        <v>#REF!</v>
      </c>
      <c r="C11" s="102"/>
      <c r="D11" s="102"/>
      <c r="E11" s="102"/>
      <c r="F11" s="102"/>
      <c r="G11" s="102"/>
      <c r="H11" s="102"/>
      <c r="I11" s="102"/>
    </row>
    <row r="12">
      <c r="A12" s="101"/>
      <c r="B12" s="86" t="str">
        <f t="shared" si="1"/>
        <v>#REF!</v>
      </c>
      <c r="C12" s="102"/>
      <c r="D12" s="102"/>
      <c r="E12" s="102"/>
      <c r="F12" s="102"/>
      <c r="G12" s="102"/>
      <c r="H12" s="102"/>
      <c r="I12" s="102"/>
    </row>
    <row r="13">
      <c r="A13" s="101"/>
      <c r="B13" s="86" t="str">
        <f t="shared" si="1"/>
        <v>#REF!</v>
      </c>
      <c r="C13" s="102"/>
      <c r="D13" s="102"/>
      <c r="E13" s="102"/>
      <c r="F13" s="102"/>
      <c r="G13" s="102"/>
      <c r="H13" s="102"/>
      <c r="I13" s="102"/>
    </row>
    <row r="14">
      <c r="A14" s="101"/>
      <c r="B14" s="86" t="str">
        <f t="shared" si="1"/>
        <v>#REF!</v>
      </c>
      <c r="C14" s="102"/>
      <c r="D14" s="102"/>
      <c r="E14" s="102"/>
      <c r="F14" s="102"/>
      <c r="G14" s="102"/>
      <c r="H14" s="102"/>
      <c r="I14" s="102"/>
    </row>
    <row r="15">
      <c r="A15" s="101"/>
      <c r="B15" s="86" t="str">
        <f t="shared" si="1"/>
        <v>#REF!</v>
      </c>
      <c r="C15" s="102"/>
      <c r="D15" s="102"/>
      <c r="E15" s="102"/>
      <c r="F15" s="102"/>
      <c r="G15" s="102"/>
      <c r="H15" s="102"/>
      <c r="I15" s="102"/>
    </row>
    <row r="16">
      <c r="A16" s="103"/>
      <c r="B16" s="86" t="str">
        <f t="shared" si="1"/>
        <v>#REF!</v>
      </c>
      <c r="C16" s="103"/>
      <c r="D16" s="103"/>
      <c r="E16" s="103"/>
      <c r="F16" s="103"/>
      <c r="G16" s="103"/>
      <c r="H16" s="103"/>
      <c r="I16" s="103"/>
    </row>
    <row r="17">
      <c r="B17" s="86" t="str">
        <f t="shared" si="1"/>
        <v>#REF!</v>
      </c>
      <c r="C17" s="86" t="str">
        <f t="shared" ref="C17:C1000" si="9">IF(B17=0,"",COUNTIFS('Extração'!N:N,"Sim",'Extração'!J:J,A17)/B17)</f>
        <v>#REF!</v>
      </c>
      <c r="D17" s="86" t="str">
        <f t="shared" ref="D17:D1000" si="10">IF(B17=0,"",COUNTIFS('Extração'!O:O,"Sim",'Extração'!J:J,A17)/B17)</f>
        <v>#REF!</v>
      </c>
      <c r="E17" s="86" t="str">
        <f t="shared" ref="E17:E1000" si="11">IF(B17=0,"",COUNTIFS('Extração'!N:N,"Parcialmente",'Extração'!J:J,A17)/B17)</f>
        <v>#REF!</v>
      </c>
      <c r="F17" s="86" t="str">
        <f t="shared" ref="F17:F1000" si="12">IF(B17=0,"",COUNTIFS('Extração'!O:O,"Parcialmente",'Extração'!J:J,A17)/B17)</f>
        <v>#REF!</v>
      </c>
      <c r="G17" s="86" t="str">
        <f t="shared" ref="G17:G1000" si="13">IF(B17=0,"",COUNTIFS('Extração'!N:N,"Não",'Extração'!J:J,A17)/B17)</f>
        <v>#REF!</v>
      </c>
      <c r="H17" s="86" t="str">
        <f t="shared" ref="H17:H1000" si="14">IF(B17=0,"",COUNTIFS('Extração'!O:O,"Não",'Extração'!J:J,A17)/B17)</f>
        <v>#REF!</v>
      </c>
      <c r="I17" s="86" t="str">
        <f t="shared" ref="I17:I1000" si="15">IF(B17=0,"",COUNTIFS('Extração'!P:P,"Igual",'Extração'!J:J,A17)/B17)</f>
        <v>#REF!</v>
      </c>
    </row>
    <row r="18">
      <c r="B18" s="86" t="str">
        <f t="shared" si="1"/>
        <v>#REF!</v>
      </c>
      <c r="C18" s="86" t="str">
        <f t="shared" si="9"/>
        <v>#REF!</v>
      </c>
      <c r="D18" s="86" t="str">
        <f t="shared" si="10"/>
        <v>#REF!</v>
      </c>
      <c r="E18" s="86" t="str">
        <f t="shared" si="11"/>
        <v>#REF!</v>
      </c>
      <c r="F18" s="86" t="str">
        <f t="shared" si="12"/>
        <v>#REF!</v>
      </c>
      <c r="G18" s="86" t="str">
        <f t="shared" si="13"/>
        <v>#REF!</v>
      </c>
      <c r="H18" s="86" t="str">
        <f t="shared" si="14"/>
        <v>#REF!</v>
      </c>
      <c r="I18" s="86" t="str">
        <f t="shared" si="15"/>
        <v>#REF!</v>
      </c>
    </row>
    <row r="19">
      <c r="B19" s="86" t="str">
        <f t="shared" si="1"/>
        <v>#REF!</v>
      </c>
      <c r="C19" s="86" t="str">
        <f t="shared" si="9"/>
        <v>#REF!</v>
      </c>
      <c r="D19" s="86" t="str">
        <f t="shared" si="10"/>
        <v>#REF!</v>
      </c>
      <c r="E19" s="86" t="str">
        <f t="shared" si="11"/>
        <v>#REF!</v>
      </c>
      <c r="F19" s="86" t="str">
        <f t="shared" si="12"/>
        <v>#REF!</v>
      </c>
      <c r="G19" s="86" t="str">
        <f t="shared" si="13"/>
        <v>#REF!</v>
      </c>
      <c r="H19" s="86" t="str">
        <f t="shared" si="14"/>
        <v>#REF!</v>
      </c>
      <c r="I19" s="86" t="str">
        <f t="shared" si="15"/>
        <v>#REF!</v>
      </c>
    </row>
    <row r="20">
      <c r="B20" s="86" t="str">
        <f t="shared" si="1"/>
        <v>#REF!</v>
      </c>
      <c r="C20" s="86" t="str">
        <f t="shared" si="9"/>
        <v>#REF!</v>
      </c>
      <c r="D20" s="86" t="str">
        <f t="shared" si="10"/>
        <v>#REF!</v>
      </c>
      <c r="E20" s="86" t="str">
        <f t="shared" si="11"/>
        <v>#REF!</v>
      </c>
      <c r="F20" s="86" t="str">
        <f t="shared" si="12"/>
        <v>#REF!</v>
      </c>
      <c r="G20" s="86" t="str">
        <f t="shared" si="13"/>
        <v>#REF!</v>
      </c>
      <c r="H20" s="86" t="str">
        <f t="shared" si="14"/>
        <v>#REF!</v>
      </c>
      <c r="I20" s="86" t="str">
        <f t="shared" si="15"/>
        <v>#REF!</v>
      </c>
    </row>
    <row r="21">
      <c r="B21" s="86" t="str">
        <f t="shared" si="1"/>
        <v>#REF!</v>
      </c>
      <c r="C21" s="86" t="str">
        <f t="shared" si="9"/>
        <v>#REF!</v>
      </c>
      <c r="D21" s="86" t="str">
        <f t="shared" si="10"/>
        <v>#REF!</v>
      </c>
      <c r="E21" s="86" t="str">
        <f t="shared" si="11"/>
        <v>#REF!</v>
      </c>
      <c r="F21" s="86" t="str">
        <f t="shared" si="12"/>
        <v>#REF!</v>
      </c>
      <c r="G21" s="86" t="str">
        <f t="shared" si="13"/>
        <v>#REF!</v>
      </c>
      <c r="H21" s="86" t="str">
        <f t="shared" si="14"/>
        <v>#REF!</v>
      </c>
      <c r="I21" s="86" t="str">
        <f t="shared" si="15"/>
        <v>#REF!</v>
      </c>
    </row>
    <row r="22">
      <c r="B22" s="86" t="str">
        <f t="shared" si="1"/>
        <v>#REF!</v>
      </c>
      <c r="C22" s="86" t="str">
        <f t="shared" si="9"/>
        <v>#REF!</v>
      </c>
      <c r="D22" s="86" t="str">
        <f t="shared" si="10"/>
        <v>#REF!</v>
      </c>
      <c r="E22" s="86" t="str">
        <f t="shared" si="11"/>
        <v>#REF!</v>
      </c>
      <c r="F22" s="86" t="str">
        <f t="shared" si="12"/>
        <v>#REF!</v>
      </c>
      <c r="G22" s="86" t="str">
        <f t="shared" si="13"/>
        <v>#REF!</v>
      </c>
      <c r="H22" s="86" t="str">
        <f t="shared" si="14"/>
        <v>#REF!</v>
      </c>
      <c r="I22" s="86" t="str">
        <f t="shared" si="15"/>
        <v>#REF!</v>
      </c>
    </row>
    <row r="23">
      <c r="B23" s="86" t="str">
        <f t="shared" si="1"/>
        <v>#REF!</v>
      </c>
      <c r="C23" s="86" t="str">
        <f t="shared" si="9"/>
        <v>#REF!</v>
      </c>
      <c r="D23" s="86" t="str">
        <f t="shared" si="10"/>
        <v>#REF!</v>
      </c>
      <c r="E23" s="86" t="str">
        <f t="shared" si="11"/>
        <v>#REF!</v>
      </c>
      <c r="F23" s="86" t="str">
        <f t="shared" si="12"/>
        <v>#REF!</v>
      </c>
      <c r="G23" s="86" t="str">
        <f t="shared" si="13"/>
        <v>#REF!</v>
      </c>
      <c r="H23" s="86" t="str">
        <f t="shared" si="14"/>
        <v>#REF!</v>
      </c>
      <c r="I23" s="86" t="str">
        <f t="shared" si="15"/>
        <v>#REF!</v>
      </c>
    </row>
    <row r="24">
      <c r="B24" s="86" t="str">
        <f t="shared" si="1"/>
        <v>#REF!</v>
      </c>
      <c r="C24" s="86" t="str">
        <f t="shared" si="9"/>
        <v>#REF!</v>
      </c>
      <c r="D24" s="86" t="str">
        <f t="shared" si="10"/>
        <v>#REF!</v>
      </c>
      <c r="E24" s="86" t="str">
        <f t="shared" si="11"/>
        <v>#REF!</v>
      </c>
      <c r="F24" s="86" t="str">
        <f t="shared" si="12"/>
        <v>#REF!</v>
      </c>
      <c r="G24" s="86" t="str">
        <f t="shared" si="13"/>
        <v>#REF!</v>
      </c>
      <c r="H24" s="86" t="str">
        <f t="shared" si="14"/>
        <v>#REF!</v>
      </c>
      <c r="I24" s="86" t="str">
        <f t="shared" si="15"/>
        <v>#REF!</v>
      </c>
    </row>
    <row r="25">
      <c r="B25" s="86" t="str">
        <f t="shared" si="1"/>
        <v>#REF!</v>
      </c>
      <c r="C25" s="86" t="str">
        <f t="shared" si="9"/>
        <v>#REF!</v>
      </c>
      <c r="D25" s="86" t="str">
        <f t="shared" si="10"/>
        <v>#REF!</v>
      </c>
      <c r="E25" s="86" t="str">
        <f t="shared" si="11"/>
        <v>#REF!</v>
      </c>
      <c r="F25" s="86" t="str">
        <f t="shared" si="12"/>
        <v>#REF!</v>
      </c>
      <c r="G25" s="86" t="str">
        <f t="shared" si="13"/>
        <v>#REF!</v>
      </c>
      <c r="H25" s="86" t="str">
        <f t="shared" si="14"/>
        <v>#REF!</v>
      </c>
      <c r="I25" s="86" t="str">
        <f t="shared" si="15"/>
        <v>#REF!</v>
      </c>
    </row>
    <row r="26">
      <c r="B26" s="86" t="str">
        <f t="shared" si="1"/>
        <v>#REF!</v>
      </c>
      <c r="C26" s="86" t="str">
        <f t="shared" si="9"/>
        <v>#REF!</v>
      </c>
      <c r="D26" s="86" t="str">
        <f t="shared" si="10"/>
        <v>#REF!</v>
      </c>
      <c r="E26" s="86" t="str">
        <f t="shared" si="11"/>
        <v>#REF!</v>
      </c>
      <c r="F26" s="86" t="str">
        <f t="shared" si="12"/>
        <v>#REF!</v>
      </c>
      <c r="G26" s="86" t="str">
        <f t="shared" si="13"/>
        <v>#REF!</v>
      </c>
      <c r="H26" s="86" t="str">
        <f t="shared" si="14"/>
        <v>#REF!</v>
      </c>
      <c r="I26" s="86" t="str">
        <f t="shared" si="15"/>
        <v>#REF!</v>
      </c>
    </row>
    <row r="27">
      <c r="B27" s="86" t="str">
        <f t="shared" si="1"/>
        <v>#REF!</v>
      </c>
      <c r="C27" s="86" t="str">
        <f t="shared" si="9"/>
        <v>#REF!</v>
      </c>
      <c r="D27" s="86" t="str">
        <f t="shared" si="10"/>
        <v>#REF!</v>
      </c>
      <c r="E27" s="86" t="str">
        <f t="shared" si="11"/>
        <v>#REF!</v>
      </c>
      <c r="F27" s="86" t="str">
        <f t="shared" si="12"/>
        <v>#REF!</v>
      </c>
      <c r="G27" s="86" t="str">
        <f t="shared" si="13"/>
        <v>#REF!</v>
      </c>
      <c r="H27" s="86" t="str">
        <f t="shared" si="14"/>
        <v>#REF!</v>
      </c>
      <c r="I27" s="86" t="str">
        <f t="shared" si="15"/>
        <v>#REF!</v>
      </c>
    </row>
    <row r="28">
      <c r="B28" s="86" t="str">
        <f t="shared" si="1"/>
        <v>#REF!</v>
      </c>
      <c r="C28" s="86" t="str">
        <f t="shared" si="9"/>
        <v>#REF!</v>
      </c>
      <c r="D28" s="86" t="str">
        <f t="shared" si="10"/>
        <v>#REF!</v>
      </c>
      <c r="E28" s="86" t="str">
        <f t="shared" si="11"/>
        <v>#REF!</v>
      </c>
      <c r="F28" s="86" t="str">
        <f t="shared" si="12"/>
        <v>#REF!</v>
      </c>
      <c r="G28" s="86" t="str">
        <f t="shared" si="13"/>
        <v>#REF!</v>
      </c>
      <c r="H28" s="86" t="str">
        <f t="shared" si="14"/>
        <v>#REF!</v>
      </c>
      <c r="I28" s="86" t="str">
        <f t="shared" si="15"/>
        <v>#REF!</v>
      </c>
    </row>
    <row r="29">
      <c r="B29" s="86" t="str">
        <f t="shared" si="1"/>
        <v>#REF!</v>
      </c>
      <c r="C29" s="86" t="str">
        <f t="shared" si="9"/>
        <v>#REF!</v>
      </c>
      <c r="D29" s="86" t="str">
        <f t="shared" si="10"/>
        <v>#REF!</v>
      </c>
      <c r="E29" s="86" t="str">
        <f t="shared" si="11"/>
        <v>#REF!</v>
      </c>
      <c r="F29" s="86" t="str">
        <f t="shared" si="12"/>
        <v>#REF!</v>
      </c>
      <c r="G29" s="86" t="str">
        <f t="shared" si="13"/>
        <v>#REF!</v>
      </c>
      <c r="H29" s="86" t="str">
        <f t="shared" si="14"/>
        <v>#REF!</v>
      </c>
      <c r="I29" s="86" t="str">
        <f t="shared" si="15"/>
        <v>#REF!</v>
      </c>
    </row>
    <row r="30">
      <c r="B30" s="86" t="str">
        <f t="shared" si="1"/>
        <v>#REF!</v>
      </c>
      <c r="C30" s="86" t="str">
        <f t="shared" si="9"/>
        <v>#REF!</v>
      </c>
      <c r="D30" s="86" t="str">
        <f t="shared" si="10"/>
        <v>#REF!</v>
      </c>
      <c r="E30" s="86" t="str">
        <f t="shared" si="11"/>
        <v>#REF!</v>
      </c>
      <c r="F30" s="86" t="str">
        <f t="shared" si="12"/>
        <v>#REF!</v>
      </c>
      <c r="G30" s="86" t="str">
        <f t="shared" si="13"/>
        <v>#REF!</v>
      </c>
      <c r="H30" s="86" t="str">
        <f t="shared" si="14"/>
        <v>#REF!</v>
      </c>
      <c r="I30" s="86" t="str">
        <f t="shared" si="15"/>
        <v>#REF!</v>
      </c>
    </row>
    <row r="31">
      <c r="B31" s="86" t="str">
        <f t="shared" si="1"/>
        <v>#REF!</v>
      </c>
      <c r="C31" s="86" t="str">
        <f t="shared" si="9"/>
        <v>#REF!</v>
      </c>
      <c r="D31" s="86" t="str">
        <f t="shared" si="10"/>
        <v>#REF!</v>
      </c>
      <c r="E31" s="86" t="str">
        <f t="shared" si="11"/>
        <v>#REF!</v>
      </c>
      <c r="F31" s="86" t="str">
        <f t="shared" si="12"/>
        <v>#REF!</v>
      </c>
      <c r="G31" s="86" t="str">
        <f t="shared" si="13"/>
        <v>#REF!</v>
      </c>
      <c r="H31" s="86" t="str">
        <f t="shared" si="14"/>
        <v>#REF!</v>
      </c>
      <c r="I31" s="86" t="str">
        <f t="shared" si="15"/>
        <v>#REF!</v>
      </c>
    </row>
    <row r="32">
      <c r="B32" s="86" t="str">
        <f t="shared" si="1"/>
        <v>#REF!</v>
      </c>
      <c r="C32" s="86" t="str">
        <f t="shared" si="9"/>
        <v>#REF!</v>
      </c>
      <c r="D32" s="86" t="str">
        <f t="shared" si="10"/>
        <v>#REF!</v>
      </c>
      <c r="E32" s="86" t="str">
        <f t="shared" si="11"/>
        <v>#REF!</v>
      </c>
      <c r="F32" s="86" t="str">
        <f t="shared" si="12"/>
        <v>#REF!</v>
      </c>
      <c r="G32" s="86" t="str">
        <f t="shared" si="13"/>
        <v>#REF!</v>
      </c>
      <c r="H32" s="86" t="str">
        <f t="shared" si="14"/>
        <v>#REF!</v>
      </c>
      <c r="I32" s="86" t="str">
        <f t="shared" si="15"/>
        <v>#REF!</v>
      </c>
    </row>
    <row r="33">
      <c r="B33" s="86" t="str">
        <f t="shared" si="1"/>
        <v>#REF!</v>
      </c>
      <c r="C33" s="86" t="str">
        <f t="shared" si="9"/>
        <v>#REF!</v>
      </c>
      <c r="D33" s="86" t="str">
        <f t="shared" si="10"/>
        <v>#REF!</v>
      </c>
      <c r="E33" s="86" t="str">
        <f t="shared" si="11"/>
        <v>#REF!</v>
      </c>
      <c r="F33" s="86" t="str">
        <f t="shared" si="12"/>
        <v>#REF!</v>
      </c>
      <c r="G33" s="86" t="str">
        <f t="shared" si="13"/>
        <v>#REF!</v>
      </c>
      <c r="H33" s="86" t="str">
        <f t="shared" si="14"/>
        <v>#REF!</v>
      </c>
      <c r="I33" s="86" t="str">
        <f t="shared" si="15"/>
        <v>#REF!</v>
      </c>
    </row>
    <row r="34">
      <c r="B34" s="86" t="str">
        <f t="shared" si="1"/>
        <v>#REF!</v>
      </c>
      <c r="C34" s="86" t="str">
        <f t="shared" si="9"/>
        <v>#REF!</v>
      </c>
      <c r="D34" s="86" t="str">
        <f t="shared" si="10"/>
        <v>#REF!</v>
      </c>
      <c r="E34" s="86" t="str">
        <f t="shared" si="11"/>
        <v>#REF!</v>
      </c>
      <c r="F34" s="86" t="str">
        <f t="shared" si="12"/>
        <v>#REF!</v>
      </c>
      <c r="G34" s="86" t="str">
        <f t="shared" si="13"/>
        <v>#REF!</v>
      </c>
      <c r="H34" s="86" t="str">
        <f t="shared" si="14"/>
        <v>#REF!</v>
      </c>
      <c r="I34" s="86" t="str">
        <f t="shared" si="15"/>
        <v>#REF!</v>
      </c>
    </row>
    <row r="35">
      <c r="B35" s="86" t="str">
        <f t="shared" si="1"/>
        <v>#REF!</v>
      </c>
      <c r="C35" s="86" t="str">
        <f t="shared" si="9"/>
        <v>#REF!</v>
      </c>
      <c r="D35" s="86" t="str">
        <f t="shared" si="10"/>
        <v>#REF!</v>
      </c>
      <c r="E35" s="86" t="str">
        <f t="shared" si="11"/>
        <v>#REF!</v>
      </c>
      <c r="F35" s="86" t="str">
        <f t="shared" si="12"/>
        <v>#REF!</v>
      </c>
      <c r="G35" s="86" t="str">
        <f t="shared" si="13"/>
        <v>#REF!</v>
      </c>
      <c r="H35" s="86" t="str">
        <f t="shared" si="14"/>
        <v>#REF!</v>
      </c>
      <c r="I35" s="86" t="str">
        <f t="shared" si="15"/>
        <v>#REF!</v>
      </c>
    </row>
    <row r="36">
      <c r="B36" s="86" t="str">
        <f t="shared" si="1"/>
        <v>#REF!</v>
      </c>
      <c r="C36" s="86" t="str">
        <f t="shared" si="9"/>
        <v>#REF!</v>
      </c>
      <c r="D36" s="86" t="str">
        <f t="shared" si="10"/>
        <v>#REF!</v>
      </c>
      <c r="E36" s="86" t="str">
        <f t="shared" si="11"/>
        <v>#REF!</v>
      </c>
      <c r="F36" s="86" t="str">
        <f t="shared" si="12"/>
        <v>#REF!</v>
      </c>
      <c r="G36" s="86" t="str">
        <f t="shared" si="13"/>
        <v>#REF!</v>
      </c>
      <c r="H36" s="86" t="str">
        <f t="shared" si="14"/>
        <v>#REF!</v>
      </c>
      <c r="I36" s="86" t="str">
        <f t="shared" si="15"/>
        <v>#REF!</v>
      </c>
    </row>
    <row r="37">
      <c r="B37" s="86" t="str">
        <f t="shared" si="1"/>
        <v>#REF!</v>
      </c>
      <c r="C37" s="86" t="str">
        <f t="shared" si="9"/>
        <v>#REF!</v>
      </c>
      <c r="D37" s="86" t="str">
        <f t="shared" si="10"/>
        <v>#REF!</v>
      </c>
      <c r="E37" s="86" t="str">
        <f t="shared" si="11"/>
        <v>#REF!</v>
      </c>
      <c r="F37" s="86" t="str">
        <f t="shared" si="12"/>
        <v>#REF!</v>
      </c>
      <c r="G37" s="86" t="str">
        <f t="shared" si="13"/>
        <v>#REF!</v>
      </c>
      <c r="H37" s="86" t="str">
        <f t="shared" si="14"/>
        <v>#REF!</v>
      </c>
      <c r="I37" s="86" t="str">
        <f t="shared" si="15"/>
        <v>#REF!</v>
      </c>
    </row>
    <row r="38">
      <c r="B38" s="86" t="str">
        <f t="shared" si="1"/>
        <v>#REF!</v>
      </c>
      <c r="C38" s="86" t="str">
        <f t="shared" si="9"/>
        <v>#REF!</v>
      </c>
      <c r="D38" s="86" t="str">
        <f t="shared" si="10"/>
        <v>#REF!</v>
      </c>
      <c r="E38" s="86" t="str">
        <f t="shared" si="11"/>
        <v>#REF!</v>
      </c>
      <c r="F38" s="86" t="str">
        <f t="shared" si="12"/>
        <v>#REF!</v>
      </c>
      <c r="G38" s="86" t="str">
        <f t="shared" si="13"/>
        <v>#REF!</v>
      </c>
      <c r="H38" s="86" t="str">
        <f t="shared" si="14"/>
        <v>#REF!</v>
      </c>
      <c r="I38" s="86" t="str">
        <f t="shared" si="15"/>
        <v>#REF!</v>
      </c>
    </row>
    <row r="39">
      <c r="B39" s="86" t="str">
        <f t="shared" si="1"/>
        <v>#REF!</v>
      </c>
      <c r="C39" s="86" t="str">
        <f t="shared" si="9"/>
        <v>#REF!</v>
      </c>
      <c r="D39" s="86" t="str">
        <f t="shared" si="10"/>
        <v>#REF!</v>
      </c>
      <c r="E39" s="86" t="str">
        <f t="shared" si="11"/>
        <v>#REF!</v>
      </c>
      <c r="F39" s="86" t="str">
        <f t="shared" si="12"/>
        <v>#REF!</v>
      </c>
      <c r="G39" s="86" t="str">
        <f t="shared" si="13"/>
        <v>#REF!</v>
      </c>
      <c r="H39" s="86" t="str">
        <f t="shared" si="14"/>
        <v>#REF!</v>
      </c>
      <c r="I39" s="86" t="str">
        <f t="shared" si="15"/>
        <v>#REF!</v>
      </c>
    </row>
    <row r="40">
      <c r="B40" s="86" t="str">
        <f t="shared" si="1"/>
        <v>#REF!</v>
      </c>
      <c r="C40" s="86" t="str">
        <f t="shared" si="9"/>
        <v>#REF!</v>
      </c>
      <c r="D40" s="86" t="str">
        <f t="shared" si="10"/>
        <v>#REF!</v>
      </c>
      <c r="E40" s="86" t="str">
        <f t="shared" si="11"/>
        <v>#REF!</v>
      </c>
      <c r="F40" s="86" t="str">
        <f t="shared" si="12"/>
        <v>#REF!</v>
      </c>
      <c r="G40" s="86" t="str">
        <f t="shared" si="13"/>
        <v>#REF!</v>
      </c>
      <c r="H40" s="86" t="str">
        <f t="shared" si="14"/>
        <v>#REF!</v>
      </c>
      <c r="I40" s="86" t="str">
        <f t="shared" si="15"/>
        <v>#REF!</v>
      </c>
    </row>
    <row r="41">
      <c r="B41" s="86" t="str">
        <f t="shared" si="1"/>
        <v>#REF!</v>
      </c>
      <c r="C41" s="86" t="str">
        <f t="shared" si="9"/>
        <v>#REF!</v>
      </c>
      <c r="D41" s="86" t="str">
        <f t="shared" si="10"/>
        <v>#REF!</v>
      </c>
      <c r="E41" s="86" t="str">
        <f t="shared" si="11"/>
        <v>#REF!</v>
      </c>
      <c r="F41" s="86" t="str">
        <f t="shared" si="12"/>
        <v>#REF!</v>
      </c>
      <c r="G41" s="86" t="str">
        <f t="shared" si="13"/>
        <v>#REF!</v>
      </c>
      <c r="H41" s="86" t="str">
        <f t="shared" si="14"/>
        <v>#REF!</v>
      </c>
      <c r="I41" s="86" t="str">
        <f t="shared" si="15"/>
        <v>#REF!</v>
      </c>
    </row>
    <row r="42">
      <c r="B42" s="86" t="str">
        <f t="shared" si="1"/>
        <v>#REF!</v>
      </c>
      <c r="C42" s="86" t="str">
        <f t="shared" si="9"/>
        <v>#REF!</v>
      </c>
      <c r="D42" s="86" t="str">
        <f t="shared" si="10"/>
        <v>#REF!</v>
      </c>
      <c r="E42" s="86" t="str">
        <f t="shared" si="11"/>
        <v>#REF!</v>
      </c>
      <c r="F42" s="86" t="str">
        <f t="shared" si="12"/>
        <v>#REF!</v>
      </c>
      <c r="G42" s="86" t="str">
        <f t="shared" si="13"/>
        <v>#REF!</v>
      </c>
      <c r="H42" s="86" t="str">
        <f t="shared" si="14"/>
        <v>#REF!</v>
      </c>
      <c r="I42" s="86" t="str">
        <f t="shared" si="15"/>
        <v>#REF!</v>
      </c>
    </row>
    <row r="43">
      <c r="B43" s="86" t="str">
        <f t="shared" si="1"/>
        <v>#REF!</v>
      </c>
      <c r="C43" s="86" t="str">
        <f t="shared" si="9"/>
        <v>#REF!</v>
      </c>
      <c r="D43" s="86" t="str">
        <f t="shared" si="10"/>
        <v>#REF!</v>
      </c>
      <c r="E43" s="86" t="str">
        <f t="shared" si="11"/>
        <v>#REF!</v>
      </c>
      <c r="F43" s="86" t="str">
        <f t="shared" si="12"/>
        <v>#REF!</v>
      </c>
      <c r="G43" s="86" t="str">
        <f t="shared" si="13"/>
        <v>#REF!</v>
      </c>
      <c r="H43" s="86" t="str">
        <f t="shared" si="14"/>
        <v>#REF!</v>
      </c>
      <c r="I43" s="86" t="str">
        <f t="shared" si="15"/>
        <v>#REF!</v>
      </c>
    </row>
    <row r="44">
      <c r="B44" s="86" t="str">
        <f t="shared" si="1"/>
        <v>#REF!</v>
      </c>
      <c r="C44" s="86" t="str">
        <f t="shared" si="9"/>
        <v>#REF!</v>
      </c>
      <c r="D44" s="86" t="str">
        <f t="shared" si="10"/>
        <v>#REF!</v>
      </c>
      <c r="E44" s="86" t="str">
        <f t="shared" si="11"/>
        <v>#REF!</v>
      </c>
      <c r="F44" s="86" t="str">
        <f t="shared" si="12"/>
        <v>#REF!</v>
      </c>
      <c r="G44" s="86" t="str">
        <f t="shared" si="13"/>
        <v>#REF!</v>
      </c>
      <c r="H44" s="86" t="str">
        <f t="shared" si="14"/>
        <v>#REF!</v>
      </c>
      <c r="I44" s="86" t="str">
        <f t="shared" si="15"/>
        <v>#REF!</v>
      </c>
    </row>
    <row r="45">
      <c r="B45" s="86" t="str">
        <f t="shared" si="1"/>
        <v>#REF!</v>
      </c>
      <c r="C45" s="86" t="str">
        <f t="shared" si="9"/>
        <v>#REF!</v>
      </c>
      <c r="D45" s="86" t="str">
        <f t="shared" si="10"/>
        <v>#REF!</v>
      </c>
      <c r="E45" s="86" t="str">
        <f t="shared" si="11"/>
        <v>#REF!</v>
      </c>
      <c r="F45" s="86" t="str">
        <f t="shared" si="12"/>
        <v>#REF!</v>
      </c>
      <c r="G45" s="86" t="str">
        <f t="shared" si="13"/>
        <v>#REF!</v>
      </c>
      <c r="H45" s="86" t="str">
        <f t="shared" si="14"/>
        <v>#REF!</v>
      </c>
      <c r="I45" s="86" t="str">
        <f t="shared" si="15"/>
        <v>#REF!</v>
      </c>
    </row>
    <row r="46">
      <c r="B46" s="86" t="str">
        <f t="shared" si="1"/>
        <v>#REF!</v>
      </c>
      <c r="C46" s="86" t="str">
        <f t="shared" si="9"/>
        <v>#REF!</v>
      </c>
      <c r="D46" s="86" t="str">
        <f t="shared" si="10"/>
        <v>#REF!</v>
      </c>
      <c r="E46" s="86" t="str">
        <f t="shared" si="11"/>
        <v>#REF!</v>
      </c>
      <c r="F46" s="86" t="str">
        <f t="shared" si="12"/>
        <v>#REF!</v>
      </c>
      <c r="G46" s="86" t="str">
        <f t="shared" si="13"/>
        <v>#REF!</v>
      </c>
      <c r="H46" s="86" t="str">
        <f t="shared" si="14"/>
        <v>#REF!</v>
      </c>
      <c r="I46" s="86" t="str">
        <f t="shared" si="15"/>
        <v>#REF!</v>
      </c>
    </row>
    <row r="47">
      <c r="B47" s="86" t="str">
        <f t="shared" si="1"/>
        <v>#REF!</v>
      </c>
      <c r="C47" s="86" t="str">
        <f t="shared" si="9"/>
        <v>#REF!</v>
      </c>
      <c r="D47" s="86" t="str">
        <f t="shared" si="10"/>
        <v>#REF!</v>
      </c>
      <c r="E47" s="86" t="str">
        <f t="shared" si="11"/>
        <v>#REF!</v>
      </c>
      <c r="F47" s="86" t="str">
        <f t="shared" si="12"/>
        <v>#REF!</v>
      </c>
      <c r="G47" s="86" t="str">
        <f t="shared" si="13"/>
        <v>#REF!</v>
      </c>
      <c r="H47" s="86" t="str">
        <f t="shared" si="14"/>
        <v>#REF!</v>
      </c>
      <c r="I47" s="86" t="str">
        <f t="shared" si="15"/>
        <v>#REF!</v>
      </c>
    </row>
    <row r="48">
      <c r="B48" s="86" t="str">
        <f t="shared" si="1"/>
        <v>#REF!</v>
      </c>
      <c r="C48" s="86" t="str">
        <f t="shared" si="9"/>
        <v>#REF!</v>
      </c>
      <c r="D48" s="86" t="str">
        <f t="shared" si="10"/>
        <v>#REF!</v>
      </c>
      <c r="E48" s="86" t="str">
        <f t="shared" si="11"/>
        <v>#REF!</v>
      </c>
      <c r="F48" s="86" t="str">
        <f t="shared" si="12"/>
        <v>#REF!</v>
      </c>
      <c r="G48" s="86" t="str">
        <f t="shared" si="13"/>
        <v>#REF!</v>
      </c>
      <c r="H48" s="86" t="str">
        <f t="shared" si="14"/>
        <v>#REF!</v>
      </c>
      <c r="I48" s="86" t="str">
        <f t="shared" si="15"/>
        <v>#REF!</v>
      </c>
    </row>
    <row r="49">
      <c r="B49" s="86" t="str">
        <f t="shared" si="1"/>
        <v>#REF!</v>
      </c>
      <c r="C49" s="86" t="str">
        <f t="shared" si="9"/>
        <v>#REF!</v>
      </c>
      <c r="D49" s="86" t="str">
        <f t="shared" si="10"/>
        <v>#REF!</v>
      </c>
      <c r="E49" s="86" t="str">
        <f t="shared" si="11"/>
        <v>#REF!</v>
      </c>
      <c r="F49" s="86" t="str">
        <f t="shared" si="12"/>
        <v>#REF!</v>
      </c>
      <c r="G49" s="86" t="str">
        <f t="shared" si="13"/>
        <v>#REF!</v>
      </c>
      <c r="H49" s="86" t="str">
        <f t="shared" si="14"/>
        <v>#REF!</v>
      </c>
      <c r="I49" s="86" t="str">
        <f t="shared" si="15"/>
        <v>#REF!</v>
      </c>
    </row>
    <row r="50">
      <c r="B50" s="86" t="str">
        <f t="shared" si="1"/>
        <v>#REF!</v>
      </c>
      <c r="C50" s="86" t="str">
        <f t="shared" si="9"/>
        <v>#REF!</v>
      </c>
      <c r="D50" s="86" t="str">
        <f t="shared" si="10"/>
        <v>#REF!</v>
      </c>
      <c r="E50" s="86" t="str">
        <f t="shared" si="11"/>
        <v>#REF!</v>
      </c>
      <c r="F50" s="86" t="str">
        <f t="shared" si="12"/>
        <v>#REF!</v>
      </c>
      <c r="G50" s="86" t="str">
        <f t="shared" si="13"/>
        <v>#REF!</v>
      </c>
      <c r="H50" s="86" t="str">
        <f t="shared" si="14"/>
        <v>#REF!</v>
      </c>
      <c r="I50" s="86" t="str">
        <f t="shared" si="15"/>
        <v>#REF!</v>
      </c>
    </row>
    <row r="51">
      <c r="B51" s="86" t="str">
        <f t="shared" si="1"/>
        <v>#REF!</v>
      </c>
      <c r="C51" s="86" t="str">
        <f t="shared" si="9"/>
        <v>#REF!</v>
      </c>
      <c r="D51" s="86" t="str">
        <f t="shared" si="10"/>
        <v>#REF!</v>
      </c>
      <c r="E51" s="86" t="str">
        <f t="shared" si="11"/>
        <v>#REF!</v>
      </c>
      <c r="F51" s="86" t="str">
        <f t="shared" si="12"/>
        <v>#REF!</v>
      </c>
      <c r="G51" s="86" t="str">
        <f t="shared" si="13"/>
        <v>#REF!</v>
      </c>
      <c r="H51" s="86" t="str">
        <f t="shared" si="14"/>
        <v>#REF!</v>
      </c>
      <c r="I51" s="86" t="str">
        <f t="shared" si="15"/>
        <v>#REF!</v>
      </c>
    </row>
    <row r="52">
      <c r="B52" s="86" t="str">
        <f t="shared" si="1"/>
        <v>#REF!</v>
      </c>
      <c r="C52" s="86" t="str">
        <f t="shared" si="9"/>
        <v>#REF!</v>
      </c>
      <c r="D52" s="86" t="str">
        <f t="shared" si="10"/>
        <v>#REF!</v>
      </c>
      <c r="E52" s="86" t="str">
        <f t="shared" si="11"/>
        <v>#REF!</v>
      </c>
      <c r="F52" s="86" t="str">
        <f t="shared" si="12"/>
        <v>#REF!</v>
      </c>
      <c r="G52" s="86" t="str">
        <f t="shared" si="13"/>
        <v>#REF!</v>
      </c>
      <c r="H52" s="86" t="str">
        <f t="shared" si="14"/>
        <v>#REF!</v>
      </c>
      <c r="I52" s="86" t="str">
        <f t="shared" si="15"/>
        <v>#REF!</v>
      </c>
    </row>
    <row r="53">
      <c r="B53" s="86" t="str">
        <f t="shared" si="1"/>
        <v>#REF!</v>
      </c>
      <c r="C53" s="86" t="str">
        <f t="shared" si="9"/>
        <v>#REF!</v>
      </c>
      <c r="D53" s="86" t="str">
        <f t="shared" si="10"/>
        <v>#REF!</v>
      </c>
      <c r="E53" s="86" t="str">
        <f t="shared" si="11"/>
        <v>#REF!</v>
      </c>
      <c r="F53" s="86" t="str">
        <f t="shared" si="12"/>
        <v>#REF!</v>
      </c>
      <c r="G53" s="86" t="str">
        <f t="shared" si="13"/>
        <v>#REF!</v>
      </c>
      <c r="H53" s="86" t="str">
        <f t="shared" si="14"/>
        <v>#REF!</v>
      </c>
      <c r="I53" s="86" t="str">
        <f t="shared" si="15"/>
        <v>#REF!</v>
      </c>
    </row>
    <row r="54">
      <c r="B54" s="86" t="str">
        <f t="shared" si="1"/>
        <v>#REF!</v>
      </c>
      <c r="C54" s="86" t="str">
        <f t="shared" si="9"/>
        <v>#REF!</v>
      </c>
      <c r="D54" s="86" t="str">
        <f t="shared" si="10"/>
        <v>#REF!</v>
      </c>
      <c r="E54" s="86" t="str">
        <f t="shared" si="11"/>
        <v>#REF!</v>
      </c>
      <c r="F54" s="86" t="str">
        <f t="shared" si="12"/>
        <v>#REF!</v>
      </c>
      <c r="G54" s="86" t="str">
        <f t="shared" si="13"/>
        <v>#REF!</v>
      </c>
      <c r="H54" s="86" t="str">
        <f t="shared" si="14"/>
        <v>#REF!</v>
      </c>
      <c r="I54" s="86" t="str">
        <f t="shared" si="15"/>
        <v>#REF!</v>
      </c>
    </row>
    <row r="55">
      <c r="B55" s="86" t="str">
        <f t="shared" si="1"/>
        <v>#REF!</v>
      </c>
      <c r="C55" s="86" t="str">
        <f t="shared" si="9"/>
        <v>#REF!</v>
      </c>
      <c r="D55" s="86" t="str">
        <f t="shared" si="10"/>
        <v>#REF!</v>
      </c>
      <c r="E55" s="86" t="str">
        <f t="shared" si="11"/>
        <v>#REF!</v>
      </c>
      <c r="F55" s="86" t="str">
        <f t="shared" si="12"/>
        <v>#REF!</v>
      </c>
      <c r="G55" s="86" t="str">
        <f t="shared" si="13"/>
        <v>#REF!</v>
      </c>
      <c r="H55" s="86" t="str">
        <f t="shared" si="14"/>
        <v>#REF!</v>
      </c>
      <c r="I55" s="86" t="str">
        <f t="shared" si="15"/>
        <v>#REF!</v>
      </c>
    </row>
    <row r="56">
      <c r="B56" s="86" t="str">
        <f t="shared" si="1"/>
        <v>#REF!</v>
      </c>
      <c r="C56" s="86" t="str">
        <f t="shared" si="9"/>
        <v>#REF!</v>
      </c>
      <c r="D56" s="86" t="str">
        <f t="shared" si="10"/>
        <v>#REF!</v>
      </c>
      <c r="E56" s="86" t="str">
        <f t="shared" si="11"/>
        <v>#REF!</v>
      </c>
      <c r="F56" s="86" t="str">
        <f t="shared" si="12"/>
        <v>#REF!</v>
      </c>
      <c r="G56" s="86" t="str">
        <f t="shared" si="13"/>
        <v>#REF!</v>
      </c>
      <c r="H56" s="86" t="str">
        <f t="shared" si="14"/>
        <v>#REF!</v>
      </c>
      <c r="I56" s="86" t="str">
        <f t="shared" si="15"/>
        <v>#REF!</v>
      </c>
    </row>
    <row r="57">
      <c r="B57" s="86" t="str">
        <f t="shared" si="1"/>
        <v>#REF!</v>
      </c>
      <c r="C57" s="86" t="str">
        <f t="shared" si="9"/>
        <v>#REF!</v>
      </c>
      <c r="D57" s="86" t="str">
        <f t="shared" si="10"/>
        <v>#REF!</v>
      </c>
      <c r="E57" s="86" t="str">
        <f t="shared" si="11"/>
        <v>#REF!</v>
      </c>
      <c r="F57" s="86" t="str">
        <f t="shared" si="12"/>
        <v>#REF!</v>
      </c>
      <c r="G57" s="86" t="str">
        <f t="shared" si="13"/>
        <v>#REF!</v>
      </c>
      <c r="H57" s="86" t="str">
        <f t="shared" si="14"/>
        <v>#REF!</v>
      </c>
      <c r="I57" s="86" t="str">
        <f t="shared" si="15"/>
        <v>#REF!</v>
      </c>
    </row>
    <row r="58">
      <c r="B58" s="86" t="str">
        <f t="shared" si="1"/>
        <v>#REF!</v>
      </c>
      <c r="C58" s="86" t="str">
        <f t="shared" si="9"/>
        <v>#REF!</v>
      </c>
      <c r="D58" s="86" t="str">
        <f t="shared" si="10"/>
        <v>#REF!</v>
      </c>
      <c r="E58" s="86" t="str">
        <f t="shared" si="11"/>
        <v>#REF!</v>
      </c>
      <c r="F58" s="86" t="str">
        <f t="shared" si="12"/>
        <v>#REF!</v>
      </c>
      <c r="G58" s="86" t="str">
        <f t="shared" si="13"/>
        <v>#REF!</v>
      </c>
      <c r="H58" s="86" t="str">
        <f t="shared" si="14"/>
        <v>#REF!</v>
      </c>
      <c r="I58" s="86" t="str">
        <f t="shared" si="15"/>
        <v>#REF!</v>
      </c>
    </row>
    <row r="59">
      <c r="B59" s="86" t="str">
        <f t="shared" si="1"/>
        <v>#REF!</v>
      </c>
      <c r="C59" s="86" t="str">
        <f t="shared" si="9"/>
        <v>#REF!</v>
      </c>
      <c r="D59" s="86" t="str">
        <f t="shared" si="10"/>
        <v>#REF!</v>
      </c>
      <c r="E59" s="86" t="str">
        <f t="shared" si="11"/>
        <v>#REF!</v>
      </c>
      <c r="F59" s="86" t="str">
        <f t="shared" si="12"/>
        <v>#REF!</v>
      </c>
      <c r="G59" s="86" t="str">
        <f t="shared" si="13"/>
        <v>#REF!</v>
      </c>
      <c r="H59" s="86" t="str">
        <f t="shared" si="14"/>
        <v>#REF!</v>
      </c>
      <c r="I59" s="86" t="str">
        <f t="shared" si="15"/>
        <v>#REF!</v>
      </c>
    </row>
    <row r="60">
      <c r="B60" s="86" t="str">
        <f t="shared" si="1"/>
        <v>#REF!</v>
      </c>
      <c r="C60" s="86" t="str">
        <f t="shared" si="9"/>
        <v>#REF!</v>
      </c>
      <c r="D60" s="86" t="str">
        <f t="shared" si="10"/>
        <v>#REF!</v>
      </c>
      <c r="E60" s="86" t="str">
        <f t="shared" si="11"/>
        <v>#REF!</v>
      </c>
      <c r="F60" s="86" t="str">
        <f t="shared" si="12"/>
        <v>#REF!</v>
      </c>
      <c r="G60" s="86" t="str">
        <f t="shared" si="13"/>
        <v>#REF!</v>
      </c>
      <c r="H60" s="86" t="str">
        <f t="shared" si="14"/>
        <v>#REF!</v>
      </c>
      <c r="I60" s="86" t="str">
        <f t="shared" si="15"/>
        <v>#REF!</v>
      </c>
    </row>
    <row r="61">
      <c r="B61" s="86" t="str">
        <f t="shared" si="1"/>
        <v>#REF!</v>
      </c>
      <c r="C61" s="86" t="str">
        <f t="shared" si="9"/>
        <v>#REF!</v>
      </c>
      <c r="D61" s="86" t="str">
        <f t="shared" si="10"/>
        <v>#REF!</v>
      </c>
      <c r="E61" s="86" t="str">
        <f t="shared" si="11"/>
        <v>#REF!</v>
      </c>
      <c r="F61" s="86" t="str">
        <f t="shared" si="12"/>
        <v>#REF!</v>
      </c>
      <c r="G61" s="86" t="str">
        <f t="shared" si="13"/>
        <v>#REF!</v>
      </c>
      <c r="H61" s="86" t="str">
        <f t="shared" si="14"/>
        <v>#REF!</v>
      </c>
      <c r="I61" s="86" t="str">
        <f t="shared" si="15"/>
        <v>#REF!</v>
      </c>
    </row>
    <row r="62">
      <c r="B62" s="86" t="str">
        <f t="shared" si="1"/>
        <v>#REF!</v>
      </c>
      <c r="C62" s="86" t="str">
        <f t="shared" si="9"/>
        <v>#REF!</v>
      </c>
      <c r="D62" s="86" t="str">
        <f t="shared" si="10"/>
        <v>#REF!</v>
      </c>
      <c r="E62" s="86" t="str">
        <f t="shared" si="11"/>
        <v>#REF!</v>
      </c>
      <c r="F62" s="86" t="str">
        <f t="shared" si="12"/>
        <v>#REF!</v>
      </c>
      <c r="G62" s="86" t="str">
        <f t="shared" si="13"/>
        <v>#REF!</v>
      </c>
      <c r="H62" s="86" t="str">
        <f t="shared" si="14"/>
        <v>#REF!</v>
      </c>
      <c r="I62" s="86" t="str">
        <f t="shared" si="15"/>
        <v>#REF!</v>
      </c>
    </row>
    <row r="63">
      <c r="B63" s="86" t="str">
        <f t="shared" si="1"/>
        <v>#REF!</v>
      </c>
      <c r="C63" s="86" t="str">
        <f t="shared" si="9"/>
        <v>#REF!</v>
      </c>
      <c r="D63" s="86" t="str">
        <f t="shared" si="10"/>
        <v>#REF!</v>
      </c>
      <c r="E63" s="86" t="str">
        <f t="shared" si="11"/>
        <v>#REF!</v>
      </c>
      <c r="F63" s="86" t="str">
        <f t="shared" si="12"/>
        <v>#REF!</v>
      </c>
      <c r="G63" s="86" t="str">
        <f t="shared" si="13"/>
        <v>#REF!</v>
      </c>
      <c r="H63" s="86" t="str">
        <f t="shared" si="14"/>
        <v>#REF!</v>
      </c>
      <c r="I63" s="86" t="str">
        <f t="shared" si="15"/>
        <v>#REF!</v>
      </c>
    </row>
    <row r="64">
      <c r="B64" s="86" t="str">
        <f t="shared" si="1"/>
        <v>#REF!</v>
      </c>
      <c r="C64" s="86" t="str">
        <f t="shared" si="9"/>
        <v>#REF!</v>
      </c>
      <c r="D64" s="86" t="str">
        <f t="shared" si="10"/>
        <v>#REF!</v>
      </c>
      <c r="E64" s="86" t="str">
        <f t="shared" si="11"/>
        <v>#REF!</v>
      </c>
      <c r="F64" s="86" t="str">
        <f t="shared" si="12"/>
        <v>#REF!</v>
      </c>
      <c r="G64" s="86" t="str">
        <f t="shared" si="13"/>
        <v>#REF!</v>
      </c>
      <c r="H64" s="86" t="str">
        <f t="shared" si="14"/>
        <v>#REF!</v>
      </c>
      <c r="I64" s="86" t="str">
        <f t="shared" si="15"/>
        <v>#REF!</v>
      </c>
    </row>
    <row r="65">
      <c r="B65" s="86" t="str">
        <f t="shared" si="1"/>
        <v>#REF!</v>
      </c>
      <c r="C65" s="86" t="str">
        <f t="shared" si="9"/>
        <v>#REF!</v>
      </c>
      <c r="D65" s="86" t="str">
        <f t="shared" si="10"/>
        <v>#REF!</v>
      </c>
      <c r="E65" s="86" t="str">
        <f t="shared" si="11"/>
        <v>#REF!</v>
      </c>
      <c r="F65" s="86" t="str">
        <f t="shared" si="12"/>
        <v>#REF!</v>
      </c>
      <c r="G65" s="86" t="str">
        <f t="shared" si="13"/>
        <v>#REF!</v>
      </c>
      <c r="H65" s="86" t="str">
        <f t="shared" si="14"/>
        <v>#REF!</v>
      </c>
      <c r="I65" s="86" t="str">
        <f t="shared" si="15"/>
        <v>#REF!</v>
      </c>
    </row>
    <row r="66">
      <c r="B66" s="86" t="str">
        <f t="shared" si="1"/>
        <v>#REF!</v>
      </c>
      <c r="C66" s="86" t="str">
        <f t="shared" si="9"/>
        <v>#REF!</v>
      </c>
      <c r="D66" s="86" t="str">
        <f t="shared" si="10"/>
        <v>#REF!</v>
      </c>
      <c r="E66" s="86" t="str">
        <f t="shared" si="11"/>
        <v>#REF!</v>
      </c>
      <c r="F66" s="86" t="str">
        <f t="shared" si="12"/>
        <v>#REF!</v>
      </c>
      <c r="G66" s="86" t="str">
        <f t="shared" si="13"/>
        <v>#REF!</v>
      </c>
      <c r="H66" s="86" t="str">
        <f t="shared" si="14"/>
        <v>#REF!</v>
      </c>
      <c r="I66" s="86" t="str">
        <f t="shared" si="15"/>
        <v>#REF!</v>
      </c>
    </row>
    <row r="67">
      <c r="B67" s="86" t="str">
        <f t="shared" si="1"/>
        <v>#REF!</v>
      </c>
      <c r="C67" s="86" t="str">
        <f t="shared" si="9"/>
        <v>#REF!</v>
      </c>
      <c r="D67" s="86" t="str">
        <f t="shared" si="10"/>
        <v>#REF!</v>
      </c>
      <c r="E67" s="86" t="str">
        <f t="shared" si="11"/>
        <v>#REF!</v>
      </c>
      <c r="F67" s="86" t="str">
        <f t="shared" si="12"/>
        <v>#REF!</v>
      </c>
      <c r="G67" s="86" t="str">
        <f t="shared" si="13"/>
        <v>#REF!</v>
      </c>
      <c r="H67" s="86" t="str">
        <f t="shared" si="14"/>
        <v>#REF!</v>
      </c>
      <c r="I67" s="86" t="str">
        <f t="shared" si="15"/>
        <v>#REF!</v>
      </c>
    </row>
    <row r="68">
      <c r="B68" s="86" t="str">
        <f t="shared" si="1"/>
        <v>#REF!</v>
      </c>
      <c r="C68" s="86" t="str">
        <f t="shared" si="9"/>
        <v>#REF!</v>
      </c>
      <c r="D68" s="86" t="str">
        <f t="shared" si="10"/>
        <v>#REF!</v>
      </c>
      <c r="E68" s="86" t="str">
        <f t="shared" si="11"/>
        <v>#REF!</v>
      </c>
      <c r="F68" s="86" t="str">
        <f t="shared" si="12"/>
        <v>#REF!</v>
      </c>
      <c r="G68" s="86" t="str">
        <f t="shared" si="13"/>
        <v>#REF!</v>
      </c>
      <c r="H68" s="86" t="str">
        <f t="shared" si="14"/>
        <v>#REF!</v>
      </c>
      <c r="I68" s="86" t="str">
        <f t="shared" si="15"/>
        <v>#REF!</v>
      </c>
    </row>
    <row r="69">
      <c r="B69" s="86" t="str">
        <f t="shared" si="1"/>
        <v>#REF!</v>
      </c>
      <c r="C69" s="86" t="str">
        <f t="shared" si="9"/>
        <v>#REF!</v>
      </c>
      <c r="D69" s="86" t="str">
        <f t="shared" si="10"/>
        <v>#REF!</v>
      </c>
      <c r="E69" s="86" t="str">
        <f t="shared" si="11"/>
        <v>#REF!</v>
      </c>
      <c r="F69" s="86" t="str">
        <f t="shared" si="12"/>
        <v>#REF!</v>
      </c>
      <c r="G69" s="86" t="str">
        <f t="shared" si="13"/>
        <v>#REF!</v>
      </c>
      <c r="H69" s="86" t="str">
        <f t="shared" si="14"/>
        <v>#REF!</v>
      </c>
      <c r="I69" s="86" t="str">
        <f t="shared" si="15"/>
        <v>#REF!</v>
      </c>
    </row>
    <row r="70">
      <c r="B70" s="86" t="str">
        <f t="shared" si="1"/>
        <v>#REF!</v>
      </c>
      <c r="C70" s="86" t="str">
        <f t="shared" si="9"/>
        <v>#REF!</v>
      </c>
      <c r="D70" s="86" t="str">
        <f t="shared" si="10"/>
        <v>#REF!</v>
      </c>
      <c r="E70" s="86" t="str">
        <f t="shared" si="11"/>
        <v>#REF!</v>
      </c>
      <c r="F70" s="86" t="str">
        <f t="shared" si="12"/>
        <v>#REF!</v>
      </c>
      <c r="G70" s="86" t="str">
        <f t="shared" si="13"/>
        <v>#REF!</v>
      </c>
      <c r="H70" s="86" t="str">
        <f t="shared" si="14"/>
        <v>#REF!</v>
      </c>
      <c r="I70" s="86" t="str">
        <f t="shared" si="15"/>
        <v>#REF!</v>
      </c>
    </row>
    <row r="71">
      <c r="B71" s="86" t="str">
        <f t="shared" si="1"/>
        <v>#REF!</v>
      </c>
      <c r="C71" s="86" t="str">
        <f t="shared" si="9"/>
        <v>#REF!</v>
      </c>
      <c r="D71" s="86" t="str">
        <f t="shared" si="10"/>
        <v>#REF!</v>
      </c>
      <c r="E71" s="86" t="str">
        <f t="shared" si="11"/>
        <v>#REF!</v>
      </c>
      <c r="F71" s="86" t="str">
        <f t="shared" si="12"/>
        <v>#REF!</v>
      </c>
      <c r="G71" s="86" t="str">
        <f t="shared" si="13"/>
        <v>#REF!</v>
      </c>
      <c r="H71" s="86" t="str">
        <f t="shared" si="14"/>
        <v>#REF!</v>
      </c>
      <c r="I71" s="86" t="str">
        <f t="shared" si="15"/>
        <v>#REF!</v>
      </c>
    </row>
    <row r="72">
      <c r="B72" s="86" t="str">
        <f t="shared" si="1"/>
        <v>#REF!</v>
      </c>
      <c r="C72" s="86" t="str">
        <f t="shared" si="9"/>
        <v>#REF!</v>
      </c>
      <c r="D72" s="86" t="str">
        <f t="shared" si="10"/>
        <v>#REF!</v>
      </c>
      <c r="E72" s="86" t="str">
        <f t="shared" si="11"/>
        <v>#REF!</v>
      </c>
      <c r="F72" s="86" t="str">
        <f t="shared" si="12"/>
        <v>#REF!</v>
      </c>
      <c r="G72" s="86" t="str">
        <f t="shared" si="13"/>
        <v>#REF!</v>
      </c>
      <c r="H72" s="86" t="str">
        <f t="shared" si="14"/>
        <v>#REF!</v>
      </c>
      <c r="I72" s="86" t="str">
        <f t="shared" si="15"/>
        <v>#REF!</v>
      </c>
    </row>
    <row r="73">
      <c r="B73" s="86" t="str">
        <f t="shared" si="1"/>
        <v>#REF!</v>
      </c>
      <c r="C73" s="86" t="str">
        <f t="shared" si="9"/>
        <v>#REF!</v>
      </c>
      <c r="D73" s="86" t="str">
        <f t="shared" si="10"/>
        <v>#REF!</v>
      </c>
      <c r="E73" s="86" t="str">
        <f t="shared" si="11"/>
        <v>#REF!</v>
      </c>
      <c r="F73" s="86" t="str">
        <f t="shared" si="12"/>
        <v>#REF!</v>
      </c>
      <c r="G73" s="86" t="str">
        <f t="shared" si="13"/>
        <v>#REF!</v>
      </c>
      <c r="H73" s="86" t="str">
        <f t="shared" si="14"/>
        <v>#REF!</v>
      </c>
      <c r="I73" s="86" t="str">
        <f t="shared" si="15"/>
        <v>#REF!</v>
      </c>
    </row>
    <row r="74">
      <c r="B74" s="86" t="str">
        <f t="shared" si="1"/>
        <v>#REF!</v>
      </c>
      <c r="C74" s="86" t="str">
        <f t="shared" si="9"/>
        <v>#REF!</v>
      </c>
      <c r="D74" s="86" t="str">
        <f t="shared" si="10"/>
        <v>#REF!</v>
      </c>
      <c r="E74" s="86" t="str">
        <f t="shared" si="11"/>
        <v>#REF!</v>
      </c>
      <c r="F74" s="86" t="str">
        <f t="shared" si="12"/>
        <v>#REF!</v>
      </c>
      <c r="G74" s="86" t="str">
        <f t="shared" si="13"/>
        <v>#REF!</v>
      </c>
      <c r="H74" s="86" t="str">
        <f t="shared" si="14"/>
        <v>#REF!</v>
      </c>
      <c r="I74" s="86" t="str">
        <f t="shared" si="15"/>
        <v>#REF!</v>
      </c>
    </row>
    <row r="75">
      <c r="B75" s="86" t="str">
        <f t="shared" si="1"/>
        <v>#REF!</v>
      </c>
      <c r="C75" s="86" t="str">
        <f t="shared" si="9"/>
        <v>#REF!</v>
      </c>
      <c r="D75" s="86" t="str">
        <f t="shared" si="10"/>
        <v>#REF!</v>
      </c>
      <c r="E75" s="86" t="str">
        <f t="shared" si="11"/>
        <v>#REF!</v>
      </c>
      <c r="F75" s="86" t="str">
        <f t="shared" si="12"/>
        <v>#REF!</v>
      </c>
      <c r="G75" s="86" t="str">
        <f t="shared" si="13"/>
        <v>#REF!</v>
      </c>
      <c r="H75" s="86" t="str">
        <f t="shared" si="14"/>
        <v>#REF!</v>
      </c>
      <c r="I75" s="86" t="str">
        <f t="shared" si="15"/>
        <v>#REF!</v>
      </c>
    </row>
    <row r="76">
      <c r="B76" s="86" t="str">
        <f t="shared" si="1"/>
        <v>#REF!</v>
      </c>
      <c r="C76" s="86" t="str">
        <f t="shared" si="9"/>
        <v>#REF!</v>
      </c>
      <c r="D76" s="86" t="str">
        <f t="shared" si="10"/>
        <v>#REF!</v>
      </c>
      <c r="E76" s="86" t="str">
        <f t="shared" si="11"/>
        <v>#REF!</v>
      </c>
      <c r="F76" s="86" t="str">
        <f t="shared" si="12"/>
        <v>#REF!</v>
      </c>
      <c r="G76" s="86" t="str">
        <f t="shared" si="13"/>
        <v>#REF!</v>
      </c>
      <c r="H76" s="86" t="str">
        <f t="shared" si="14"/>
        <v>#REF!</v>
      </c>
      <c r="I76" s="86" t="str">
        <f t="shared" si="15"/>
        <v>#REF!</v>
      </c>
    </row>
    <row r="77">
      <c r="B77" s="86" t="str">
        <f t="shared" si="1"/>
        <v>#REF!</v>
      </c>
      <c r="C77" s="86" t="str">
        <f t="shared" si="9"/>
        <v>#REF!</v>
      </c>
      <c r="D77" s="86" t="str">
        <f t="shared" si="10"/>
        <v>#REF!</v>
      </c>
      <c r="E77" s="86" t="str">
        <f t="shared" si="11"/>
        <v>#REF!</v>
      </c>
      <c r="F77" s="86" t="str">
        <f t="shared" si="12"/>
        <v>#REF!</v>
      </c>
      <c r="G77" s="86" t="str">
        <f t="shared" si="13"/>
        <v>#REF!</v>
      </c>
      <c r="H77" s="86" t="str">
        <f t="shared" si="14"/>
        <v>#REF!</v>
      </c>
      <c r="I77" s="86" t="str">
        <f t="shared" si="15"/>
        <v>#REF!</v>
      </c>
    </row>
    <row r="78">
      <c r="B78" s="86" t="str">
        <f t="shared" si="1"/>
        <v>#REF!</v>
      </c>
      <c r="C78" s="86" t="str">
        <f t="shared" si="9"/>
        <v>#REF!</v>
      </c>
      <c r="D78" s="86" t="str">
        <f t="shared" si="10"/>
        <v>#REF!</v>
      </c>
      <c r="E78" s="86" t="str">
        <f t="shared" si="11"/>
        <v>#REF!</v>
      </c>
      <c r="F78" s="86" t="str">
        <f t="shared" si="12"/>
        <v>#REF!</v>
      </c>
      <c r="G78" s="86" t="str">
        <f t="shared" si="13"/>
        <v>#REF!</v>
      </c>
      <c r="H78" s="86" t="str">
        <f t="shared" si="14"/>
        <v>#REF!</v>
      </c>
      <c r="I78" s="86" t="str">
        <f t="shared" si="15"/>
        <v>#REF!</v>
      </c>
    </row>
    <row r="79">
      <c r="B79" s="86" t="str">
        <f t="shared" si="1"/>
        <v>#REF!</v>
      </c>
      <c r="C79" s="86" t="str">
        <f t="shared" si="9"/>
        <v>#REF!</v>
      </c>
      <c r="D79" s="86" t="str">
        <f t="shared" si="10"/>
        <v>#REF!</v>
      </c>
      <c r="E79" s="86" t="str">
        <f t="shared" si="11"/>
        <v>#REF!</v>
      </c>
      <c r="F79" s="86" t="str">
        <f t="shared" si="12"/>
        <v>#REF!</v>
      </c>
      <c r="G79" s="86" t="str">
        <f t="shared" si="13"/>
        <v>#REF!</v>
      </c>
      <c r="H79" s="86" t="str">
        <f t="shared" si="14"/>
        <v>#REF!</v>
      </c>
      <c r="I79" s="86" t="str">
        <f t="shared" si="15"/>
        <v>#REF!</v>
      </c>
    </row>
    <row r="80">
      <c r="B80" s="86" t="str">
        <f t="shared" si="1"/>
        <v>#REF!</v>
      </c>
      <c r="C80" s="86" t="str">
        <f t="shared" si="9"/>
        <v>#REF!</v>
      </c>
      <c r="D80" s="86" t="str">
        <f t="shared" si="10"/>
        <v>#REF!</v>
      </c>
      <c r="E80" s="86" t="str">
        <f t="shared" si="11"/>
        <v>#REF!</v>
      </c>
      <c r="F80" s="86" t="str">
        <f t="shared" si="12"/>
        <v>#REF!</v>
      </c>
      <c r="G80" s="86" t="str">
        <f t="shared" si="13"/>
        <v>#REF!</v>
      </c>
      <c r="H80" s="86" t="str">
        <f t="shared" si="14"/>
        <v>#REF!</v>
      </c>
      <c r="I80" s="86" t="str">
        <f t="shared" si="15"/>
        <v>#REF!</v>
      </c>
    </row>
    <row r="81">
      <c r="B81" s="86" t="str">
        <f t="shared" si="1"/>
        <v>#REF!</v>
      </c>
      <c r="C81" s="86" t="str">
        <f t="shared" si="9"/>
        <v>#REF!</v>
      </c>
      <c r="D81" s="86" t="str">
        <f t="shared" si="10"/>
        <v>#REF!</v>
      </c>
      <c r="E81" s="86" t="str">
        <f t="shared" si="11"/>
        <v>#REF!</v>
      </c>
      <c r="F81" s="86" t="str">
        <f t="shared" si="12"/>
        <v>#REF!</v>
      </c>
      <c r="G81" s="86" t="str">
        <f t="shared" si="13"/>
        <v>#REF!</v>
      </c>
      <c r="H81" s="86" t="str">
        <f t="shared" si="14"/>
        <v>#REF!</v>
      </c>
      <c r="I81" s="86" t="str">
        <f t="shared" si="15"/>
        <v>#REF!</v>
      </c>
    </row>
    <row r="82">
      <c r="B82" s="86" t="str">
        <f t="shared" si="1"/>
        <v>#REF!</v>
      </c>
      <c r="C82" s="86" t="str">
        <f t="shared" si="9"/>
        <v>#REF!</v>
      </c>
      <c r="D82" s="86" t="str">
        <f t="shared" si="10"/>
        <v>#REF!</v>
      </c>
      <c r="E82" s="86" t="str">
        <f t="shared" si="11"/>
        <v>#REF!</v>
      </c>
      <c r="F82" s="86" t="str">
        <f t="shared" si="12"/>
        <v>#REF!</v>
      </c>
      <c r="G82" s="86" t="str">
        <f t="shared" si="13"/>
        <v>#REF!</v>
      </c>
      <c r="H82" s="86" t="str">
        <f t="shared" si="14"/>
        <v>#REF!</v>
      </c>
      <c r="I82" s="86" t="str">
        <f t="shared" si="15"/>
        <v>#REF!</v>
      </c>
    </row>
    <row r="83">
      <c r="B83" s="86" t="str">
        <f t="shared" si="1"/>
        <v>#REF!</v>
      </c>
      <c r="C83" s="86" t="str">
        <f t="shared" si="9"/>
        <v>#REF!</v>
      </c>
      <c r="D83" s="86" t="str">
        <f t="shared" si="10"/>
        <v>#REF!</v>
      </c>
      <c r="E83" s="86" t="str">
        <f t="shared" si="11"/>
        <v>#REF!</v>
      </c>
      <c r="F83" s="86" t="str">
        <f t="shared" si="12"/>
        <v>#REF!</v>
      </c>
      <c r="G83" s="86" t="str">
        <f t="shared" si="13"/>
        <v>#REF!</v>
      </c>
      <c r="H83" s="86" t="str">
        <f t="shared" si="14"/>
        <v>#REF!</v>
      </c>
      <c r="I83" s="86" t="str">
        <f t="shared" si="15"/>
        <v>#REF!</v>
      </c>
    </row>
    <row r="84">
      <c r="B84" s="86" t="str">
        <f t="shared" si="1"/>
        <v>#REF!</v>
      </c>
      <c r="C84" s="86" t="str">
        <f t="shared" si="9"/>
        <v>#REF!</v>
      </c>
      <c r="D84" s="86" t="str">
        <f t="shared" si="10"/>
        <v>#REF!</v>
      </c>
      <c r="E84" s="86" t="str">
        <f t="shared" si="11"/>
        <v>#REF!</v>
      </c>
      <c r="F84" s="86" t="str">
        <f t="shared" si="12"/>
        <v>#REF!</v>
      </c>
      <c r="G84" s="86" t="str">
        <f t="shared" si="13"/>
        <v>#REF!</v>
      </c>
      <c r="H84" s="86" t="str">
        <f t="shared" si="14"/>
        <v>#REF!</v>
      </c>
      <c r="I84" s="86" t="str">
        <f t="shared" si="15"/>
        <v>#REF!</v>
      </c>
    </row>
    <row r="85">
      <c r="B85" s="86" t="str">
        <f t="shared" si="1"/>
        <v>#REF!</v>
      </c>
      <c r="C85" s="86" t="str">
        <f t="shared" si="9"/>
        <v>#REF!</v>
      </c>
      <c r="D85" s="86" t="str">
        <f t="shared" si="10"/>
        <v>#REF!</v>
      </c>
      <c r="E85" s="86" t="str">
        <f t="shared" si="11"/>
        <v>#REF!</v>
      </c>
      <c r="F85" s="86" t="str">
        <f t="shared" si="12"/>
        <v>#REF!</v>
      </c>
      <c r="G85" s="86" t="str">
        <f t="shared" si="13"/>
        <v>#REF!</v>
      </c>
      <c r="H85" s="86" t="str">
        <f t="shared" si="14"/>
        <v>#REF!</v>
      </c>
      <c r="I85" s="86" t="str">
        <f t="shared" si="15"/>
        <v>#REF!</v>
      </c>
    </row>
    <row r="86">
      <c r="B86" s="86" t="str">
        <f t="shared" si="1"/>
        <v>#REF!</v>
      </c>
      <c r="C86" s="86" t="str">
        <f t="shared" si="9"/>
        <v>#REF!</v>
      </c>
      <c r="D86" s="86" t="str">
        <f t="shared" si="10"/>
        <v>#REF!</v>
      </c>
      <c r="E86" s="86" t="str">
        <f t="shared" si="11"/>
        <v>#REF!</v>
      </c>
      <c r="F86" s="86" t="str">
        <f t="shared" si="12"/>
        <v>#REF!</v>
      </c>
      <c r="G86" s="86" t="str">
        <f t="shared" si="13"/>
        <v>#REF!</v>
      </c>
      <c r="H86" s="86" t="str">
        <f t="shared" si="14"/>
        <v>#REF!</v>
      </c>
      <c r="I86" s="86" t="str">
        <f t="shared" si="15"/>
        <v>#REF!</v>
      </c>
    </row>
    <row r="87">
      <c r="B87" s="86" t="str">
        <f t="shared" si="1"/>
        <v>#REF!</v>
      </c>
      <c r="C87" s="86" t="str">
        <f t="shared" si="9"/>
        <v>#REF!</v>
      </c>
      <c r="D87" s="86" t="str">
        <f t="shared" si="10"/>
        <v>#REF!</v>
      </c>
      <c r="E87" s="86" t="str">
        <f t="shared" si="11"/>
        <v>#REF!</v>
      </c>
      <c r="F87" s="86" t="str">
        <f t="shared" si="12"/>
        <v>#REF!</v>
      </c>
      <c r="G87" s="86" t="str">
        <f t="shared" si="13"/>
        <v>#REF!</v>
      </c>
      <c r="H87" s="86" t="str">
        <f t="shared" si="14"/>
        <v>#REF!</v>
      </c>
      <c r="I87" s="86" t="str">
        <f t="shared" si="15"/>
        <v>#REF!</v>
      </c>
    </row>
    <row r="88">
      <c r="B88" s="86" t="str">
        <f t="shared" si="1"/>
        <v>#REF!</v>
      </c>
      <c r="C88" s="86" t="str">
        <f t="shared" si="9"/>
        <v>#REF!</v>
      </c>
      <c r="D88" s="86" t="str">
        <f t="shared" si="10"/>
        <v>#REF!</v>
      </c>
      <c r="E88" s="86" t="str">
        <f t="shared" si="11"/>
        <v>#REF!</v>
      </c>
      <c r="F88" s="86" t="str">
        <f t="shared" si="12"/>
        <v>#REF!</v>
      </c>
      <c r="G88" s="86" t="str">
        <f t="shared" si="13"/>
        <v>#REF!</v>
      </c>
      <c r="H88" s="86" t="str">
        <f t="shared" si="14"/>
        <v>#REF!</v>
      </c>
      <c r="I88" s="86" t="str">
        <f t="shared" si="15"/>
        <v>#REF!</v>
      </c>
    </row>
    <row r="89">
      <c r="B89" s="86" t="str">
        <f t="shared" si="1"/>
        <v>#REF!</v>
      </c>
      <c r="C89" s="86" t="str">
        <f t="shared" si="9"/>
        <v>#REF!</v>
      </c>
      <c r="D89" s="86" t="str">
        <f t="shared" si="10"/>
        <v>#REF!</v>
      </c>
      <c r="E89" s="86" t="str">
        <f t="shared" si="11"/>
        <v>#REF!</v>
      </c>
      <c r="F89" s="86" t="str">
        <f t="shared" si="12"/>
        <v>#REF!</v>
      </c>
      <c r="G89" s="86" t="str">
        <f t="shared" si="13"/>
        <v>#REF!</v>
      </c>
      <c r="H89" s="86" t="str">
        <f t="shared" si="14"/>
        <v>#REF!</v>
      </c>
      <c r="I89" s="86" t="str">
        <f t="shared" si="15"/>
        <v>#REF!</v>
      </c>
    </row>
    <row r="90">
      <c r="B90" s="86" t="str">
        <f t="shared" si="1"/>
        <v>#REF!</v>
      </c>
      <c r="C90" s="86" t="str">
        <f t="shared" si="9"/>
        <v>#REF!</v>
      </c>
      <c r="D90" s="86" t="str">
        <f t="shared" si="10"/>
        <v>#REF!</v>
      </c>
      <c r="E90" s="86" t="str">
        <f t="shared" si="11"/>
        <v>#REF!</v>
      </c>
      <c r="F90" s="86" t="str">
        <f t="shared" si="12"/>
        <v>#REF!</v>
      </c>
      <c r="G90" s="86" t="str">
        <f t="shared" si="13"/>
        <v>#REF!</v>
      </c>
      <c r="H90" s="86" t="str">
        <f t="shared" si="14"/>
        <v>#REF!</v>
      </c>
      <c r="I90" s="86" t="str">
        <f t="shared" si="15"/>
        <v>#REF!</v>
      </c>
    </row>
    <row r="91">
      <c r="B91" s="86" t="str">
        <f t="shared" si="1"/>
        <v>#REF!</v>
      </c>
      <c r="C91" s="86" t="str">
        <f t="shared" si="9"/>
        <v>#REF!</v>
      </c>
      <c r="D91" s="86" t="str">
        <f t="shared" si="10"/>
        <v>#REF!</v>
      </c>
      <c r="E91" s="86" t="str">
        <f t="shared" si="11"/>
        <v>#REF!</v>
      </c>
      <c r="F91" s="86" t="str">
        <f t="shared" si="12"/>
        <v>#REF!</v>
      </c>
      <c r="G91" s="86" t="str">
        <f t="shared" si="13"/>
        <v>#REF!</v>
      </c>
      <c r="H91" s="86" t="str">
        <f t="shared" si="14"/>
        <v>#REF!</v>
      </c>
      <c r="I91" s="86" t="str">
        <f t="shared" si="15"/>
        <v>#REF!</v>
      </c>
    </row>
    <row r="92">
      <c r="B92" s="86" t="str">
        <f t="shared" si="1"/>
        <v>#REF!</v>
      </c>
      <c r="C92" s="86" t="str">
        <f t="shared" si="9"/>
        <v>#REF!</v>
      </c>
      <c r="D92" s="86" t="str">
        <f t="shared" si="10"/>
        <v>#REF!</v>
      </c>
      <c r="E92" s="86" t="str">
        <f t="shared" si="11"/>
        <v>#REF!</v>
      </c>
      <c r="F92" s="86" t="str">
        <f t="shared" si="12"/>
        <v>#REF!</v>
      </c>
      <c r="G92" s="86" t="str">
        <f t="shared" si="13"/>
        <v>#REF!</v>
      </c>
      <c r="H92" s="86" t="str">
        <f t="shared" si="14"/>
        <v>#REF!</v>
      </c>
      <c r="I92" s="86" t="str">
        <f t="shared" si="15"/>
        <v>#REF!</v>
      </c>
    </row>
    <row r="93">
      <c r="B93" s="86" t="str">
        <f t="shared" si="1"/>
        <v>#REF!</v>
      </c>
      <c r="C93" s="86" t="str">
        <f t="shared" si="9"/>
        <v>#REF!</v>
      </c>
      <c r="D93" s="86" t="str">
        <f t="shared" si="10"/>
        <v>#REF!</v>
      </c>
      <c r="E93" s="86" t="str">
        <f t="shared" si="11"/>
        <v>#REF!</v>
      </c>
      <c r="F93" s="86" t="str">
        <f t="shared" si="12"/>
        <v>#REF!</v>
      </c>
      <c r="G93" s="86" t="str">
        <f t="shared" si="13"/>
        <v>#REF!</v>
      </c>
      <c r="H93" s="86" t="str">
        <f t="shared" si="14"/>
        <v>#REF!</v>
      </c>
      <c r="I93" s="86" t="str">
        <f t="shared" si="15"/>
        <v>#REF!</v>
      </c>
    </row>
    <row r="94">
      <c r="B94" s="86" t="str">
        <f t="shared" si="1"/>
        <v>#REF!</v>
      </c>
      <c r="C94" s="86" t="str">
        <f t="shared" si="9"/>
        <v>#REF!</v>
      </c>
      <c r="D94" s="86" t="str">
        <f t="shared" si="10"/>
        <v>#REF!</v>
      </c>
      <c r="E94" s="86" t="str">
        <f t="shared" si="11"/>
        <v>#REF!</v>
      </c>
      <c r="F94" s="86" t="str">
        <f t="shared" si="12"/>
        <v>#REF!</v>
      </c>
      <c r="G94" s="86" t="str">
        <f t="shared" si="13"/>
        <v>#REF!</v>
      </c>
      <c r="H94" s="86" t="str">
        <f t="shared" si="14"/>
        <v>#REF!</v>
      </c>
      <c r="I94" s="86" t="str">
        <f t="shared" si="15"/>
        <v>#REF!</v>
      </c>
    </row>
    <row r="95">
      <c r="B95" s="86" t="str">
        <f t="shared" si="1"/>
        <v>#REF!</v>
      </c>
      <c r="C95" s="86" t="str">
        <f t="shared" si="9"/>
        <v>#REF!</v>
      </c>
      <c r="D95" s="86" t="str">
        <f t="shared" si="10"/>
        <v>#REF!</v>
      </c>
      <c r="E95" s="86" t="str">
        <f t="shared" si="11"/>
        <v>#REF!</v>
      </c>
      <c r="F95" s="86" t="str">
        <f t="shared" si="12"/>
        <v>#REF!</v>
      </c>
      <c r="G95" s="86" t="str">
        <f t="shared" si="13"/>
        <v>#REF!</v>
      </c>
      <c r="H95" s="86" t="str">
        <f t="shared" si="14"/>
        <v>#REF!</v>
      </c>
      <c r="I95" s="86" t="str">
        <f t="shared" si="15"/>
        <v>#REF!</v>
      </c>
    </row>
    <row r="96">
      <c r="B96" s="86" t="str">
        <f t="shared" si="1"/>
        <v>#REF!</v>
      </c>
      <c r="C96" s="86" t="str">
        <f t="shared" si="9"/>
        <v>#REF!</v>
      </c>
      <c r="D96" s="86" t="str">
        <f t="shared" si="10"/>
        <v>#REF!</v>
      </c>
      <c r="E96" s="86" t="str">
        <f t="shared" si="11"/>
        <v>#REF!</v>
      </c>
      <c r="F96" s="86" t="str">
        <f t="shared" si="12"/>
        <v>#REF!</v>
      </c>
      <c r="G96" s="86" t="str">
        <f t="shared" si="13"/>
        <v>#REF!</v>
      </c>
      <c r="H96" s="86" t="str">
        <f t="shared" si="14"/>
        <v>#REF!</v>
      </c>
      <c r="I96" s="86" t="str">
        <f t="shared" si="15"/>
        <v>#REF!</v>
      </c>
    </row>
    <row r="97">
      <c r="B97" s="86" t="str">
        <f t="shared" si="1"/>
        <v>#REF!</v>
      </c>
      <c r="C97" s="86" t="str">
        <f t="shared" si="9"/>
        <v>#REF!</v>
      </c>
      <c r="D97" s="86" t="str">
        <f t="shared" si="10"/>
        <v>#REF!</v>
      </c>
      <c r="E97" s="86" t="str">
        <f t="shared" si="11"/>
        <v>#REF!</v>
      </c>
      <c r="F97" s="86" t="str">
        <f t="shared" si="12"/>
        <v>#REF!</v>
      </c>
      <c r="G97" s="86" t="str">
        <f t="shared" si="13"/>
        <v>#REF!</v>
      </c>
      <c r="H97" s="86" t="str">
        <f t="shared" si="14"/>
        <v>#REF!</v>
      </c>
      <c r="I97" s="86" t="str">
        <f t="shared" si="15"/>
        <v>#REF!</v>
      </c>
    </row>
    <row r="98">
      <c r="B98" s="86" t="str">
        <f t="shared" si="1"/>
        <v>#REF!</v>
      </c>
      <c r="C98" s="86" t="str">
        <f t="shared" si="9"/>
        <v>#REF!</v>
      </c>
      <c r="D98" s="86" t="str">
        <f t="shared" si="10"/>
        <v>#REF!</v>
      </c>
      <c r="E98" s="86" t="str">
        <f t="shared" si="11"/>
        <v>#REF!</v>
      </c>
      <c r="F98" s="86" t="str">
        <f t="shared" si="12"/>
        <v>#REF!</v>
      </c>
      <c r="G98" s="86" t="str">
        <f t="shared" si="13"/>
        <v>#REF!</v>
      </c>
      <c r="H98" s="86" t="str">
        <f t="shared" si="14"/>
        <v>#REF!</v>
      </c>
      <c r="I98" s="86" t="str">
        <f t="shared" si="15"/>
        <v>#REF!</v>
      </c>
    </row>
    <row r="99">
      <c r="B99" s="86" t="str">
        <f t="shared" si="1"/>
        <v>#REF!</v>
      </c>
      <c r="C99" s="86" t="str">
        <f t="shared" si="9"/>
        <v>#REF!</v>
      </c>
      <c r="D99" s="86" t="str">
        <f t="shared" si="10"/>
        <v>#REF!</v>
      </c>
      <c r="E99" s="86" t="str">
        <f t="shared" si="11"/>
        <v>#REF!</v>
      </c>
      <c r="F99" s="86" t="str">
        <f t="shared" si="12"/>
        <v>#REF!</v>
      </c>
      <c r="G99" s="86" t="str">
        <f t="shared" si="13"/>
        <v>#REF!</v>
      </c>
      <c r="H99" s="86" t="str">
        <f t="shared" si="14"/>
        <v>#REF!</v>
      </c>
      <c r="I99" s="86" t="str">
        <f t="shared" si="15"/>
        <v>#REF!</v>
      </c>
    </row>
    <row r="100">
      <c r="B100" s="86" t="str">
        <f t="shared" si="1"/>
        <v>#REF!</v>
      </c>
      <c r="C100" s="86" t="str">
        <f t="shared" si="9"/>
        <v>#REF!</v>
      </c>
      <c r="D100" s="86" t="str">
        <f t="shared" si="10"/>
        <v>#REF!</v>
      </c>
      <c r="E100" s="86" t="str">
        <f t="shared" si="11"/>
        <v>#REF!</v>
      </c>
      <c r="F100" s="86" t="str">
        <f t="shared" si="12"/>
        <v>#REF!</v>
      </c>
      <c r="G100" s="86" t="str">
        <f t="shared" si="13"/>
        <v>#REF!</v>
      </c>
      <c r="H100" s="86" t="str">
        <f t="shared" si="14"/>
        <v>#REF!</v>
      </c>
      <c r="I100" s="86" t="str">
        <f t="shared" si="15"/>
        <v>#REF!</v>
      </c>
    </row>
    <row r="101">
      <c r="B101" s="86" t="str">
        <f t="shared" si="1"/>
        <v>#REF!</v>
      </c>
      <c r="C101" s="86" t="str">
        <f t="shared" si="9"/>
        <v>#REF!</v>
      </c>
      <c r="D101" s="86" t="str">
        <f t="shared" si="10"/>
        <v>#REF!</v>
      </c>
      <c r="E101" s="86" t="str">
        <f t="shared" si="11"/>
        <v>#REF!</v>
      </c>
      <c r="F101" s="86" t="str">
        <f t="shared" si="12"/>
        <v>#REF!</v>
      </c>
      <c r="G101" s="86" t="str">
        <f t="shared" si="13"/>
        <v>#REF!</v>
      </c>
      <c r="H101" s="86" t="str">
        <f t="shared" si="14"/>
        <v>#REF!</v>
      </c>
      <c r="I101" s="86" t="str">
        <f t="shared" si="15"/>
        <v>#REF!</v>
      </c>
    </row>
    <row r="102">
      <c r="B102" s="86" t="str">
        <f t="shared" si="1"/>
        <v>#REF!</v>
      </c>
      <c r="C102" s="86" t="str">
        <f t="shared" si="9"/>
        <v>#REF!</v>
      </c>
      <c r="D102" s="86" t="str">
        <f t="shared" si="10"/>
        <v>#REF!</v>
      </c>
      <c r="E102" s="86" t="str">
        <f t="shared" si="11"/>
        <v>#REF!</v>
      </c>
      <c r="F102" s="86" t="str">
        <f t="shared" si="12"/>
        <v>#REF!</v>
      </c>
      <c r="G102" s="86" t="str">
        <f t="shared" si="13"/>
        <v>#REF!</v>
      </c>
      <c r="H102" s="86" t="str">
        <f t="shared" si="14"/>
        <v>#REF!</v>
      </c>
      <c r="I102" s="86" t="str">
        <f t="shared" si="15"/>
        <v>#REF!</v>
      </c>
    </row>
    <row r="103">
      <c r="B103" s="86" t="str">
        <f t="shared" si="1"/>
        <v>#REF!</v>
      </c>
      <c r="C103" s="86" t="str">
        <f t="shared" si="9"/>
        <v>#REF!</v>
      </c>
      <c r="D103" s="86" t="str">
        <f t="shared" si="10"/>
        <v>#REF!</v>
      </c>
      <c r="E103" s="86" t="str">
        <f t="shared" si="11"/>
        <v>#REF!</v>
      </c>
      <c r="F103" s="86" t="str">
        <f t="shared" si="12"/>
        <v>#REF!</v>
      </c>
      <c r="G103" s="86" t="str">
        <f t="shared" si="13"/>
        <v>#REF!</v>
      </c>
      <c r="H103" s="86" t="str">
        <f t="shared" si="14"/>
        <v>#REF!</v>
      </c>
      <c r="I103" s="86" t="str">
        <f t="shared" si="15"/>
        <v>#REF!</v>
      </c>
    </row>
    <row r="104">
      <c r="B104" s="86" t="str">
        <f t="shared" si="1"/>
        <v>#REF!</v>
      </c>
      <c r="C104" s="86" t="str">
        <f t="shared" si="9"/>
        <v>#REF!</v>
      </c>
      <c r="D104" s="86" t="str">
        <f t="shared" si="10"/>
        <v>#REF!</v>
      </c>
      <c r="E104" s="86" t="str">
        <f t="shared" si="11"/>
        <v>#REF!</v>
      </c>
      <c r="F104" s="86" t="str">
        <f t="shared" si="12"/>
        <v>#REF!</v>
      </c>
      <c r="G104" s="86" t="str">
        <f t="shared" si="13"/>
        <v>#REF!</v>
      </c>
      <c r="H104" s="86" t="str">
        <f t="shared" si="14"/>
        <v>#REF!</v>
      </c>
      <c r="I104" s="86" t="str">
        <f t="shared" si="15"/>
        <v>#REF!</v>
      </c>
    </row>
    <row r="105">
      <c r="B105" s="86" t="str">
        <f t="shared" si="1"/>
        <v>#REF!</v>
      </c>
      <c r="C105" s="86" t="str">
        <f t="shared" si="9"/>
        <v>#REF!</v>
      </c>
      <c r="D105" s="86" t="str">
        <f t="shared" si="10"/>
        <v>#REF!</v>
      </c>
      <c r="E105" s="86" t="str">
        <f t="shared" si="11"/>
        <v>#REF!</v>
      </c>
      <c r="F105" s="86" t="str">
        <f t="shared" si="12"/>
        <v>#REF!</v>
      </c>
      <c r="G105" s="86" t="str">
        <f t="shared" si="13"/>
        <v>#REF!</v>
      </c>
      <c r="H105" s="86" t="str">
        <f t="shared" si="14"/>
        <v>#REF!</v>
      </c>
      <c r="I105" s="86" t="str">
        <f t="shared" si="15"/>
        <v>#REF!</v>
      </c>
    </row>
    <row r="106">
      <c r="B106" s="86" t="str">
        <f t="shared" si="1"/>
        <v>#REF!</v>
      </c>
      <c r="C106" s="86" t="str">
        <f t="shared" si="9"/>
        <v>#REF!</v>
      </c>
      <c r="D106" s="86" t="str">
        <f t="shared" si="10"/>
        <v>#REF!</v>
      </c>
      <c r="E106" s="86" t="str">
        <f t="shared" si="11"/>
        <v>#REF!</v>
      </c>
      <c r="F106" s="86" t="str">
        <f t="shared" si="12"/>
        <v>#REF!</v>
      </c>
      <c r="G106" s="86" t="str">
        <f t="shared" si="13"/>
        <v>#REF!</v>
      </c>
      <c r="H106" s="86" t="str">
        <f t="shared" si="14"/>
        <v>#REF!</v>
      </c>
      <c r="I106" s="86" t="str">
        <f t="shared" si="15"/>
        <v>#REF!</v>
      </c>
    </row>
    <row r="107">
      <c r="B107" s="86" t="str">
        <f t="shared" si="1"/>
        <v>#REF!</v>
      </c>
      <c r="C107" s="86" t="str">
        <f t="shared" si="9"/>
        <v>#REF!</v>
      </c>
      <c r="D107" s="86" t="str">
        <f t="shared" si="10"/>
        <v>#REF!</v>
      </c>
      <c r="E107" s="86" t="str">
        <f t="shared" si="11"/>
        <v>#REF!</v>
      </c>
      <c r="F107" s="86" t="str">
        <f t="shared" si="12"/>
        <v>#REF!</v>
      </c>
      <c r="G107" s="86" t="str">
        <f t="shared" si="13"/>
        <v>#REF!</v>
      </c>
      <c r="H107" s="86" t="str">
        <f t="shared" si="14"/>
        <v>#REF!</v>
      </c>
      <c r="I107" s="86" t="str">
        <f t="shared" si="15"/>
        <v>#REF!</v>
      </c>
    </row>
    <row r="108">
      <c r="B108" s="86" t="str">
        <f t="shared" si="1"/>
        <v>#REF!</v>
      </c>
      <c r="C108" s="86" t="str">
        <f t="shared" si="9"/>
        <v>#REF!</v>
      </c>
      <c r="D108" s="86" t="str">
        <f t="shared" si="10"/>
        <v>#REF!</v>
      </c>
      <c r="E108" s="86" t="str">
        <f t="shared" si="11"/>
        <v>#REF!</v>
      </c>
      <c r="F108" s="86" t="str">
        <f t="shared" si="12"/>
        <v>#REF!</v>
      </c>
      <c r="G108" s="86" t="str">
        <f t="shared" si="13"/>
        <v>#REF!</v>
      </c>
      <c r="H108" s="86" t="str">
        <f t="shared" si="14"/>
        <v>#REF!</v>
      </c>
      <c r="I108" s="86" t="str">
        <f t="shared" si="15"/>
        <v>#REF!</v>
      </c>
    </row>
    <row r="109">
      <c r="B109" s="86" t="str">
        <f t="shared" si="1"/>
        <v>#REF!</v>
      </c>
      <c r="C109" s="86" t="str">
        <f t="shared" si="9"/>
        <v>#REF!</v>
      </c>
      <c r="D109" s="86" t="str">
        <f t="shared" si="10"/>
        <v>#REF!</v>
      </c>
      <c r="E109" s="86" t="str">
        <f t="shared" si="11"/>
        <v>#REF!</v>
      </c>
      <c r="F109" s="86" t="str">
        <f t="shared" si="12"/>
        <v>#REF!</v>
      </c>
      <c r="G109" s="86" t="str">
        <f t="shared" si="13"/>
        <v>#REF!</v>
      </c>
      <c r="H109" s="86" t="str">
        <f t="shared" si="14"/>
        <v>#REF!</v>
      </c>
      <c r="I109" s="86" t="str">
        <f t="shared" si="15"/>
        <v>#REF!</v>
      </c>
    </row>
    <row r="110">
      <c r="B110" s="86" t="str">
        <f t="shared" si="1"/>
        <v>#REF!</v>
      </c>
      <c r="C110" s="86" t="str">
        <f t="shared" si="9"/>
        <v>#REF!</v>
      </c>
      <c r="D110" s="86" t="str">
        <f t="shared" si="10"/>
        <v>#REF!</v>
      </c>
      <c r="E110" s="86" t="str">
        <f t="shared" si="11"/>
        <v>#REF!</v>
      </c>
      <c r="F110" s="86" t="str">
        <f t="shared" si="12"/>
        <v>#REF!</v>
      </c>
      <c r="G110" s="86" t="str">
        <f t="shared" si="13"/>
        <v>#REF!</v>
      </c>
      <c r="H110" s="86" t="str">
        <f t="shared" si="14"/>
        <v>#REF!</v>
      </c>
      <c r="I110" s="86" t="str">
        <f t="shared" si="15"/>
        <v>#REF!</v>
      </c>
    </row>
    <row r="111">
      <c r="B111" s="86" t="str">
        <f t="shared" si="1"/>
        <v>#REF!</v>
      </c>
      <c r="C111" s="86" t="str">
        <f t="shared" si="9"/>
        <v>#REF!</v>
      </c>
      <c r="D111" s="86" t="str">
        <f t="shared" si="10"/>
        <v>#REF!</v>
      </c>
      <c r="E111" s="86" t="str">
        <f t="shared" si="11"/>
        <v>#REF!</v>
      </c>
      <c r="F111" s="86" t="str">
        <f t="shared" si="12"/>
        <v>#REF!</v>
      </c>
      <c r="G111" s="86" t="str">
        <f t="shared" si="13"/>
        <v>#REF!</v>
      </c>
      <c r="H111" s="86" t="str">
        <f t="shared" si="14"/>
        <v>#REF!</v>
      </c>
      <c r="I111" s="86" t="str">
        <f t="shared" si="15"/>
        <v>#REF!</v>
      </c>
    </row>
    <row r="112">
      <c r="B112" s="86" t="str">
        <f t="shared" si="1"/>
        <v>#REF!</v>
      </c>
      <c r="C112" s="86" t="str">
        <f t="shared" si="9"/>
        <v>#REF!</v>
      </c>
      <c r="D112" s="86" t="str">
        <f t="shared" si="10"/>
        <v>#REF!</v>
      </c>
      <c r="E112" s="86" t="str">
        <f t="shared" si="11"/>
        <v>#REF!</v>
      </c>
      <c r="F112" s="86" t="str">
        <f t="shared" si="12"/>
        <v>#REF!</v>
      </c>
      <c r="G112" s="86" t="str">
        <f t="shared" si="13"/>
        <v>#REF!</v>
      </c>
      <c r="H112" s="86" t="str">
        <f t="shared" si="14"/>
        <v>#REF!</v>
      </c>
      <c r="I112" s="86" t="str">
        <f t="shared" si="15"/>
        <v>#REF!</v>
      </c>
    </row>
    <row r="113">
      <c r="B113" s="86" t="str">
        <f t="shared" si="1"/>
        <v>#REF!</v>
      </c>
      <c r="C113" s="86" t="str">
        <f t="shared" si="9"/>
        <v>#REF!</v>
      </c>
      <c r="D113" s="86" t="str">
        <f t="shared" si="10"/>
        <v>#REF!</v>
      </c>
      <c r="E113" s="86" t="str">
        <f t="shared" si="11"/>
        <v>#REF!</v>
      </c>
      <c r="F113" s="86" t="str">
        <f t="shared" si="12"/>
        <v>#REF!</v>
      </c>
      <c r="G113" s="86" t="str">
        <f t="shared" si="13"/>
        <v>#REF!</v>
      </c>
      <c r="H113" s="86" t="str">
        <f t="shared" si="14"/>
        <v>#REF!</v>
      </c>
      <c r="I113" s="86" t="str">
        <f t="shared" si="15"/>
        <v>#REF!</v>
      </c>
    </row>
    <row r="114">
      <c r="B114" s="86" t="str">
        <f t="shared" si="1"/>
        <v>#REF!</v>
      </c>
      <c r="C114" s="86" t="str">
        <f t="shared" si="9"/>
        <v>#REF!</v>
      </c>
      <c r="D114" s="86" t="str">
        <f t="shared" si="10"/>
        <v>#REF!</v>
      </c>
      <c r="E114" s="86" t="str">
        <f t="shared" si="11"/>
        <v>#REF!</v>
      </c>
      <c r="F114" s="86" t="str">
        <f t="shared" si="12"/>
        <v>#REF!</v>
      </c>
      <c r="G114" s="86" t="str">
        <f t="shared" si="13"/>
        <v>#REF!</v>
      </c>
      <c r="H114" s="86" t="str">
        <f t="shared" si="14"/>
        <v>#REF!</v>
      </c>
      <c r="I114" s="86" t="str">
        <f t="shared" si="15"/>
        <v>#REF!</v>
      </c>
    </row>
    <row r="115">
      <c r="B115" s="86" t="str">
        <f t="shared" si="1"/>
        <v>#REF!</v>
      </c>
      <c r="C115" s="86" t="str">
        <f t="shared" si="9"/>
        <v>#REF!</v>
      </c>
      <c r="D115" s="86" t="str">
        <f t="shared" si="10"/>
        <v>#REF!</v>
      </c>
      <c r="E115" s="86" t="str">
        <f t="shared" si="11"/>
        <v>#REF!</v>
      </c>
      <c r="F115" s="86" t="str">
        <f t="shared" si="12"/>
        <v>#REF!</v>
      </c>
      <c r="G115" s="86" t="str">
        <f t="shared" si="13"/>
        <v>#REF!</v>
      </c>
      <c r="H115" s="86" t="str">
        <f t="shared" si="14"/>
        <v>#REF!</v>
      </c>
      <c r="I115" s="86" t="str">
        <f t="shared" si="15"/>
        <v>#REF!</v>
      </c>
    </row>
    <row r="116">
      <c r="B116" s="86" t="str">
        <f t="shared" si="1"/>
        <v>#REF!</v>
      </c>
      <c r="C116" s="86" t="str">
        <f t="shared" si="9"/>
        <v>#REF!</v>
      </c>
      <c r="D116" s="86" t="str">
        <f t="shared" si="10"/>
        <v>#REF!</v>
      </c>
      <c r="E116" s="86" t="str">
        <f t="shared" si="11"/>
        <v>#REF!</v>
      </c>
      <c r="F116" s="86" t="str">
        <f t="shared" si="12"/>
        <v>#REF!</v>
      </c>
      <c r="G116" s="86" t="str">
        <f t="shared" si="13"/>
        <v>#REF!</v>
      </c>
      <c r="H116" s="86" t="str">
        <f t="shared" si="14"/>
        <v>#REF!</v>
      </c>
      <c r="I116" s="86" t="str">
        <f t="shared" si="15"/>
        <v>#REF!</v>
      </c>
    </row>
    <row r="117">
      <c r="B117" s="86" t="str">
        <f t="shared" si="1"/>
        <v>#REF!</v>
      </c>
      <c r="C117" s="86" t="str">
        <f t="shared" si="9"/>
        <v>#REF!</v>
      </c>
      <c r="D117" s="86" t="str">
        <f t="shared" si="10"/>
        <v>#REF!</v>
      </c>
      <c r="E117" s="86" t="str">
        <f t="shared" si="11"/>
        <v>#REF!</v>
      </c>
      <c r="F117" s="86" t="str">
        <f t="shared" si="12"/>
        <v>#REF!</v>
      </c>
      <c r="G117" s="86" t="str">
        <f t="shared" si="13"/>
        <v>#REF!</v>
      </c>
      <c r="H117" s="86" t="str">
        <f t="shared" si="14"/>
        <v>#REF!</v>
      </c>
      <c r="I117" s="86" t="str">
        <f t="shared" si="15"/>
        <v>#REF!</v>
      </c>
    </row>
    <row r="118">
      <c r="B118" s="86" t="str">
        <f t="shared" si="1"/>
        <v>#REF!</v>
      </c>
      <c r="C118" s="86" t="str">
        <f t="shared" si="9"/>
        <v>#REF!</v>
      </c>
      <c r="D118" s="86" t="str">
        <f t="shared" si="10"/>
        <v>#REF!</v>
      </c>
      <c r="E118" s="86" t="str">
        <f t="shared" si="11"/>
        <v>#REF!</v>
      </c>
      <c r="F118" s="86" t="str">
        <f t="shared" si="12"/>
        <v>#REF!</v>
      </c>
      <c r="G118" s="86" t="str">
        <f t="shared" si="13"/>
        <v>#REF!</v>
      </c>
      <c r="H118" s="86" t="str">
        <f t="shared" si="14"/>
        <v>#REF!</v>
      </c>
      <c r="I118" s="86" t="str">
        <f t="shared" si="15"/>
        <v>#REF!</v>
      </c>
    </row>
    <row r="119">
      <c r="B119" s="86" t="str">
        <f t="shared" si="1"/>
        <v>#REF!</v>
      </c>
      <c r="C119" s="86" t="str">
        <f t="shared" si="9"/>
        <v>#REF!</v>
      </c>
      <c r="D119" s="86" t="str">
        <f t="shared" si="10"/>
        <v>#REF!</v>
      </c>
      <c r="E119" s="86" t="str">
        <f t="shared" si="11"/>
        <v>#REF!</v>
      </c>
      <c r="F119" s="86" t="str">
        <f t="shared" si="12"/>
        <v>#REF!</v>
      </c>
      <c r="G119" s="86" t="str">
        <f t="shared" si="13"/>
        <v>#REF!</v>
      </c>
      <c r="H119" s="86" t="str">
        <f t="shared" si="14"/>
        <v>#REF!</v>
      </c>
      <c r="I119" s="86" t="str">
        <f t="shared" si="15"/>
        <v>#REF!</v>
      </c>
    </row>
    <row r="120">
      <c r="B120" s="86" t="str">
        <f t="shared" si="1"/>
        <v>#REF!</v>
      </c>
      <c r="C120" s="86" t="str">
        <f t="shared" si="9"/>
        <v>#REF!</v>
      </c>
      <c r="D120" s="86" t="str">
        <f t="shared" si="10"/>
        <v>#REF!</v>
      </c>
      <c r="E120" s="86" t="str">
        <f t="shared" si="11"/>
        <v>#REF!</v>
      </c>
      <c r="F120" s="86" t="str">
        <f t="shared" si="12"/>
        <v>#REF!</v>
      </c>
      <c r="G120" s="86" t="str">
        <f t="shared" si="13"/>
        <v>#REF!</v>
      </c>
      <c r="H120" s="86" t="str">
        <f t="shared" si="14"/>
        <v>#REF!</v>
      </c>
      <c r="I120" s="86" t="str">
        <f t="shared" si="15"/>
        <v>#REF!</v>
      </c>
    </row>
    <row r="121">
      <c r="B121" s="86" t="str">
        <f t="shared" si="1"/>
        <v>#REF!</v>
      </c>
      <c r="C121" s="86" t="str">
        <f t="shared" si="9"/>
        <v>#REF!</v>
      </c>
      <c r="D121" s="86" t="str">
        <f t="shared" si="10"/>
        <v>#REF!</v>
      </c>
      <c r="E121" s="86" t="str">
        <f t="shared" si="11"/>
        <v>#REF!</v>
      </c>
      <c r="F121" s="86" t="str">
        <f t="shared" si="12"/>
        <v>#REF!</v>
      </c>
      <c r="G121" s="86" t="str">
        <f t="shared" si="13"/>
        <v>#REF!</v>
      </c>
      <c r="H121" s="86" t="str">
        <f t="shared" si="14"/>
        <v>#REF!</v>
      </c>
      <c r="I121" s="86" t="str">
        <f t="shared" si="15"/>
        <v>#REF!</v>
      </c>
    </row>
    <row r="122">
      <c r="B122" s="86" t="str">
        <f t="shared" si="1"/>
        <v>#REF!</v>
      </c>
      <c r="C122" s="86" t="str">
        <f t="shared" si="9"/>
        <v>#REF!</v>
      </c>
      <c r="D122" s="86" t="str">
        <f t="shared" si="10"/>
        <v>#REF!</v>
      </c>
      <c r="E122" s="86" t="str">
        <f t="shared" si="11"/>
        <v>#REF!</v>
      </c>
      <c r="F122" s="86" t="str">
        <f t="shared" si="12"/>
        <v>#REF!</v>
      </c>
      <c r="G122" s="86" t="str">
        <f t="shared" si="13"/>
        <v>#REF!</v>
      </c>
      <c r="H122" s="86" t="str">
        <f t="shared" si="14"/>
        <v>#REF!</v>
      </c>
      <c r="I122" s="86" t="str">
        <f t="shared" si="15"/>
        <v>#REF!</v>
      </c>
    </row>
    <row r="123">
      <c r="B123" s="86" t="str">
        <f t="shared" si="1"/>
        <v>#REF!</v>
      </c>
      <c r="C123" s="86" t="str">
        <f t="shared" si="9"/>
        <v>#REF!</v>
      </c>
      <c r="D123" s="86" t="str">
        <f t="shared" si="10"/>
        <v>#REF!</v>
      </c>
      <c r="E123" s="86" t="str">
        <f t="shared" si="11"/>
        <v>#REF!</v>
      </c>
      <c r="F123" s="86" t="str">
        <f t="shared" si="12"/>
        <v>#REF!</v>
      </c>
      <c r="G123" s="86" t="str">
        <f t="shared" si="13"/>
        <v>#REF!</v>
      </c>
      <c r="H123" s="86" t="str">
        <f t="shared" si="14"/>
        <v>#REF!</v>
      </c>
      <c r="I123" s="86" t="str">
        <f t="shared" si="15"/>
        <v>#REF!</v>
      </c>
    </row>
    <row r="124">
      <c r="B124" s="86" t="str">
        <f t="shared" si="1"/>
        <v>#REF!</v>
      </c>
      <c r="C124" s="86" t="str">
        <f t="shared" si="9"/>
        <v>#REF!</v>
      </c>
      <c r="D124" s="86" t="str">
        <f t="shared" si="10"/>
        <v>#REF!</v>
      </c>
      <c r="E124" s="86" t="str">
        <f t="shared" si="11"/>
        <v>#REF!</v>
      </c>
      <c r="F124" s="86" t="str">
        <f t="shared" si="12"/>
        <v>#REF!</v>
      </c>
      <c r="G124" s="86" t="str">
        <f t="shared" si="13"/>
        <v>#REF!</v>
      </c>
      <c r="H124" s="86" t="str">
        <f t="shared" si="14"/>
        <v>#REF!</v>
      </c>
      <c r="I124" s="86" t="str">
        <f t="shared" si="15"/>
        <v>#REF!</v>
      </c>
    </row>
    <row r="125">
      <c r="B125" s="86" t="str">
        <f t="shared" si="1"/>
        <v>#REF!</v>
      </c>
      <c r="C125" s="86" t="str">
        <f t="shared" si="9"/>
        <v>#REF!</v>
      </c>
      <c r="D125" s="86" t="str">
        <f t="shared" si="10"/>
        <v>#REF!</v>
      </c>
      <c r="E125" s="86" t="str">
        <f t="shared" si="11"/>
        <v>#REF!</v>
      </c>
      <c r="F125" s="86" t="str">
        <f t="shared" si="12"/>
        <v>#REF!</v>
      </c>
      <c r="G125" s="86" t="str">
        <f t="shared" si="13"/>
        <v>#REF!</v>
      </c>
      <c r="H125" s="86" t="str">
        <f t="shared" si="14"/>
        <v>#REF!</v>
      </c>
      <c r="I125" s="86" t="str">
        <f t="shared" si="15"/>
        <v>#REF!</v>
      </c>
    </row>
    <row r="126">
      <c r="B126" s="86" t="str">
        <f t="shared" si="1"/>
        <v>#REF!</v>
      </c>
      <c r="C126" s="86" t="str">
        <f t="shared" si="9"/>
        <v>#REF!</v>
      </c>
      <c r="D126" s="86" t="str">
        <f t="shared" si="10"/>
        <v>#REF!</v>
      </c>
      <c r="E126" s="86" t="str">
        <f t="shared" si="11"/>
        <v>#REF!</v>
      </c>
      <c r="F126" s="86" t="str">
        <f t="shared" si="12"/>
        <v>#REF!</v>
      </c>
      <c r="G126" s="86" t="str">
        <f t="shared" si="13"/>
        <v>#REF!</v>
      </c>
      <c r="H126" s="86" t="str">
        <f t="shared" si="14"/>
        <v>#REF!</v>
      </c>
      <c r="I126" s="86" t="str">
        <f t="shared" si="15"/>
        <v>#REF!</v>
      </c>
    </row>
    <row r="127">
      <c r="B127" s="86" t="str">
        <f t="shared" si="1"/>
        <v>#REF!</v>
      </c>
      <c r="C127" s="86" t="str">
        <f t="shared" si="9"/>
        <v>#REF!</v>
      </c>
      <c r="D127" s="86" t="str">
        <f t="shared" si="10"/>
        <v>#REF!</v>
      </c>
      <c r="E127" s="86" t="str">
        <f t="shared" si="11"/>
        <v>#REF!</v>
      </c>
      <c r="F127" s="86" t="str">
        <f t="shared" si="12"/>
        <v>#REF!</v>
      </c>
      <c r="G127" s="86" t="str">
        <f t="shared" si="13"/>
        <v>#REF!</v>
      </c>
      <c r="H127" s="86" t="str">
        <f t="shared" si="14"/>
        <v>#REF!</v>
      </c>
      <c r="I127" s="86" t="str">
        <f t="shared" si="15"/>
        <v>#REF!</v>
      </c>
    </row>
    <row r="128">
      <c r="B128" s="86" t="str">
        <f t="shared" si="1"/>
        <v>#REF!</v>
      </c>
      <c r="C128" s="86" t="str">
        <f t="shared" si="9"/>
        <v>#REF!</v>
      </c>
      <c r="D128" s="86" t="str">
        <f t="shared" si="10"/>
        <v>#REF!</v>
      </c>
      <c r="E128" s="86" t="str">
        <f t="shared" si="11"/>
        <v>#REF!</v>
      </c>
      <c r="F128" s="86" t="str">
        <f t="shared" si="12"/>
        <v>#REF!</v>
      </c>
      <c r="G128" s="86" t="str">
        <f t="shared" si="13"/>
        <v>#REF!</v>
      </c>
      <c r="H128" s="86" t="str">
        <f t="shared" si="14"/>
        <v>#REF!</v>
      </c>
      <c r="I128" s="86" t="str">
        <f t="shared" si="15"/>
        <v>#REF!</v>
      </c>
    </row>
    <row r="129">
      <c r="B129" s="86" t="str">
        <f t="shared" si="1"/>
        <v>#REF!</v>
      </c>
      <c r="C129" s="86" t="str">
        <f t="shared" si="9"/>
        <v>#REF!</v>
      </c>
      <c r="D129" s="86" t="str">
        <f t="shared" si="10"/>
        <v>#REF!</v>
      </c>
      <c r="E129" s="86" t="str">
        <f t="shared" si="11"/>
        <v>#REF!</v>
      </c>
      <c r="F129" s="86" t="str">
        <f t="shared" si="12"/>
        <v>#REF!</v>
      </c>
      <c r="G129" s="86" t="str">
        <f t="shared" si="13"/>
        <v>#REF!</v>
      </c>
      <c r="H129" s="86" t="str">
        <f t="shared" si="14"/>
        <v>#REF!</v>
      </c>
      <c r="I129" s="86" t="str">
        <f t="shared" si="15"/>
        <v>#REF!</v>
      </c>
    </row>
    <row r="130">
      <c r="B130" s="86" t="str">
        <f t="shared" si="1"/>
        <v>#REF!</v>
      </c>
      <c r="C130" s="86" t="str">
        <f t="shared" si="9"/>
        <v>#REF!</v>
      </c>
      <c r="D130" s="86" t="str">
        <f t="shared" si="10"/>
        <v>#REF!</v>
      </c>
      <c r="E130" s="86" t="str">
        <f t="shared" si="11"/>
        <v>#REF!</v>
      </c>
      <c r="F130" s="86" t="str">
        <f t="shared" si="12"/>
        <v>#REF!</v>
      </c>
      <c r="G130" s="86" t="str">
        <f t="shared" si="13"/>
        <v>#REF!</v>
      </c>
      <c r="H130" s="86" t="str">
        <f t="shared" si="14"/>
        <v>#REF!</v>
      </c>
      <c r="I130" s="86" t="str">
        <f t="shared" si="15"/>
        <v>#REF!</v>
      </c>
    </row>
    <row r="131">
      <c r="B131" s="86" t="str">
        <f t="shared" si="1"/>
        <v>#REF!</v>
      </c>
      <c r="C131" s="86" t="str">
        <f t="shared" si="9"/>
        <v>#REF!</v>
      </c>
      <c r="D131" s="86" t="str">
        <f t="shared" si="10"/>
        <v>#REF!</v>
      </c>
      <c r="E131" s="86" t="str">
        <f t="shared" si="11"/>
        <v>#REF!</v>
      </c>
      <c r="F131" s="86" t="str">
        <f t="shared" si="12"/>
        <v>#REF!</v>
      </c>
      <c r="G131" s="86" t="str">
        <f t="shared" si="13"/>
        <v>#REF!</v>
      </c>
      <c r="H131" s="86" t="str">
        <f t="shared" si="14"/>
        <v>#REF!</v>
      </c>
      <c r="I131" s="86" t="str">
        <f t="shared" si="15"/>
        <v>#REF!</v>
      </c>
    </row>
    <row r="132">
      <c r="B132" s="86" t="str">
        <f t="shared" si="1"/>
        <v>#REF!</v>
      </c>
      <c r="C132" s="86" t="str">
        <f t="shared" si="9"/>
        <v>#REF!</v>
      </c>
      <c r="D132" s="86" t="str">
        <f t="shared" si="10"/>
        <v>#REF!</v>
      </c>
      <c r="E132" s="86" t="str">
        <f t="shared" si="11"/>
        <v>#REF!</v>
      </c>
      <c r="F132" s="86" t="str">
        <f t="shared" si="12"/>
        <v>#REF!</v>
      </c>
      <c r="G132" s="86" t="str">
        <f t="shared" si="13"/>
        <v>#REF!</v>
      </c>
      <c r="H132" s="86" t="str">
        <f t="shared" si="14"/>
        <v>#REF!</v>
      </c>
      <c r="I132" s="86" t="str">
        <f t="shared" si="15"/>
        <v>#REF!</v>
      </c>
    </row>
    <row r="133">
      <c r="B133" s="86" t="str">
        <f t="shared" si="1"/>
        <v>#REF!</v>
      </c>
      <c r="C133" s="86" t="str">
        <f t="shared" si="9"/>
        <v>#REF!</v>
      </c>
      <c r="D133" s="86" t="str">
        <f t="shared" si="10"/>
        <v>#REF!</v>
      </c>
      <c r="E133" s="86" t="str">
        <f t="shared" si="11"/>
        <v>#REF!</v>
      </c>
      <c r="F133" s="86" t="str">
        <f t="shared" si="12"/>
        <v>#REF!</v>
      </c>
      <c r="G133" s="86" t="str">
        <f t="shared" si="13"/>
        <v>#REF!</v>
      </c>
      <c r="H133" s="86" t="str">
        <f t="shared" si="14"/>
        <v>#REF!</v>
      </c>
      <c r="I133" s="86" t="str">
        <f t="shared" si="15"/>
        <v>#REF!</v>
      </c>
    </row>
    <row r="134">
      <c r="B134" s="86" t="str">
        <f t="shared" si="1"/>
        <v>#REF!</v>
      </c>
      <c r="C134" s="86" t="str">
        <f t="shared" si="9"/>
        <v>#REF!</v>
      </c>
      <c r="D134" s="86" t="str">
        <f t="shared" si="10"/>
        <v>#REF!</v>
      </c>
      <c r="E134" s="86" t="str">
        <f t="shared" si="11"/>
        <v>#REF!</v>
      </c>
      <c r="F134" s="86" t="str">
        <f t="shared" si="12"/>
        <v>#REF!</v>
      </c>
      <c r="G134" s="86" t="str">
        <f t="shared" si="13"/>
        <v>#REF!</v>
      </c>
      <c r="H134" s="86" t="str">
        <f t="shared" si="14"/>
        <v>#REF!</v>
      </c>
      <c r="I134" s="86" t="str">
        <f t="shared" si="15"/>
        <v>#REF!</v>
      </c>
    </row>
    <row r="135">
      <c r="B135" s="86" t="str">
        <f t="shared" si="1"/>
        <v>#REF!</v>
      </c>
      <c r="C135" s="86" t="str">
        <f t="shared" si="9"/>
        <v>#REF!</v>
      </c>
      <c r="D135" s="86" t="str">
        <f t="shared" si="10"/>
        <v>#REF!</v>
      </c>
      <c r="E135" s="86" t="str">
        <f t="shared" si="11"/>
        <v>#REF!</v>
      </c>
      <c r="F135" s="86" t="str">
        <f t="shared" si="12"/>
        <v>#REF!</v>
      </c>
      <c r="G135" s="86" t="str">
        <f t="shared" si="13"/>
        <v>#REF!</v>
      </c>
      <c r="H135" s="86" t="str">
        <f t="shared" si="14"/>
        <v>#REF!</v>
      </c>
      <c r="I135" s="86" t="str">
        <f t="shared" si="15"/>
        <v>#REF!</v>
      </c>
    </row>
    <row r="136">
      <c r="B136" s="86" t="str">
        <f t="shared" si="1"/>
        <v>#REF!</v>
      </c>
      <c r="C136" s="86" t="str">
        <f t="shared" si="9"/>
        <v>#REF!</v>
      </c>
      <c r="D136" s="86" t="str">
        <f t="shared" si="10"/>
        <v>#REF!</v>
      </c>
      <c r="E136" s="86" t="str">
        <f t="shared" si="11"/>
        <v>#REF!</v>
      </c>
      <c r="F136" s="86" t="str">
        <f t="shared" si="12"/>
        <v>#REF!</v>
      </c>
      <c r="G136" s="86" t="str">
        <f t="shared" si="13"/>
        <v>#REF!</v>
      </c>
      <c r="H136" s="86" t="str">
        <f t="shared" si="14"/>
        <v>#REF!</v>
      </c>
      <c r="I136" s="86" t="str">
        <f t="shared" si="15"/>
        <v>#REF!</v>
      </c>
    </row>
    <row r="137">
      <c r="B137" s="86" t="str">
        <f t="shared" si="1"/>
        <v>#REF!</v>
      </c>
      <c r="C137" s="86" t="str">
        <f t="shared" si="9"/>
        <v>#REF!</v>
      </c>
      <c r="D137" s="86" t="str">
        <f t="shared" si="10"/>
        <v>#REF!</v>
      </c>
      <c r="E137" s="86" t="str">
        <f t="shared" si="11"/>
        <v>#REF!</v>
      </c>
      <c r="F137" s="86" t="str">
        <f t="shared" si="12"/>
        <v>#REF!</v>
      </c>
      <c r="G137" s="86" t="str">
        <f t="shared" si="13"/>
        <v>#REF!</v>
      </c>
      <c r="H137" s="86" t="str">
        <f t="shared" si="14"/>
        <v>#REF!</v>
      </c>
      <c r="I137" s="86" t="str">
        <f t="shared" si="15"/>
        <v>#REF!</v>
      </c>
    </row>
    <row r="138">
      <c r="B138" s="86" t="str">
        <f t="shared" si="1"/>
        <v>#REF!</v>
      </c>
      <c r="C138" s="86" t="str">
        <f t="shared" si="9"/>
        <v>#REF!</v>
      </c>
      <c r="D138" s="86" t="str">
        <f t="shared" si="10"/>
        <v>#REF!</v>
      </c>
      <c r="E138" s="86" t="str">
        <f t="shared" si="11"/>
        <v>#REF!</v>
      </c>
      <c r="F138" s="86" t="str">
        <f t="shared" si="12"/>
        <v>#REF!</v>
      </c>
      <c r="G138" s="86" t="str">
        <f t="shared" si="13"/>
        <v>#REF!</v>
      </c>
      <c r="H138" s="86" t="str">
        <f t="shared" si="14"/>
        <v>#REF!</v>
      </c>
      <c r="I138" s="86" t="str">
        <f t="shared" si="15"/>
        <v>#REF!</v>
      </c>
    </row>
    <row r="139">
      <c r="B139" s="86" t="str">
        <f t="shared" si="1"/>
        <v>#REF!</v>
      </c>
      <c r="C139" s="86" t="str">
        <f t="shared" si="9"/>
        <v>#REF!</v>
      </c>
      <c r="D139" s="86" t="str">
        <f t="shared" si="10"/>
        <v>#REF!</v>
      </c>
      <c r="E139" s="86" t="str">
        <f t="shared" si="11"/>
        <v>#REF!</v>
      </c>
      <c r="F139" s="86" t="str">
        <f t="shared" si="12"/>
        <v>#REF!</v>
      </c>
      <c r="G139" s="86" t="str">
        <f t="shared" si="13"/>
        <v>#REF!</v>
      </c>
      <c r="H139" s="86" t="str">
        <f t="shared" si="14"/>
        <v>#REF!</v>
      </c>
      <c r="I139" s="86" t="str">
        <f t="shared" si="15"/>
        <v>#REF!</v>
      </c>
    </row>
    <row r="140">
      <c r="B140" s="86" t="str">
        <f t="shared" si="1"/>
        <v>#REF!</v>
      </c>
      <c r="C140" s="86" t="str">
        <f t="shared" si="9"/>
        <v>#REF!</v>
      </c>
      <c r="D140" s="86" t="str">
        <f t="shared" si="10"/>
        <v>#REF!</v>
      </c>
      <c r="E140" s="86" t="str">
        <f t="shared" si="11"/>
        <v>#REF!</v>
      </c>
      <c r="F140" s="86" t="str">
        <f t="shared" si="12"/>
        <v>#REF!</v>
      </c>
      <c r="G140" s="86" t="str">
        <f t="shared" si="13"/>
        <v>#REF!</v>
      </c>
      <c r="H140" s="86" t="str">
        <f t="shared" si="14"/>
        <v>#REF!</v>
      </c>
      <c r="I140" s="86" t="str">
        <f t="shared" si="15"/>
        <v>#REF!</v>
      </c>
    </row>
    <row r="141">
      <c r="B141" s="86" t="str">
        <f t="shared" si="1"/>
        <v>#REF!</v>
      </c>
      <c r="C141" s="86" t="str">
        <f t="shared" si="9"/>
        <v>#REF!</v>
      </c>
      <c r="D141" s="86" t="str">
        <f t="shared" si="10"/>
        <v>#REF!</v>
      </c>
      <c r="E141" s="86" t="str">
        <f t="shared" si="11"/>
        <v>#REF!</v>
      </c>
      <c r="F141" s="86" t="str">
        <f t="shared" si="12"/>
        <v>#REF!</v>
      </c>
      <c r="G141" s="86" t="str">
        <f t="shared" si="13"/>
        <v>#REF!</v>
      </c>
      <c r="H141" s="86" t="str">
        <f t="shared" si="14"/>
        <v>#REF!</v>
      </c>
      <c r="I141" s="86" t="str">
        <f t="shared" si="15"/>
        <v>#REF!</v>
      </c>
    </row>
    <row r="142">
      <c r="B142" s="86" t="str">
        <f t="shared" si="1"/>
        <v>#REF!</v>
      </c>
      <c r="C142" s="86" t="str">
        <f t="shared" si="9"/>
        <v>#REF!</v>
      </c>
      <c r="D142" s="86" t="str">
        <f t="shared" si="10"/>
        <v>#REF!</v>
      </c>
      <c r="E142" s="86" t="str">
        <f t="shared" si="11"/>
        <v>#REF!</v>
      </c>
      <c r="F142" s="86" t="str">
        <f t="shared" si="12"/>
        <v>#REF!</v>
      </c>
      <c r="G142" s="86" t="str">
        <f t="shared" si="13"/>
        <v>#REF!</v>
      </c>
      <c r="H142" s="86" t="str">
        <f t="shared" si="14"/>
        <v>#REF!</v>
      </c>
      <c r="I142" s="86" t="str">
        <f t="shared" si="15"/>
        <v>#REF!</v>
      </c>
    </row>
    <row r="143">
      <c r="B143" s="86" t="str">
        <f t="shared" si="1"/>
        <v>#REF!</v>
      </c>
      <c r="C143" s="86" t="str">
        <f t="shared" si="9"/>
        <v>#REF!</v>
      </c>
      <c r="D143" s="86" t="str">
        <f t="shared" si="10"/>
        <v>#REF!</v>
      </c>
      <c r="E143" s="86" t="str">
        <f t="shared" si="11"/>
        <v>#REF!</v>
      </c>
      <c r="F143" s="86" t="str">
        <f t="shared" si="12"/>
        <v>#REF!</v>
      </c>
      <c r="G143" s="86" t="str">
        <f t="shared" si="13"/>
        <v>#REF!</v>
      </c>
      <c r="H143" s="86" t="str">
        <f t="shared" si="14"/>
        <v>#REF!</v>
      </c>
      <c r="I143" s="86" t="str">
        <f t="shared" si="15"/>
        <v>#REF!</v>
      </c>
    </row>
    <row r="144">
      <c r="B144" s="86" t="str">
        <f t="shared" si="1"/>
        <v>#REF!</v>
      </c>
      <c r="C144" s="86" t="str">
        <f t="shared" si="9"/>
        <v>#REF!</v>
      </c>
      <c r="D144" s="86" t="str">
        <f t="shared" si="10"/>
        <v>#REF!</v>
      </c>
      <c r="E144" s="86" t="str">
        <f t="shared" si="11"/>
        <v>#REF!</v>
      </c>
      <c r="F144" s="86" t="str">
        <f t="shared" si="12"/>
        <v>#REF!</v>
      </c>
      <c r="G144" s="86" t="str">
        <f t="shared" si="13"/>
        <v>#REF!</v>
      </c>
      <c r="H144" s="86" t="str">
        <f t="shared" si="14"/>
        <v>#REF!</v>
      </c>
      <c r="I144" s="86" t="str">
        <f t="shared" si="15"/>
        <v>#REF!</v>
      </c>
    </row>
    <row r="145">
      <c r="B145" s="86" t="str">
        <f t="shared" si="1"/>
        <v>#REF!</v>
      </c>
      <c r="C145" s="86" t="str">
        <f t="shared" si="9"/>
        <v>#REF!</v>
      </c>
      <c r="D145" s="86" t="str">
        <f t="shared" si="10"/>
        <v>#REF!</v>
      </c>
      <c r="E145" s="86" t="str">
        <f t="shared" si="11"/>
        <v>#REF!</v>
      </c>
      <c r="F145" s="86" t="str">
        <f t="shared" si="12"/>
        <v>#REF!</v>
      </c>
      <c r="G145" s="86" t="str">
        <f t="shared" si="13"/>
        <v>#REF!</v>
      </c>
      <c r="H145" s="86" t="str">
        <f t="shared" si="14"/>
        <v>#REF!</v>
      </c>
      <c r="I145" s="86" t="str">
        <f t="shared" si="15"/>
        <v>#REF!</v>
      </c>
    </row>
    <row r="146">
      <c r="B146" s="86" t="str">
        <f t="shared" si="1"/>
        <v>#REF!</v>
      </c>
      <c r="C146" s="86" t="str">
        <f t="shared" si="9"/>
        <v>#REF!</v>
      </c>
      <c r="D146" s="86" t="str">
        <f t="shared" si="10"/>
        <v>#REF!</v>
      </c>
      <c r="E146" s="86" t="str">
        <f t="shared" si="11"/>
        <v>#REF!</v>
      </c>
      <c r="F146" s="86" t="str">
        <f t="shared" si="12"/>
        <v>#REF!</v>
      </c>
      <c r="G146" s="86" t="str">
        <f t="shared" si="13"/>
        <v>#REF!</v>
      </c>
      <c r="H146" s="86" t="str">
        <f t="shared" si="14"/>
        <v>#REF!</v>
      </c>
      <c r="I146" s="86" t="str">
        <f t="shared" si="15"/>
        <v>#REF!</v>
      </c>
    </row>
    <row r="147">
      <c r="B147" s="86" t="str">
        <f t="shared" si="1"/>
        <v>#REF!</v>
      </c>
      <c r="C147" s="86" t="str">
        <f t="shared" si="9"/>
        <v>#REF!</v>
      </c>
      <c r="D147" s="86" t="str">
        <f t="shared" si="10"/>
        <v>#REF!</v>
      </c>
      <c r="E147" s="86" t="str">
        <f t="shared" si="11"/>
        <v>#REF!</v>
      </c>
      <c r="F147" s="86" t="str">
        <f t="shared" si="12"/>
        <v>#REF!</v>
      </c>
      <c r="G147" s="86" t="str">
        <f t="shared" si="13"/>
        <v>#REF!</v>
      </c>
      <c r="H147" s="86" t="str">
        <f t="shared" si="14"/>
        <v>#REF!</v>
      </c>
      <c r="I147" s="86" t="str">
        <f t="shared" si="15"/>
        <v>#REF!</v>
      </c>
    </row>
    <row r="148">
      <c r="B148" s="86" t="str">
        <f t="shared" si="1"/>
        <v>#REF!</v>
      </c>
      <c r="C148" s="86" t="str">
        <f t="shared" si="9"/>
        <v>#REF!</v>
      </c>
      <c r="D148" s="86" t="str">
        <f t="shared" si="10"/>
        <v>#REF!</v>
      </c>
      <c r="E148" s="86" t="str">
        <f t="shared" si="11"/>
        <v>#REF!</v>
      </c>
      <c r="F148" s="86" t="str">
        <f t="shared" si="12"/>
        <v>#REF!</v>
      </c>
      <c r="G148" s="86" t="str">
        <f t="shared" si="13"/>
        <v>#REF!</v>
      </c>
      <c r="H148" s="86" t="str">
        <f t="shared" si="14"/>
        <v>#REF!</v>
      </c>
      <c r="I148" s="86" t="str">
        <f t="shared" si="15"/>
        <v>#REF!</v>
      </c>
    </row>
    <row r="149">
      <c r="B149" s="86" t="str">
        <f t="shared" si="1"/>
        <v>#REF!</v>
      </c>
      <c r="C149" s="86" t="str">
        <f t="shared" si="9"/>
        <v>#REF!</v>
      </c>
      <c r="D149" s="86" t="str">
        <f t="shared" si="10"/>
        <v>#REF!</v>
      </c>
      <c r="E149" s="86" t="str">
        <f t="shared" si="11"/>
        <v>#REF!</v>
      </c>
      <c r="F149" s="86" t="str">
        <f t="shared" si="12"/>
        <v>#REF!</v>
      </c>
      <c r="G149" s="86" t="str">
        <f t="shared" si="13"/>
        <v>#REF!</v>
      </c>
      <c r="H149" s="86" t="str">
        <f t="shared" si="14"/>
        <v>#REF!</v>
      </c>
      <c r="I149" s="86" t="str">
        <f t="shared" si="15"/>
        <v>#REF!</v>
      </c>
    </row>
    <row r="150">
      <c r="B150" s="86" t="str">
        <f t="shared" si="1"/>
        <v>#REF!</v>
      </c>
      <c r="C150" s="86" t="str">
        <f t="shared" si="9"/>
        <v>#REF!</v>
      </c>
      <c r="D150" s="86" t="str">
        <f t="shared" si="10"/>
        <v>#REF!</v>
      </c>
      <c r="E150" s="86" t="str">
        <f t="shared" si="11"/>
        <v>#REF!</v>
      </c>
      <c r="F150" s="86" t="str">
        <f t="shared" si="12"/>
        <v>#REF!</v>
      </c>
      <c r="G150" s="86" t="str">
        <f t="shared" si="13"/>
        <v>#REF!</v>
      </c>
      <c r="H150" s="86" t="str">
        <f t="shared" si="14"/>
        <v>#REF!</v>
      </c>
      <c r="I150" s="86" t="str">
        <f t="shared" si="15"/>
        <v>#REF!</v>
      </c>
    </row>
    <row r="151">
      <c r="B151" s="86" t="str">
        <f t="shared" si="1"/>
        <v>#REF!</v>
      </c>
      <c r="C151" s="86" t="str">
        <f t="shared" si="9"/>
        <v>#REF!</v>
      </c>
      <c r="D151" s="86" t="str">
        <f t="shared" si="10"/>
        <v>#REF!</v>
      </c>
      <c r="E151" s="86" t="str">
        <f t="shared" si="11"/>
        <v>#REF!</v>
      </c>
      <c r="F151" s="86" t="str">
        <f t="shared" si="12"/>
        <v>#REF!</v>
      </c>
      <c r="G151" s="86" t="str">
        <f t="shared" si="13"/>
        <v>#REF!</v>
      </c>
      <c r="H151" s="86" t="str">
        <f t="shared" si="14"/>
        <v>#REF!</v>
      </c>
      <c r="I151" s="86" t="str">
        <f t="shared" si="15"/>
        <v>#REF!</v>
      </c>
    </row>
    <row r="152">
      <c r="B152" s="86" t="str">
        <f t="shared" si="1"/>
        <v>#REF!</v>
      </c>
      <c r="C152" s="86" t="str">
        <f t="shared" si="9"/>
        <v>#REF!</v>
      </c>
      <c r="D152" s="86" t="str">
        <f t="shared" si="10"/>
        <v>#REF!</v>
      </c>
      <c r="E152" s="86" t="str">
        <f t="shared" si="11"/>
        <v>#REF!</v>
      </c>
      <c r="F152" s="86" t="str">
        <f t="shared" si="12"/>
        <v>#REF!</v>
      </c>
      <c r="G152" s="86" t="str">
        <f t="shared" si="13"/>
        <v>#REF!</v>
      </c>
      <c r="H152" s="86" t="str">
        <f t="shared" si="14"/>
        <v>#REF!</v>
      </c>
      <c r="I152" s="86" t="str">
        <f t="shared" si="15"/>
        <v>#REF!</v>
      </c>
    </row>
    <row r="153">
      <c r="B153" s="86" t="str">
        <f t="shared" si="1"/>
        <v>#REF!</v>
      </c>
      <c r="C153" s="86" t="str">
        <f t="shared" si="9"/>
        <v>#REF!</v>
      </c>
      <c r="D153" s="86" t="str">
        <f t="shared" si="10"/>
        <v>#REF!</v>
      </c>
      <c r="E153" s="86" t="str">
        <f t="shared" si="11"/>
        <v>#REF!</v>
      </c>
      <c r="F153" s="86" t="str">
        <f t="shared" si="12"/>
        <v>#REF!</v>
      </c>
      <c r="G153" s="86" t="str">
        <f t="shared" si="13"/>
        <v>#REF!</v>
      </c>
      <c r="H153" s="86" t="str">
        <f t="shared" si="14"/>
        <v>#REF!</v>
      </c>
      <c r="I153" s="86" t="str">
        <f t="shared" si="15"/>
        <v>#REF!</v>
      </c>
    </row>
    <row r="154">
      <c r="B154" s="86" t="str">
        <f t="shared" si="1"/>
        <v>#REF!</v>
      </c>
      <c r="C154" s="86" t="str">
        <f t="shared" si="9"/>
        <v>#REF!</v>
      </c>
      <c r="D154" s="86" t="str">
        <f t="shared" si="10"/>
        <v>#REF!</v>
      </c>
      <c r="E154" s="86" t="str">
        <f t="shared" si="11"/>
        <v>#REF!</v>
      </c>
      <c r="F154" s="86" t="str">
        <f t="shared" si="12"/>
        <v>#REF!</v>
      </c>
      <c r="G154" s="86" t="str">
        <f t="shared" si="13"/>
        <v>#REF!</v>
      </c>
      <c r="H154" s="86" t="str">
        <f t="shared" si="14"/>
        <v>#REF!</v>
      </c>
      <c r="I154" s="86" t="str">
        <f t="shared" si="15"/>
        <v>#REF!</v>
      </c>
    </row>
    <row r="155">
      <c r="B155" s="86" t="str">
        <f t="shared" si="1"/>
        <v>#REF!</v>
      </c>
      <c r="C155" s="86" t="str">
        <f t="shared" si="9"/>
        <v>#REF!</v>
      </c>
      <c r="D155" s="86" t="str">
        <f t="shared" si="10"/>
        <v>#REF!</v>
      </c>
      <c r="E155" s="86" t="str">
        <f t="shared" si="11"/>
        <v>#REF!</v>
      </c>
      <c r="F155" s="86" t="str">
        <f t="shared" si="12"/>
        <v>#REF!</v>
      </c>
      <c r="G155" s="86" t="str">
        <f t="shared" si="13"/>
        <v>#REF!</v>
      </c>
      <c r="H155" s="86" t="str">
        <f t="shared" si="14"/>
        <v>#REF!</v>
      </c>
      <c r="I155" s="86" t="str">
        <f t="shared" si="15"/>
        <v>#REF!</v>
      </c>
    </row>
    <row r="156">
      <c r="B156" s="86" t="str">
        <f t="shared" si="1"/>
        <v>#REF!</v>
      </c>
      <c r="C156" s="86" t="str">
        <f t="shared" si="9"/>
        <v>#REF!</v>
      </c>
      <c r="D156" s="86" t="str">
        <f t="shared" si="10"/>
        <v>#REF!</v>
      </c>
      <c r="E156" s="86" t="str">
        <f t="shared" si="11"/>
        <v>#REF!</v>
      </c>
      <c r="F156" s="86" t="str">
        <f t="shared" si="12"/>
        <v>#REF!</v>
      </c>
      <c r="G156" s="86" t="str">
        <f t="shared" si="13"/>
        <v>#REF!</v>
      </c>
      <c r="H156" s="86" t="str">
        <f t="shared" si="14"/>
        <v>#REF!</v>
      </c>
      <c r="I156" s="86" t="str">
        <f t="shared" si="15"/>
        <v>#REF!</v>
      </c>
    </row>
    <row r="157">
      <c r="B157" s="86" t="str">
        <f t="shared" si="1"/>
        <v>#REF!</v>
      </c>
      <c r="C157" s="86" t="str">
        <f t="shared" si="9"/>
        <v>#REF!</v>
      </c>
      <c r="D157" s="86" t="str">
        <f t="shared" si="10"/>
        <v>#REF!</v>
      </c>
      <c r="E157" s="86" t="str">
        <f t="shared" si="11"/>
        <v>#REF!</v>
      </c>
      <c r="F157" s="86" t="str">
        <f t="shared" si="12"/>
        <v>#REF!</v>
      </c>
      <c r="G157" s="86" t="str">
        <f t="shared" si="13"/>
        <v>#REF!</v>
      </c>
      <c r="H157" s="86" t="str">
        <f t="shared" si="14"/>
        <v>#REF!</v>
      </c>
      <c r="I157" s="86" t="str">
        <f t="shared" si="15"/>
        <v>#REF!</v>
      </c>
    </row>
    <row r="158">
      <c r="B158" s="86" t="str">
        <f t="shared" si="1"/>
        <v>#REF!</v>
      </c>
      <c r="C158" s="86" t="str">
        <f t="shared" si="9"/>
        <v>#REF!</v>
      </c>
      <c r="D158" s="86" t="str">
        <f t="shared" si="10"/>
        <v>#REF!</v>
      </c>
      <c r="E158" s="86" t="str">
        <f t="shared" si="11"/>
        <v>#REF!</v>
      </c>
      <c r="F158" s="86" t="str">
        <f t="shared" si="12"/>
        <v>#REF!</v>
      </c>
      <c r="G158" s="86" t="str">
        <f t="shared" si="13"/>
        <v>#REF!</v>
      </c>
      <c r="H158" s="86" t="str">
        <f t="shared" si="14"/>
        <v>#REF!</v>
      </c>
      <c r="I158" s="86" t="str">
        <f t="shared" si="15"/>
        <v>#REF!</v>
      </c>
    </row>
    <row r="159">
      <c r="B159" s="86" t="str">
        <f t="shared" si="1"/>
        <v>#REF!</v>
      </c>
      <c r="C159" s="86" t="str">
        <f t="shared" si="9"/>
        <v>#REF!</v>
      </c>
      <c r="D159" s="86" t="str">
        <f t="shared" si="10"/>
        <v>#REF!</v>
      </c>
      <c r="E159" s="86" t="str">
        <f t="shared" si="11"/>
        <v>#REF!</v>
      </c>
      <c r="F159" s="86" t="str">
        <f t="shared" si="12"/>
        <v>#REF!</v>
      </c>
      <c r="G159" s="86" t="str">
        <f t="shared" si="13"/>
        <v>#REF!</v>
      </c>
      <c r="H159" s="86" t="str">
        <f t="shared" si="14"/>
        <v>#REF!</v>
      </c>
      <c r="I159" s="86" t="str">
        <f t="shared" si="15"/>
        <v>#REF!</v>
      </c>
    </row>
    <row r="160">
      <c r="B160" s="86" t="str">
        <f t="shared" si="1"/>
        <v>#REF!</v>
      </c>
      <c r="C160" s="86" t="str">
        <f t="shared" si="9"/>
        <v>#REF!</v>
      </c>
      <c r="D160" s="86" t="str">
        <f t="shared" si="10"/>
        <v>#REF!</v>
      </c>
      <c r="E160" s="86" t="str">
        <f t="shared" si="11"/>
        <v>#REF!</v>
      </c>
      <c r="F160" s="86" t="str">
        <f t="shared" si="12"/>
        <v>#REF!</v>
      </c>
      <c r="G160" s="86" t="str">
        <f t="shared" si="13"/>
        <v>#REF!</v>
      </c>
      <c r="H160" s="86" t="str">
        <f t="shared" si="14"/>
        <v>#REF!</v>
      </c>
      <c r="I160" s="86" t="str">
        <f t="shared" si="15"/>
        <v>#REF!</v>
      </c>
    </row>
    <row r="161">
      <c r="B161" s="86" t="str">
        <f t="shared" si="1"/>
        <v>#REF!</v>
      </c>
      <c r="C161" s="86" t="str">
        <f t="shared" si="9"/>
        <v>#REF!</v>
      </c>
      <c r="D161" s="86" t="str">
        <f t="shared" si="10"/>
        <v>#REF!</v>
      </c>
      <c r="E161" s="86" t="str">
        <f t="shared" si="11"/>
        <v>#REF!</v>
      </c>
      <c r="F161" s="86" t="str">
        <f t="shared" si="12"/>
        <v>#REF!</v>
      </c>
      <c r="G161" s="86" t="str">
        <f t="shared" si="13"/>
        <v>#REF!</v>
      </c>
      <c r="H161" s="86" t="str">
        <f t="shared" si="14"/>
        <v>#REF!</v>
      </c>
      <c r="I161" s="86" t="str">
        <f t="shared" si="15"/>
        <v>#REF!</v>
      </c>
    </row>
    <row r="162">
      <c r="B162" s="86" t="str">
        <f t="shared" si="1"/>
        <v>#REF!</v>
      </c>
      <c r="C162" s="86" t="str">
        <f t="shared" si="9"/>
        <v>#REF!</v>
      </c>
      <c r="D162" s="86" t="str">
        <f t="shared" si="10"/>
        <v>#REF!</v>
      </c>
      <c r="E162" s="86" t="str">
        <f t="shared" si="11"/>
        <v>#REF!</v>
      </c>
      <c r="F162" s="86" t="str">
        <f t="shared" si="12"/>
        <v>#REF!</v>
      </c>
      <c r="G162" s="86" t="str">
        <f t="shared" si="13"/>
        <v>#REF!</v>
      </c>
      <c r="H162" s="86" t="str">
        <f t="shared" si="14"/>
        <v>#REF!</v>
      </c>
      <c r="I162" s="86" t="str">
        <f t="shared" si="15"/>
        <v>#REF!</v>
      </c>
    </row>
    <row r="163">
      <c r="B163" s="86" t="str">
        <f t="shared" si="1"/>
        <v>#REF!</v>
      </c>
      <c r="C163" s="86" t="str">
        <f t="shared" si="9"/>
        <v>#REF!</v>
      </c>
      <c r="D163" s="86" t="str">
        <f t="shared" si="10"/>
        <v>#REF!</v>
      </c>
      <c r="E163" s="86" t="str">
        <f t="shared" si="11"/>
        <v>#REF!</v>
      </c>
      <c r="F163" s="86" t="str">
        <f t="shared" si="12"/>
        <v>#REF!</v>
      </c>
      <c r="G163" s="86" t="str">
        <f t="shared" si="13"/>
        <v>#REF!</v>
      </c>
      <c r="H163" s="86" t="str">
        <f t="shared" si="14"/>
        <v>#REF!</v>
      </c>
      <c r="I163" s="86" t="str">
        <f t="shared" si="15"/>
        <v>#REF!</v>
      </c>
    </row>
    <row r="164">
      <c r="B164" s="86" t="str">
        <f t="shared" si="1"/>
        <v>#REF!</v>
      </c>
      <c r="C164" s="86" t="str">
        <f t="shared" si="9"/>
        <v>#REF!</v>
      </c>
      <c r="D164" s="86" t="str">
        <f t="shared" si="10"/>
        <v>#REF!</v>
      </c>
      <c r="E164" s="86" t="str">
        <f t="shared" si="11"/>
        <v>#REF!</v>
      </c>
      <c r="F164" s="86" t="str">
        <f t="shared" si="12"/>
        <v>#REF!</v>
      </c>
      <c r="G164" s="86" t="str">
        <f t="shared" si="13"/>
        <v>#REF!</v>
      </c>
      <c r="H164" s="86" t="str">
        <f t="shared" si="14"/>
        <v>#REF!</v>
      </c>
      <c r="I164" s="86" t="str">
        <f t="shared" si="15"/>
        <v>#REF!</v>
      </c>
    </row>
    <row r="165">
      <c r="B165" s="86" t="str">
        <f t="shared" si="1"/>
        <v>#REF!</v>
      </c>
      <c r="C165" s="86" t="str">
        <f t="shared" si="9"/>
        <v>#REF!</v>
      </c>
      <c r="D165" s="86" t="str">
        <f t="shared" si="10"/>
        <v>#REF!</v>
      </c>
      <c r="E165" s="86" t="str">
        <f t="shared" si="11"/>
        <v>#REF!</v>
      </c>
      <c r="F165" s="86" t="str">
        <f t="shared" si="12"/>
        <v>#REF!</v>
      </c>
      <c r="G165" s="86" t="str">
        <f t="shared" si="13"/>
        <v>#REF!</v>
      </c>
      <c r="H165" s="86" t="str">
        <f t="shared" si="14"/>
        <v>#REF!</v>
      </c>
      <c r="I165" s="86" t="str">
        <f t="shared" si="15"/>
        <v>#REF!</v>
      </c>
    </row>
    <row r="166">
      <c r="B166" s="86" t="str">
        <f t="shared" si="1"/>
        <v>#REF!</v>
      </c>
      <c r="C166" s="86" t="str">
        <f t="shared" si="9"/>
        <v>#REF!</v>
      </c>
      <c r="D166" s="86" t="str">
        <f t="shared" si="10"/>
        <v>#REF!</v>
      </c>
      <c r="E166" s="86" t="str">
        <f t="shared" si="11"/>
        <v>#REF!</v>
      </c>
      <c r="F166" s="86" t="str">
        <f t="shared" si="12"/>
        <v>#REF!</v>
      </c>
      <c r="G166" s="86" t="str">
        <f t="shared" si="13"/>
        <v>#REF!</v>
      </c>
      <c r="H166" s="86" t="str">
        <f t="shared" si="14"/>
        <v>#REF!</v>
      </c>
      <c r="I166" s="86" t="str">
        <f t="shared" si="15"/>
        <v>#REF!</v>
      </c>
    </row>
    <row r="167">
      <c r="B167" s="86" t="str">
        <f t="shared" si="1"/>
        <v>#REF!</v>
      </c>
      <c r="C167" s="86" t="str">
        <f t="shared" si="9"/>
        <v>#REF!</v>
      </c>
      <c r="D167" s="86" t="str">
        <f t="shared" si="10"/>
        <v>#REF!</v>
      </c>
      <c r="E167" s="86" t="str">
        <f t="shared" si="11"/>
        <v>#REF!</v>
      </c>
      <c r="F167" s="86" t="str">
        <f t="shared" si="12"/>
        <v>#REF!</v>
      </c>
      <c r="G167" s="86" t="str">
        <f t="shared" si="13"/>
        <v>#REF!</v>
      </c>
      <c r="H167" s="86" t="str">
        <f t="shared" si="14"/>
        <v>#REF!</v>
      </c>
      <c r="I167" s="86" t="str">
        <f t="shared" si="15"/>
        <v>#REF!</v>
      </c>
    </row>
    <row r="168">
      <c r="B168" s="86" t="str">
        <f t="shared" si="1"/>
        <v>#REF!</v>
      </c>
      <c r="C168" s="86" t="str">
        <f t="shared" si="9"/>
        <v>#REF!</v>
      </c>
      <c r="D168" s="86" t="str">
        <f t="shared" si="10"/>
        <v>#REF!</v>
      </c>
      <c r="E168" s="86" t="str">
        <f t="shared" si="11"/>
        <v>#REF!</v>
      </c>
      <c r="F168" s="86" t="str">
        <f t="shared" si="12"/>
        <v>#REF!</v>
      </c>
      <c r="G168" s="86" t="str">
        <f t="shared" si="13"/>
        <v>#REF!</v>
      </c>
      <c r="H168" s="86" t="str">
        <f t="shared" si="14"/>
        <v>#REF!</v>
      </c>
      <c r="I168" s="86" t="str">
        <f t="shared" si="15"/>
        <v>#REF!</v>
      </c>
    </row>
    <row r="169">
      <c r="B169" s="86" t="str">
        <f t="shared" si="1"/>
        <v>#REF!</v>
      </c>
      <c r="C169" s="86" t="str">
        <f t="shared" si="9"/>
        <v>#REF!</v>
      </c>
      <c r="D169" s="86" t="str">
        <f t="shared" si="10"/>
        <v>#REF!</v>
      </c>
      <c r="E169" s="86" t="str">
        <f t="shared" si="11"/>
        <v>#REF!</v>
      </c>
      <c r="F169" s="86" t="str">
        <f t="shared" si="12"/>
        <v>#REF!</v>
      </c>
      <c r="G169" s="86" t="str">
        <f t="shared" si="13"/>
        <v>#REF!</v>
      </c>
      <c r="H169" s="86" t="str">
        <f t="shared" si="14"/>
        <v>#REF!</v>
      </c>
      <c r="I169" s="86" t="str">
        <f t="shared" si="15"/>
        <v>#REF!</v>
      </c>
    </row>
    <row r="170">
      <c r="B170" s="86" t="str">
        <f t="shared" si="1"/>
        <v>#REF!</v>
      </c>
      <c r="C170" s="86" t="str">
        <f t="shared" si="9"/>
        <v>#REF!</v>
      </c>
      <c r="D170" s="86" t="str">
        <f t="shared" si="10"/>
        <v>#REF!</v>
      </c>
      <c r="E170" s="86" t="str">
        <f t="shared" si="11"/>
        <v>#REF!</v>
      </c>
      <c r="F170" s="86" t="str">
        <f t="shared" si="12"/>
        <v>#REF!</v>
      </c>
      <c r="G170" s="86" t="str">
        <f t="shared" si="13"/>
        <v>#REF!</v>
      </c>
      <c r="H170" s="86" t="str">
        <f t="shared" si="14"/>
        <v>#REF!</v>
      </c>
      <c r="I170" s="86" t="str">
        <f t="shared" si="15"/>
        <v>#REF!</v>
      </c>
    </row>
    <row r="171">
      <c r="B171" s="86" t="str">
        <f t="shared" si="1"/>
        <v>#REF!</v>
      </c>
      <c r="C171" s="86" t="str">
        <f t="shared" si="9"/>
        <v>#REF!</v>
      </c>
      <c r="D171" s="86" t="str">
        <f t="shared" si="10"/>
        <v>#REF!</v>
      </c>
      <c r="E171" s="86" t="str">
        <f t="shared" si="11"/>
        <v>#REF!</v>
      </c>
      <c r="F171" s="86" t="str">
        <f t="shared" si="12"/>
        <v>#REF!</v>
      </c>
      <c r="G171" s="86" t="str">
        <f t="shared" si="13"/>
        <v>#REF!</v>
      </c>
      <c r="H171" s="86" t="str">
        <f t="shared" si="14"/>
        <v>#REF!</v>
      </c>
      <c r="I171" s="86" t="str">
        <f t="shared" si="15"/>
        <v>#REF!</v>
      </c>
    </row>
    <row r="172">
      <c r="B172" s="86" t="str">
        <f t="shared" si="1"/>
        <v>#REF!</v>
      </c>
      <c r="C172" s="86" t="str">
        <f t="shared" si="9"/>
        <v>#REF!</v>
      </c>
      <c r="D172" s="86" t="str">
        <f t="shared" si="10"/>
        <v>#REF!</v>
      </c>
      <c r="E172" s="86" t="str">
        <f t="shared" si="11"/>
        <v>#REF!</v>
      </c>
      <c r="F172" s="86" t="str">
        <f t="shared" si="12"/>
        <v>#REF!</v>
      </c>
      <c r="G172" s="86" t="str">
        <f t="shared" si="13"/>
        <v>#REF!</v>
      </c>
      <c r="H172" s="86" t="str">
        <f t="shared" si="14"/>
        <v>#REF!</v>
      </c>
      <c r="I172" s="86" t="str">
        <f t="shared" si="15"/>
        <v>#REF!</v>
      </c>
    </row>
    <row r="173">
      <c r="B173" s="86" t="str">
        <f t="shared" si="1"/>
        <v>#REF!</v>
      </c>
      <c r="C173" s="86" t="str">
        <f t="shared" si="9"/>
        <v>#REF!</v>
      </c>
      <c r="D173" s="86" t="str">
        <f t="shared" si="10"/>
        <v>#REF!</v>
      </c>
      <c r="E173" s="86" t="str">
        <f t="shared" si="11"/>
        <v>#REF!</v>
      </c>
      <c r="F173" s="86" t="str">
        <f t="shared" si="12"/>
        <v>#REF!</v>
      </c>
      <c r="G173" s="86" t="str">
        <f t="shared" si="13"/>
        <v>#REF!</v>
      </c>
      <c r="H173" s="86" t="str">
        <f t="shared" si="14"/>
        <v>#REF!</v>
      </c>
      <c r="I173" s="86" t="str">
        <f t="shared" si="15"/>
        <v>#REF!</v>
      </c>
    </row>
    <row r="174">
      <c r="B174" s="86" t="str">
        <f t="shared" si="1"/>
        <v>#REF!</v>
      </c>
      <c r="C174" s="86" t="str">
        <f t="shared" si="9"/>
        <v>#REF!</v>
      </c>
      <c r="D174" s="86" t="str">
        <f t="shared" si="10"/>
        <v>#REF!</v>
      </c>
      <c r="E174" s="86" t="str">
        <f t="shared" si="11"/>
        <v>#REF!</v>
      </c>
      <c r="F174" s="86" t="str">
        <f t="shared" si="12"/>
        <v>#REF!</v>
      </c>
      <c r="G174" s="86" t="str">
        <f t="shared" si="13"/>
        <v>#REF!</v>
      </c>
      <c r="H174" s="86" t="str">
        <f t="shared" si="14"/>
        <v>#REF!</v>
      </c>
      <c r="I174" s="86" t="str">
        <f t="shared" si="15"/>
        <v>#REF!</v>
      </c>
    </row>
    <row r="175">
      <c r="B175" s="86" t="str">
        <f t="shared" si="1"/>
        <v>#REF!</v>
      </c>
      <c r="C175" s="86" t="str">
        <f t="shared" si="9"/>
        <v>#REF!</v>
      </c>
      <c r="D175" s="86" t="str">
        <f t="shared" si="10"/>
        <v>#REF!</v>
      </c>
      <c r="E175" s="86" t="str">
        <f t="shared" si="11"/>
        <v>#REF!</v>
      </c>
      <c r="F175" s="86" t="str">
        <f t="shared" si="12"/>
        <v>#REF!</v>
      </c>
      <c r="G175" s="86" t="str">
        <f t="shared" si="13"/>
        <v>#REF!</v>
      </c>
      <c r="H175" s="86" t="str">
        <f t="shared" si="14"/>
        <v>#REF!</v>
      </c>
      <c r="I175" s="86" t="str">
        <f t="shared" si="15"/>
        <v>#REF!</v>
      </c>
    </row>
    <row r="176">
      <c r="B176" s="86" t="str">
        <f t="shared" si="1"/>
        <v>#REF!</v>
      </c>
      <c r="C176" s="86" t="str">
        <f t="shared" si="9"/>
        <v>#REF!</v>
      </c>
      <c r="D176" s="86" t="str">
        <f t="shared" si="10"/>
        <v>#REF!</v>
      </c>
      <c r="E176" s="86" t="str">
        <f t="shared" si="11"/>
        <v>#REF!</v>
      </c>
      <c r="F176" s="86" t="str">
        <f t="shared" si="12"/>
        <v>#REF!</v>
      </c>
      <c r="G176" s="86" t="str">
        <f t="shared" si="13"/>
        <v>#REF!</v>
      </c>
      <c r="H176" s="86" t="str">
        <f t="shared" si="14"/>
        <v>#REF!</v>
      </c>
      <c r="I176" s="86" t="str">
        <f t="shared" si="15"/>
        <v>#REF!</v>
      </c>
    </row>
    <row r="177">
      <c r="B177" s="86" t="str">
        <f t="shared" si="1"/>
        <v>#REF!</v>
      </c>
      <c r="C177" s="86" t="str">
        <f t="shared" si="9"/>
        <v>#REF!</v>
      </c>
      <c r="D177" s="86" t="str">
        <f t="shared" si="10"/>
        <v>#REF!</v>
      </c>
      <c r="E177" s="86" t="str">
        <f t="shared" si="11"/>
        <v>#REF!</v>
      </c>
      <c r="F177" s="86" t="str">
        <f t="shared" si="12"/>
        <v>#REF!</v>
      </c>
      <c r="G177" s="86" t="str">
        <f t="shared" si="13"/>
        <v>#REF!</v>
      </c>
      <c r="H177" s="86" t="str">
        <f t="shared" si="14"/>
        <v>#REF!</v>
      </c>
      <c r="I177" s="86" t="str">
        <f t="shared" si="15"/>
        <v>#REF!</v>
      </c>
    </row>
    <row r="178">
      <c r="B178" s="86" t="str">
        <f t="shared" si="1"/>
        <v>#REF!</v>
      </c>
      <c r="C178" s="86" t="str">
        <f t="shared" si="9"/>
        <v>#REF!</v>
      </c>
      <c r="D178" s="86" t="str">
        <f t="shared" si="10"/>
        <v>#REF!</v>
      </c>
      <c r="E178" s="86" t="str">
        <f t="shared" si="11"/>
        <v>#REF!</v>
      </c>
      <c r="F178" s="86" t="str">
        <f t="shared" si="12"/>
        <v>#REF!</v>
      </c>
      <c r="G178" s="86" t="str">
        <f t="shared" si="13"/>
        <v>#REF!</v>
      </c>
      <c r="H178" s="86" t="str">
        <f t="shared" si="14"/>
        <v>#REF!</v>
      </c>
      <c r="I178" s="86" t="str">
        <f t="shared" si="15"/>
        <v>#REF!</v>
      </c>
    </row>
    <row r="179">
      <c r="B179" s="86" t="str">
        <f t="shared" si="1"/>
        <v>#REF!</v>
      </c>
      <c r="C179" s="86" t="str">
        <f t="shared" si="9"/>
        <v>#REF!</v>
      </c>
      <c r="D179" s="86" t="str">
        <f t="shared" si="10"/>
        <v>#REF!</v>
      </c>
      <c r="E179" s="86" t="str">
        <f t="shared" si="11"/>
        <v>#REF!</v>
      </c>
      <c r="F179" s="86" t="str">
        <f t="shared" si="12"/>
        <v>#REF!</v>
      </c>
      <c r="G179" s="86" t="str">
        <f t="shared" si="13"/>
        <v>#REF!</v>
      </c>
      <c r="H179" s="86" t="str">
        <f t="shared" si="14"/>
        <v>#REF!</v>
      </c>
      <c r="I179" s="86" t="str">
        <f t="shared" si="15"/>
        <v>#REF!</v>
      </c>
    </row>
    <row r="180">
      <c r="B180" s="86" t="str">
        <f t="shared" si="1"/>
        <v>#REF!</v>
      </c>
      <c r="C180" s="86" t="str">
        <f t="shared" si="9"/>
        <v>#REF!</v>
      </c>
      <c r="D180" s="86" t="str">
        <f t="shared" si="10"/>
        <v>#REF!</v>
      </c>
      <c r="E180" s="86" t="str">
        <f t="shared" si="11"/>
        <v>#REF!</v>
      </c>
      <c r="F180" s="86" t="str">
        <f t="shared" si="12"/>
        <v>#REF!</v>
      </c>
      <c r="G180" s="86" t="str">
        <f t="shared" si="13"/>
        <v>#REF!</v>
      </c>
      <c r="H180" s="86" t="str">
        <f t="shared" si="14"/>
        <v>#REF!</v>
      </c>
      <c r="I180" s="86" t="str">
        <f t="shared" si="15"/>
        <v>#REF!</v>
      </c>
    </row>
    <row r="181">
      <c r="B181" s="86" t="str">
        <f t="shared" si="1"/>
        <v>#REF!</v>
      </c>
      <c r="C181" s="86" t="str">
        <f t="shared" si="9"/>
        <v>#REF!</v>
      </c>
      <c r="D181" s="86" t="str">
        <f t="shared" si="10"/>
        <v>#REF!</v>
      </c>
      <c r="E181" s="86" t="str">
        <f t="shared" si="11"/>
        <v>#REF!</v>
      </c>
      <c r="F181" s="86" t="str">
        <f t="shared" si="12"/>
        <v>#REF!</v>
      </c>
      <c r="G181" s="86" t="str">
        <f t="shared" si="13"/>
        <v>#REF!</v>
      </c>
      <c r="H181" s="86" t="str">
        <f t="shared" si="14"/>
        <v>#REF!</v>
      </c>
      <c r="I181" s="86" t="str">
        <f t="shared" si="15"/>
        <v>#REF!</v>
      </c>
    </row>
    <row r="182">
      <c r="B182" s="86" t="str">
        <f t="shared" si="1"/>
        <v>#REF!</v>
      </c>
      <c r="C182" s="86" t="str">
        <f t="shared" si="9"/>
        <v>#REF!</v>
      </c>
      <c r="D182" s="86" t="str">
        <f t="shared" si="10"/>
        <v>#REF!</v>
      </c>
      <c r="E182" s="86" t="str">
        <f t="shared" si="11"/>
        <v>#REF!</v>
      </c>
      <c r="F182" s="86" t="str">
        <f t="shared" si="12"/>
        <v>#REF!</v>
      </c>
      <c r="G182" s="86" t="str">
        <f t="shared" si="13"/>
        <v>#REF!</v>
      </c>
      <c r="H182" s="86" t="str">
        <f t="shared" si="14"/>
        <v>#REF!</v>
      </c>
      <c r="I182" s="86" t="str">
        <f t="shared" si="15"/>
        <v>#REF!</v>
      </c>
    </row>
    <row r="183">
      <c r="B183" s="86" t="str">
        <f t="shared" si="1"/>
        <v>#REF!</v>
      </c>
      <c r="C183" s="86" t="str">
        <f t="shared" si="9"/>
        <v>#REF!</v>
      </c>
      <c r="D183" s="86" t="str">
        <f t="shared" si="10"/>
        <v>#REF!</v>
      </c>
      <c r="E183" s="86" t="str">
        <f t="shared" si="11"/>
        <v>#REF!</v>
      </c>
      <c r="F183" s="86" t="str">
        <f t="shared" si="12"/>
        <v>#REF!</v>
      </c>
      <c r="G183" s="86" t="str">
        <f t="shared" si="13"/>
        <v>#REF!</v>
      </c>
      <c r="H183" s="86" t="str">
        <f t="shared" si="14"/>
        <v>#REF!</v>
      </c>
      <c r="I183" s="86" t="str">
        <f t="shared" si="15"/>
        <v>#REF!</v>
      </c>
    </row>
    <row r="184">
      <c r="B184" s="86" t="str">
        <f t="shared" si="1"/>
        <v>#REF!</v>
      </c>
      <c r="C184" s="86" t="str">
        <f t="shared" si="9"/>
        <v>#REF!</v>
      </c>
      <c r="D184" s="86" t="str">
        <f t="shared" si="10"/>
        <v>#REF!</v>
      </c>
      <c r="E184" s="86" t="str">
        <f t="shared" si="11"/>
        <v>#REF!</v>
      </c>
      <c r="F184" s="86" t="str">
        <f t="shared" si="12"/>
        <v>#REF!</v>
      </c>
      <c r="G184" s="86" t="str">
        <f t="shared" si="13"/>
        <v>#REF!</v>
      </c>
      <c r="H184" s="86" t="str">
        <f t="shared" si="14"/>
        <v>#REF!</v>
      </c>
      <c r="I184" s="86" t="str">
        <f t="shared" si="15"/>
        <v>#REF!</v>
      </c>
    </row>
    <row r="185">
      <c r="B185" s="86" t="str">
        <f t="shared" si="1"/>
        <v>#REF!</v>
      </c>
      <c r="C185" s="86" t="str">
        <f t="shared" si="9"/>
        <v>#REF!</v>
      </c>
      <c r="D185" s="86" t="str">
        <f t="shared" si="10"/>
        <v>#REF!</v>
      </c>
      <c r="E185" s="86" t="str">
        <f t="shared" si="11"/>
        <v>#REF!</v>
      </c>
      <c r="F185" s="86" t="str">
        <f t="shared" si="12"/>
        <v>#REF!</v>
      </c>
      <c r="G185" s="86" t="str">
        <f t="shared" si="13"/>
        <v>#REF!</v>
      </c>
      <c r="H185" s="86" t="str">
        <f t="shared" si="14"/>
        <v>#REF!</v>
      </c>
      <c r="I185" s="86" t="str">
        <f t="shared" si="15"/>
        <v>#REF!</v>
      </c>
    </row>
    <row r="186">
      <c r="B186" s="86" t="str">
        <f t="shared" si="1"/>
        <v>#REF!</v>
      </c>
      <c r="C186" s="86" t="str">
        <f t="shared" si="9"/>
        <v>#REF!</v>
      </c>
      <c r="D186" s="86" t="str">
        <f t="shared" si="10"/>
        <v>#REF!</v>
      </c>
      <c r="E186" s="86" t="str">
        <f t="shared" si="11"/>
        <v>#REF!</v>
      </c>
      <c r="F186" s="86" t="str">
        <f t="shared" si="12"/>
        <v>#REF!</v>
      </c>
      <c r="G186" s="86" t="str">
        <f t="shared" si="13"/>
        <v>#REF!</v>
      </c>
      <c r="H186" s="86" t="str">
        <f t="shared" si="14"/>
        <v>#REF!</v>
      </c>
      <c r="I186" s="86" t="str">
        <f t="shared" si="15"/>
        <v>#REF!</v>
      </c>
    </row>
    <row r="187">
      <c r="B187" s="86" t="str">
        <f t="shared" si="1"/>
        <v>#REF!</v>
      </c>
      <c r="C187" s="86" t="str">
        <f t="shared" si="9"/>
        <v>#REF!</v>
      </c>
      <c r="D187" s="86" t="str">
        <f t="shared" si="10"/>
        <v>#REF!</v>
      </c>
      <c r="E187" s="86" t="str">
        <f t="shared" si="11"/>
        <v>#REF!</v>
      </c>
      <c r="F187" s="86" t="str">
        <f t="shared" si="12"/>
        <v>#REF!</v>
      </c>
      <c r="G187" s="86" t="str">
        <f t="shared" si="13"/>
        <v>#REF!</v>
      </c>
      <c r="H187" s="86" t="str">
        <f t="shared" si="14"/>
        <v>#REF!</v>
      </c>
      <c r="I187" s="86" t="str">
        <f t="shared" si="15"/>
        <v>#REF!</v>
      </c>
    </row>
    <row r="188">
      <c r="B188" s="86" t="str">
        <f t="shared" si="1"/>
        <v>#REF!</v>
      </c>
      <c r="C188" s="86" t="str">
        <f t="shared" si="9"/>
        <v>#REF!</v>
      </c>
      <c r="D188" s="86" t="str">
        <f t="shared" si="10"/>
        <v>#REF!</v>
      </c>
      <c r="E188" s="86" t="str">
        <f t="shared" si="11"/>
        <v>#REF!</v>
      </c>
      <c r="F188" s="86" t="str">
        <f t="shared" si="12"/>
        <v>#REF!</v>
      </c>
      <c r="G188" s="86" t="str">
        <f t="shared" si="13"/>
        <v>#REF!</v>
      </c>
      <c r="H188" s="86" t="str">
        <f t="shared" si="14"/>
        <v>#REF!</v>
      </c>
      <c r="I188" s="86" t="str">
        <f t="shared" si="15"/>
        <v>#REF!</v>
      </c>
    </row>
    <row r="189">
      <c r="B189" s="86" t="str">
        <f t="shared" si="1"/>
        <v>#REF!</v>
      </c>
      <c r="C189" s="86" t="str">
        <f t="shared" si="9"/>
        <v>#REF!</v>
      </c>
      <c r="D189" s="86" t="str">
        <f t="shared" si="10"/>
        <v>#REF!</v>
      </c>
      <c r="E189" s="86" t="str">
        <f t="shared" si="11"/>
        <v>#REF!</v>
      </c>
      <c r="F189" s="86" t="str">
        <f t="shared" si="12"/>
        <v>#REF!</v>
      </c>
      <c r="G189" s="86" t="str">
        <f t="shared" si="13"/>
        <v>#REF!</v>
      </c>
      <c r="H189" s="86" t="str">
        <f t="shared" si="14"/>
        <v>#REF!</v>
      </c>
      <c r="I189" s="86" t="str">
        <f t="shared" si="15"/>
        <v>#REF!</v>
      </c>
    </row>
    <row r="190">
      <c r="B190" s="86" t="str">
        <f t="shared" si="1"/>
        <v>#REF!</v>
      </c>
      <c r="C190" s="86" t="str">
        <f t="shared" si="9"/>
        <v>#REF!</v>
      </c>
      <c r="D190" s="86" t="str">
        <f t="shared" si="10"/>
        <v>#REF!</v>
      </c>
      <c r="E190" s="86" t="str">
        <f t="shared" si="11"/>
        <v>#REF!</v>
      </c>
      <c r="F190" s="86" t="str">
        <f t="shared" si="12"/>
        <v>#REF!</v>
      </c>
      <c r="G190" s="86" t="str">
        <f t="shared" si="13"/>
        <v>#REF!</v>
      </c>
      <c r="H190" s="86" t="str">
        <f t="shared" si="14"/>
        <v>#REF!</v>
      </c>
      <c r="I190" s="86" t="str">
        <f t="shared" si="15"/>
        <v>#REF!</v>
      </c>
    </row>
    <row r="191">
      <c r="B191" s="86" t="str">
        <f t="shared" si="1"/>
        <v>#REF!</v>
      </c>
      <c r="C191" s="86" t="str">
        <f t="shared" si="9"/>
        <v>#REF!</v>
      </c>
      <c r="D191" s="86" t="str">
        <f t="shared" si="10"/>
        <v>#REF!</v>
      </c>
      <c r="E191" s="86" t="str">
        <f t="shared" si="11"/>
        <v>#REF!</v>
      </c>
      <c r="F191" s="86" t="str">
        <f t="shared" si="12"/>
        <v>#REF!</v>
      </c>
      <c r="G191" s="86" t="str">
        <f t="shared" si="13"/>
        <v>#REF!</v>
      </c>
      <c r="H191" s="86" t="str">
        <f t="shared" si="14"/>
        <v>#REF!</v>
      </c>
      <c r="I191" s="86" t="str">
        <f t="shared" si="15"/>
        <v>#REF!</v>
      </c>
    </row>
    <row r="192">
      <c r="B192" s="86" t="str">
        <f t="shared" si="1"/>
        <v>#REF!</v>
      </c>
      <c r="C192" s="86" t="str">
        <f t="shared" si="9"/>
        <v>#REF!</v>
      </c>
      <c r="D192" s="86" t="str">
        <f t="shared" si="10"/>
        <v>#REF!</v>
      </c>
      <c r="E192" s="86" t="str">
        <f t="shared" si="11"/>
        <v>#REF!</v>
      </c>
      <c r="F192" s="86" t="str">
        <f t="shared" si="12"/>
        <v>#REF!</v>
      </c>
      <c r="G192" s="86" t="str">
        <f t="shared" si="13"/>
        <v>#REF!</v>
      </c>
      <c r="H192" s="86" t="str">
        <f t="shared" si="14"/>
        <v>#REF!</v>
      </c>
      <c r="I192" s="86" t="str">
        <f t="shared" si="15"/>
        <v>#REF!</v>
      </c>
    </row>
    <row r="193">
      <c r="B193" s="86" t="str">
        <f t="shared" si="1"/>
        <v>#REF!</v>
      </c>
      <c r="C193" s="86" t="str">
        <f t="shared" si="9"/>
        <v>#REF!</v>
      </c>
      <c r="D193" s="86" t="str">
        <f t="shared" si="10"/>
        <v>#REF!</v>
      </c>
      <c r="E193" s="86" t="str">
        <f t="shared" si="11"/>
        <v>#REF!</v>
      </c>
      <c r="F193" s="86" t="str">
        <f t="shared" si="12"/>
        <v>#REF!</v>
      </c>
      <c r="G193" s="86" t="str">
        <f t="shared" si="13"/>
        <v>#REF!</v>
      </c>
      <c r="H193" s="86" t="str">
        <f t="shared" si="14"/>
        <v>#REF!</v>
      </c>
      <c r="I193" s="86" t="str">
        <f t="shared" si="15"/>
        <v>#REF!</v>
      </c>
    </row>
    <row r="194">
      <c r="B194" s="86" t="str">
        <f t="shared" si="1"/>
        <v>#REF!</v>
      </c>
      <c r="C194" s="86" t="str">
        <f t="shared" si="9"/>
        <v>#REF!</v>
      </c>
      <c r="D194" s="86" t="str">
        <f t="shared" si="10"/>
        <v>#REF!</v>
      </c>
      <c r="E194" s="86" t="str">
        <f t="shared" si="11"/>
        <v>#REF!</v>
      </c>
      <c r="F194" s="86" t="str">
        <f t="shared" si="12"/>
        <v>#REF!</v>
      </c>
      <c r="G194" s="86" t="str">
        <f t="shared" si="13"/>
        <v>#REF!</v>
      </c>
      <c r="H194" s="86" t="str">
        <f t="shared" si="14"/>
        <v>#REF!</v>
      </c>
      <c r="I194" s="86" t="str">
        <f t="shared" si="15"/>
        <v>#REF!</v>
      </c>
    </row>
    <row r="195">
      <c r="B195" s="86" t="str">
        <f t="shared" si="1"/>
        <v>#REF!</v>
      </c>
      <c r="C195" s="86" t="str">
        <f t="shared" si="9"/>
        <v>#REF!</v>
      </c>
      <c r="D195" s="86" t="str">
        <f t="shared" si="10"/>
        <v>#REF!</v>
      </c>
      <c r="E195" s="86" t="str">
        <f t="shared" si="11"/>
        <v>#REF!</v>
      </c>
      <c r="F195" s="86" t="str">
        <f t="shared" si="12"/>
        <v>#REF!</v>
      </c>
      <c r="G195" s="86" t="str">
        <f t="shared" si="13"/>
        <v>#REF!</v>
      </c>
      <c r="H195" s="86" t="str">
        <f t="shared" si="14"/>
        <v>#REF!</v>
      </c>
      <c r="I195" s="86" t="str">
        <f t="shared" si="15"/>
        <v>#REF!</v>
      </c>
    </row>
    <row r="196">
      <c r="B196" s="86" t="str">
        <f t="shared" si="1"/>
        <v>#REF!</v>
      </c>
      <c r="C196" s="86" t="str">
        <f t="shared" si="9"/>
        <v>#REF!</v>
      </c>
      <c r="D196" s="86" t="str">
        <f t="shared" si="10"/>
        <v>#REF!</v>
      </c>
      <c r="E196" s="86" t="str">
        <f t="shared" si="11"/>
        <v>#REF!</v>
      </c>
      <c r="F196" s="86" t="str">
        <f t="shared" si="12"/>
        <v>#REF!</v>
      </c>
      <c r="G196" s="86" t="str">
        <f t="shared" si="13"/>
        <v>#REF!</v>
      </c>
      <c r="H196" s="86" t="str">
        <f t="shared" si="14"/>
        <v>#REF!</v>
      </c>
      <c r="I196" s="86" t="str">
        <f t="shared" si="15"/>
        <v>#REF!</v>
      </c>
    </row>
    <row r="197">
      <c r="B197" s="86" t="str">
        <f t="shared" si="1"/>
        <v>#REF!</v>
      </c>
      <c r="C197" s="86" t="str">
        <f t="shared" si="9"/>
        <v>#REF!</v>
      </c>
      <c r="D197" s="86" t="str">
        <f t="shared" si="10"/>
        <v>#REF!</v>
      </c>
      <c r="E197" s="86" t="str">
        <f t="shared" si="11"/>
        <v>#REF!</v>
      </c>
      <c r="F197" s="86" t="str">
        <f t="shared" si="12"/>
        <v>#REF!</v>
      </c>
      <c r="G197" s="86" t="str">
        <f t="shared" si="13"/>
        <v>#REF!</v>
      </c>
      <c r="H197" s="86" t="str">
        <f t="shared" si="14"/>
        <v>#REF!</v>
      </c>
      <c r="I197" s="86" t="str">
        <f t="shared" si="15"/>
        <v>#REF!</v>
      </c>
    </row>
    <row r="198">
      <c r="B198" s="86" t="str">
        <f t="shared" si="1"/>
        <v>#REF!</v>
      </c>
      <c r="C198" s="86" t="str">
        <f t="shared" si="9"/>
        <v>#REF!</v>
      </c>
      <c r="D198" s="86" t="str">
        <f t="shared" si="10"/>
        <v>#REF!</v>
      </c>
      <c r="E198" s="86" t="str">
        <f t="shared" si="11"/>
        <v>#REF!</v>
      </c>
      <c r="F198" s="86" t="str">
        <f t="shared" si="12"/>
        <v>#REF!</v>
      </c>
      <c r="G198" s="86" t="str">
        <f t="shared" si="13"/>
        <v>#REF!</v>
      </c>
      <c r="H198" s="86" t="str">
        <f t="shared" si="14"/>
        <v>#REF!</v>
      </c>
      <c r="I198" s="86" t="str">
        <f t="shared" si="15"/>
        <v>#REF!</v>
      </c>
    </row>
    <row r="199">
      <c r="B199" s="86" t="str">
        <f t="shared" si="1"/>
        <v>#REF!</v>
      </c>
      <c r="C199" s="86" t="str">
        <f t="shared" si="9"/>
        <v>#REF!</v>
      </c>
      <c r="D199" s="86" t="str">
        <f t="shared" si="10"/>
        <v>#REF!</v>
      </c>
      <c r="E199" s="86" t="str">
        <f t="shared" si="11"/>
        <v>#REF!</v>
      </c>
      <c r="F199" s="86" t="str">
        <f t="shared" si="12"/>
        <v>#REF!</v>
      </c>
      <c r="G199" s="86" t="str">
        <f t="shared" si="13"/>
        <v>#REF!</v>
      </c>
      <c r="H199" s="86" t="str">
        <f t="shared" si="14"/>
        <v>#REF!</v>
      </c>
      <c r="I199" s="86" t="str">
        <f t="shared" si="15"/>
        <v>#REF!</v>
      </c>
    </row>
    <row r="200">
      <c r="B200" s="86" t="str">
        <f t="shared" si="1"/>
        <v>#REF!</v>
      </c>
      <c r="C200" s="86" t="str">
        <f t="shared" si="9"/>
        <v>#REF!</v>
      </c>
      <c r="D200" s="86" t="str">
        <f t="shared" si="10"/>
        <v>#REF!</v>
      </c>
      <c r="E200" s="86" t="str">
        <f t="shared" si="11"/>
        <v>#REF!</v>
      </c>
      <c r="F200" s="86" t="str">
        <f t="shared" si="12"/>
        <v>#REF!</v>
      </c>
      <c r="G200" s="86" t="str">
        <f t="shared" si="13"/>
        <v>#REF!</v>
      </c>
      <c r="H200" s="86" t="str">
        <f t="shared" si="14"/>
        <v>#REF!</v>
      </c>
      <c r="I200" s="86" t="str">
        <f t="shared" si="15"/>
        <v>#REF!</v>
      </c>
    </row>
    <row r="201">
      <c r="B201" s="86" t="str">
        <f t="shared" si="1"/>
        <v>#REF!</v>
      </c>
      <c r="C201" s="86" t="str">
        <f t="shared" si="9"/>
        <v>#REF!</v>
      </c>
      <c r="D201" s="86" t="str">
        <f t="shared" si="10"/>
        <v>#REF!</v>
      </c>
      <c r="E201" s="86" t="str">
        <f t="shared" si="11"/>
        <v>#REF!</v>
      </c>
      <c r="F201" s="86" t="str">
        <f t="shared" si="12"/>
        <v>#REF!</v>
      </c>
      <c r="G201" s="86" t="str">
        <f t="shared" si="13"/>
        <v>#REF!</v>
      </c>
      <c r="H201" s="86" t="str">
        <f t="shared" si="14"/>
        <v>#REF!</v>
      </c>
      <c r="I201" s="86" t="str">
        <f t="shared" si="15"/>
        <v>#REF!</v>
      </c>
    </row>
    <row r="202">
      <c r="B202" s="86" t="str">
        <f t="shared" si="1"/>
        <v>#REF!</v>
      </c>
      <c r="C202" s="86" t="str">
        <f t="shared" si="9"/>
        <v>#REF!</v>
      </c>
      <c r="D202" s="86" t="str">
        <f t="shared" si="10"/>
        <v>#REF!</v>
      </c>
      <c r="E202" s="86" t="str">
        <f t="shared" si="11"/>
        <v>#REF!</v>
      </c>
      <c r="F202" s="86" t="str">
        <f t="shared" si="12"/>
        <v>#REF!</v>
      </c>
      <c r="G202" s="86" t="str">
        <f t="shared" si="13"/>
        <v>#REF!</v>
      </c>
      <c r="H202" s="86" t="str">
        <f t="shared" si="14"/>
        <v>#REF!</v>
      </c>
      <c r="I202" s="86" t="str">
        <f t="shared" si="15"/>
        <v>#REF!</v>
      </c>
    </row>
    <row r="203">
      <c r="B203" s="86" t="str">
        <f t="shared" si="1"/>
        <v>#REF!</v>
      </c>
      <c r="C203" s="86" t="str">
        <f t="shared" si="9"/>
        <v>#REF!</v>
      </c>
      <c r="D203" s="86" t="str">
        <f t="shared" si="10"/>
        <v>#REF!</v>
      </c>
      <c r="E203" s="86" t="str">
        <f t="shared" si="11"/>
        <v>#REF!</v>
      </c>
      <c r="F203" s="86" t="str">
        <f t="shared" si="12"/>
        <v>#REF!</v>
      </c>
      <c r="G203" s="86" t="str">
        <f t="shared" si="13"/>
        <v>#REF!</v>
      </c>
      <c r="H203" s="86" t="str">
        <f t="shared" si="14"/>
        <v>#REF!</v>
      </c>
      <c r="I203" s="86" t="str">
        <f t="shared" si="15"/>
        <v>#REF!</v>
      </c>
    </row>
    <row r="204">
      <c r="B204" s="86" t="str">
        <f t="shared" si="1"/>
        <v>#REF!</v>
      </c>
      <c r="C204" s="86" t="str">
        <f t="shared" si="9"/>
        <v>#REF!</v>
      </c>
      <c r="D204" s="86" t="str">
        <f t="shared" si="10"/>
        <v>#REF!</v>
      </c>
      <c r="E204" s="86" t="str">
        <f t="shared" si="11"/>
        <v>#REF!</v>
      </c>
      <c r="F204" s="86" t="str">
        <f t="shared" si="12"/>
        <v>#REF!</v>
      </c>
      <c r="G204" s="86" t="str">
        <f t="shared" si="13"/>
        <v>#REF!</v>
      </c>
      <c r="H204" s="86" t="str">
        <f t="shared" si="14"/>
        <v>#REF!</v>
      </c>
      <c r="I204" s="86" t="str">
        <f t="shared" si="15"/>
        <v>#REF!</v>
      </c>
    </row>
    <row r="205">
      <c r="B205" s="86" t="str">
        <f t="shared" si="1"/>
        <v>#REF!</v>
      </c>
      <c r="C205" s="86" t="str">
        <f t="shared" si="9"/>
        <v>#REF!</v>
      </c>
      <c r="D205" s="86" t="str">
        <f t="shared" si="10"/>
        <v>#REF!</v>
      </c>
      <c r="E205" s="86" t="str">
        <f t="shared" si="11"/>
        <v>#REF!</v>
      </c>
      <c r="F205" s="86" t="str">
        <f t="shared" si="12"/>
        <v>#REF!</v>
      </c>
      <c r="G205" s="86" t="str">
        <f t="shared" si="13"/>
        <v>#REF!</v>
      </c>
      <c r="H205" s="86" t="str">
        <f t="shared" si="14"/>
        <v>#REF!</v>
      </c>
      <c r="I205" s="86" t="str">
        <f t="shared" si="15"/>
        <v>#REF!</v>
      </c>
    </row>
    <row r="206">
      <c r="B206" s="86" t="str">
        <f t="shared" si="1"/>
        <v>#REF!</v>
      </c>
      <c r="C206" s="86" t="str">
        <f t="shared" si="9"/>
        <v>#REF!</v>
      </c>
      <c r="D206" s="86" t="str">
        <f t="shared" si="10"/>
        <v>#REF!</v>
      </c>
      <c r="E206" s="86" t="str">
        <f t="shared" si="11"/>
        <v>#REF!</v>
      </c>
      <c r="F206" s="86" t="str">
        <f t="shared" si="12"/>
        <v>#REF!</v>
      </c>
      <c r="G206" s="86" t="str">
        <f t="shared" si="13"/>
        <v>#REF!</v>
      </c>
      <c r="H206" s="86" t="str">
        <f t="shared" si="14"/>
        <v>#REF!</v>
      </c>
      <c r="I206" s="86" t="str">
        <f t="shared" si="15"/>
        <v>#REF!</v>
      </c>
    </row>
    <row r="207">
      <c r="B207" s="86" t="str">
        <f t="shared" si="1"/>
        <v>#REF!</v>
      </c>
      <c r="C207" s="86" t="str">
        <f t="shared" si="9"/>
        <v>#REF!</v>
      </c>
      <c r="D207" s="86" t="str">
        <f t="shared" si="10"/>
        <v>#REF!</v>
      </c>
      <c r="E207" s="86" t="str">
        <f t="shared" si="11"/>
        <v>#REF!</v>
      </c>
      <c r="F207" s="86" t="str">
        <f t="shared" si="12"/>
        <v>#REF!</v>
      </c>
      <c r="G207" s="86" t="str">
        <f t="shared" si="13"/>
        <v>#REF!</v>
      </c>
      <c r="H207" s="86" t="str">
        <f t="shared" si="14"/>
        <v>#REF!</v>
      </c>
      <c r="I207" s="86" t="str">
        <f t="shared" si="15"/>
        <v>#REF!</v>
      </c>
    </row>
    <row r="208">
      <c r="B208" s="86" t="str">
        <f t="shared" si="1"/>
        <v>#REF!</v>
      </c>
      <c r="C208" s="86" t="str">
        <f t="shared" si="9"/>
        <v>#REF!</v>
      </c>
      <c r="D208" s="86" t="str">
        <f t="shared" si="10"/>
        <v>#REF!</v>
      </c>
      <c r="E208" s="86" t="str">
        <f t="shared" si="11"/>
        <v>#REF!</v>
      </c>
      <c r="F208" s="86" t="str">
        <f t="shared" si="12"/>
        <v>#REF!</v>
      </c>
      <c r="G208" s="86" t="str">
        <f t="shared" si="13"/>
        <v>#REF!</v>
      </c>
      <c r="H208" s="86" t="str">
        <f t="shared" si="14"/>
        <v>#REF!</v>
      </c>
      <c r="I208" s="86" t="str">
        <f t="shared" si="15"/>
        <v>#REF!</v>
      </c>
    </row>
    <row r="209">
      <c r="B209" s="86" t="str">
        <f t="shared" si="1"/>
        <v>#REF!</v>
      </c>
      <c r="C209" s="86" t="str">
        <f t="shared" si="9"/>
        <v>#REF!</v>
      </c>
      <c r="D209" s="86" t="str">
        <f t="shared" si="10"/>
        <v>#REF!</v>
      </c>
      <c r="E209" s="86" t="str">
        <f t="shared" si="11"/>
        <v>#REF!</v>
      </c>
      <c r="F209" s="86" t="str">
        <f t="shared" si="12"/>
        <v>#REF!</v>
      </c>
      <c r="G209" s="86" t="str">
        <f t="shared" si="13"/>
        <v>#REF!</v>
      </c>
      <c r="H209" s="86" t="str">
        <f t="shared" si="14"/>
        <v>#REF!</v>
      </c>
      <c r="I209" s="86" t="str">
        <f t="shared" si="15"/>
        <v>#REF!</v>
      </c>
    </row>
    <row r="210">
      <c r="B210" s="86" t="str">
        <f t="shared" si="1"/>
        <v>#REF!</v>
      </c>
      <c r="C210" s="86" t="str">
        <f t="shared" si="9"/>
        <v>#REF!</v>
      </c>
      <c r="D210" s="86" t="str">
        <f t="shared" si="10"/>
        <v>#REF!</v>
      </c>
      <c r="E210" s="86" t="str">
        <f t="shared" si="11"/>
        <v>#REF!</v>
      </c>
      <c r="F210" s="86" t="str">
        <f t="shared" si="12"/>
        <v>#REF!</v>
      </c>
      <c r="G210" s="86" t="str">
        <f t="shared" si="13"/>
        <v>#REF!</v>
      </c>
      <c r="H210" s="86" t="str">
        <f t="shared" si="14"/>
        <v>#REF!</v>
      </c>
      <c r="I210" s="86" t="str">
        <f t="shared" si="15"/>
        <v>#REF!</v>
      </c>
    </row>
    <row r="211">
      <c r="B211" s="86" t="str">
        <f t="shared" si="1"/>
        <v>#REF!</v>
      </c>
      <c r="C211" s="86" t="str">
        <f t="shared" si="9"/>
        <v>#REF!</v>
      </c>
      <c r="D211" s="86" t="str">
        <f t="shared" si="10"/>
        <v>#REF!</v>
      </c>
      <c r="E211" s="86" t="str">
        <f t="shared" si="11"/>
        <v>#REF!</v>
      </c>
      <c r="F211" s="86" t="str">
        <f t="shared" si="12"/>
        <v>#REF!</v>
      </c>
      <c r="G211" s="86" t="str">
        <f t="shared" si="13"/>
        <v>#REF!</v>
      </c>
      <c r="H211" s="86" t="str">
        <f t="shared" si="14"/>
        <v>#REF!</v>
      </c>
      <c r="I211" s="86" t="str">
        <f t="shared" si="15"/>
        <v>#REF!</v>
      </c>
    </row>
    <row r="212">
      <c r="B212" s="86" t="str">
        <f t="shared" si="1"/>
        <v>#REF!</v>
      </c>
      <c r="C212" s="86" t="str">
        <f t="shared" si="9"/>
        <v>#REF!</v>
      </c>
      <c r="D212" s="86" t="str">
        <f t="shared" si="10"/>
        <v>#REF!</v>
      </c>
      <c r="E212" s="86" t="str">
        <f t="shared" si="11"/>
        <v>#REF!</v>
      </c>
      <c r="F212" s="86" t="str">
        <f t="shared" si="12"/>
        <v>#REF!</v>
      </c>
      <c r="G212" s="86" t="str">
        <f t="shared" si="13"/>
        <v>#REF!</v>
      </c>
      <c r="H212" s="86" t="str">
        <f t="shared" si="14"/>
        <v>#REF!</v>
      </c>
      <c r="I212" s="86" t="str">
        <f t="shared" si="15"/>
        <v>#REF!</v>
      </c>
    </row>
    <row r="213">
      <c r="B213" s="86" t="str">
        <f t="shared" si="1"/>
        <v>#REF!</v>
      </c>
      <c r="C213" s="86" t="str">
        <f t="shared" si="9"/>
        <v>#REF!</v>
      </c>
      <c r="D213" s="86" t="str">
        <f t="shared" si="10"/>
        <v>#REF!</v>
      </c>
      <c r="E213" s="86" t="str">
        <f t="shared" si="11"/>
        <v>#REF!</v>
      </c>
      <c r="F213" s="86" t="str">
        <f t="shared" si="12"/>
        <v>#REF!</v>
      </c>
      <c r="G213" s="86" t="str">
        <f t="shared" si="13"/>
        <v>#REF!</v>
      </c>
      <c r="H213" s="86" t="str">
        <f t="shared" si="14"/>
        <v>#REF!</v>
      </c>
      <c r="I213" s="86" t="str">
        <f t="shared" si="15"/>
        <v>#REF!</v>
      </c>
    </row>
    <row r="214">
      <c r="B214" s="86" t="str">
        <f t="shared" si="1"/>
        <v>#REF!</v>
      </c>
      <c r="C214" s="86" t="str">
        <f t="shared" si="9"/>
        <v>#REF!</v>
      </c>
      <c r="D214" s="86" t="str">
        <f t="shared" si="10"/>
        <v>#REF!</v>
      </c>
      <c r="E214" s="86" t="str">
        <f t="shared" si="11"/>
        <v>#REF!</v>
      </c>
      <c r="F214" s="86" t="str">
        <f t="shared" si="12"/>
        <v>#REF!</v>
      </c>
      <c r="G214" s="86" t="str">
        <f t="shared" si="13"/>
        <v>#REF!</v>
      </c>
      <c r="H214" s="86" t="str">
        <f t="shared" si="14"/>
        <v>#REF!</v>
      </c>
      <c r="I214" s="86" t="str">
        <f t="shared" si="15"/>
        <v>#REF!</v>
      </c>
    </row>
    <row r="215">
      <c r="B215" s="86" t="str">
        <f t="shared" si="1"/>
        <v>#REF!</v>
      </c>
      <c r="C215" s="86" t="str">
        <f t="shared" si="9"/>
        <v>#REF!</v>
      </c>
      <c r="D215" s="86" t="str">
        <f t="shared" si="10"/>
        <v>#REF!</v>
      </c>
      <c r="E215" s="86" t="str">
        <f t="shared" si="11"/>
        <v>#REF!</v>
      </c>
      <c r="F215" s="86" t="str">
        <f t="shared" si="12"/>
        <v>#REF!</v>
      </c>
      <c r="G215" s="86" t="str">
        <f t="shared" si="13"/>
        <v>#REF!</v>
      </c>
      <c r="H215" s="86" t="str">
        <f t="shared" si="14"/>
        <v>#REF!</v>
      </c>
      <c r="I215" s="86" t="str">
        <f t="shared" si="15"/>
        <v>#REF!</v>
      </c>
    </row>
    <row r="216">
      <c r="B216" s="86" t="str">
        <f t="shared" si="1"/>
        <v>#REF!</v>
      </c>
      <c r="C216" s="86" t="str">
        <f t="shared" si="9"/>
        <v>#REF!</v>
      </c>
      <c r="D216" s="86" t="str">
        <f t="shared" si="10"/>
        <v>#REF!</v>
      </c>
      <c r="E216" s="86" t="str">
        <f t="shared" si="11"/>
        <v>#REF!</v>
      </c>
      <c r="F216" s="86" t="str">
        <f t="shared" si="12"/>
        <v>#REF!</v>
      </c>
      <c r="G216" s="86" t="str">
        <f t="shared" si="13"/>
        <v>#REF!</v>
      </c>
      <c r="H216" s="86" t="str">
        <f t="shared" si="14"/>
        <v>#REF!</v>
      </c>
      <c r="I216" s="86" t="str">
        <f t="shared" si="15"/>
        <v>#REF!</v>
      </c>
    </row>
    <row r="217">
      <c r="B217" s="86" t="str">
        <f t="shared" si="1"/>
        <v>#REF!</v>
      </c>
      <c r="C217" s="86" t="str">
        <f t="shared" si="9"/>
        <v>#REF!</v>
      </c>
      <c r="D217" s="86" t="str">
        <f t="shared" si="10"/>
        <v>#REF!</v>
      </c>
      <c r="E217" s="86" t="str">
        <f t="shared" si="11"/>
        <v>#REF!</v>
      </c>
      <c r="F217" s="86" t="str">
        <f t="shared" si="12"/>
        <v>#REF!</v>
      </c>
      <c r="G217" s="86" t="str">
        <f t="shared" si="13"/>
        <v>#REF!</v>
      </c>
      <c r="H217" s="86" t="str">
        <f t="shared" si="14"/>
        <v>#REF!</v>
      </c>
      <c r="I217" s="86" t="str">
        <f t="shared" si="15"/>
        <v>#REF!</v>
      </c>
    </row>
    <row r="218">
      <c r="B218" s="86" t="str">
        <f t="shared" si="1"/>
        <v>#REF!</v>
      </c>
      <c r="C218" s="86" t="str">
        <f t="shared" si="9"/>
        <v>#REF!</v>
      </c>
      <c r="D218" s="86" t="str">
        <f t="shared" si="10"/>
        <v>#REF!</v>
      </c>
      <c r="E218" s="86" t="str">
        <f t="shared" si="11"/>
        <v>#REF!</v>
      </c>
      <c r="F218" s="86" t="str">
        <f t="shared" si="12"/>
        <v>#REF!</v>
      </c>
      <c r="G218" s="86" t="str">
        <f t="shared" si="13"/>
        <v>#REF!</v>
      </c>
      <c r="H218" s="86" t="str">
        <f t="shared" si="14"/>
        <v>#REF!</v>
      </c>
      <c r="I218" s="86" t="str">
        <f t="shared" si="15"/>
        <v>#REF!</v>
      </c>
    </row>
    <row r="219">
      <c r="B219" s="86" t="str">
        <f t="shared" si="1"/>
        <v>#REF!</v>
      </c>
      <c r="C219" s="86" t="str">
        <f t="shared" si="9"/>
        <v>#REF!</v>
      </c>
      <c r="D219" s="86" t="str">
        <f t="shared" si="10"/>
        <v>#REF!</v>
      </c>
      <c r="E219" s="86" t="str">
        <f t="shared" si="11"/>
        <v>#REF!</v>
      </c>
      <c r="F219" s="86" t="str">
        <f t="shared" si="12"/>
        <v>#REF!</v>
      </c>
      <c r="G219" s="86" t="str">
        <f t="shared" si="13"/>
        <v>#REF!</v>
      </c>
      <c r="H219" s="86" t="str">
        <f t="shared" si="14"/>
        <v>#REF!</v>
      </c>
      <c r="I219" s="86" t="str">
        <f t="shared" si="15"/>
        <v>#REF!</v>
      </c>
    </row>
    <row r="220">
      <c r="B220" s="86" t="str">
        <f t="shared" si="1"/>
        <v>#REF!</v>
      </c>
      <c r="C220" s="86" t="str">
        <f t="shared" si="9"/>
        <v>#REF!</v>
      </c>
      <c r="D220" s="86" t="str">
        <f t="shared" si="10"/>
        <v>#REF!</v>
      </c>
      <c r="E220" s="86" t="str">
        <f t="shared" si="11"/>
        <v>#REF!</v>
      </c>
      <c r="F220" s="86" t="str">
        <f t="shared" si="12"/>
        <v>#REF!</v>
      </c>
      <c r="G220" s="86" t="str">
        <f t="shared" si="13"/>
        <v>#REF!</v>
      </c>
      <c r="H220" s="86" t="str">
        <f t="shared" si="14"/>
        <v>#REF!</v>
      </c>
      <c r="I220" s="86" t="str">
        <f t="shared" si="15"/>
        <v>#REF!</v>
      </c>
    </row>
    <row r="221">
      <c r="B221" s="86" t="str">
        <f t="shared" si="1"/>
        <v>#REF!</v>
      </c>
      <c r="C221" s="86" t="str">
        <f t="shared" si="9"/>
        <v>#REF!</v>
      </c>
      <c r="D221" s="86" t="str">
        <f t="shared" si="10"/>
        <v>#REF!</v>
      </c>
      <c r="E221" s="86" t="str">
        <f t="shared" si="11"/>
        <v>#REF!</v>
      </c>
      <c r="F221" s="86" t="str">
        <f t="shared" si="12"/>
        <v>#REF!</v>
      </c>
      <c r="G221" s="86" t="str">
        <f t="shared" si="13"/>
        <v>#REF!</v>
      </c>
      <c r="H221" s="86" t="str">
        <f t="shared" si="14"/>
        <v>#REF!</v>
      </c>
      <c r="I221" s="86" t="str">
        <f t="shared" si="15"/>
        <v>#REF!</v>
      </c>
    </row>
    <row r="222">
      <c r="B222" s="86" t="str">
        <f t="shared" si="1"/>
        <v>#REF!</v>
      </c>
      <c r="C222" s="86" t="str">
        <f t="shared" si="9"/>
        <v>#REF!</v>
      </c>
      <c r="D222" s="86" t="str">
        <f t="shared" si="10"/>
        <v>#REF!</v>
      </c>
      <c r="E222" s="86" t="str">
        <f t="shared" si="11"/>
        <v>#REF!</v>
      </c>
      <c r="F222" s="86" t="str">
        <f t="shared" si="12"/>
        <v>#REF!</v>
      </c>
      <c r="G222" s="86" t="str">
        <f t="shared" si="13"/>
        <v>#REF!</v>
      </c>
      <c r="H222" s="86" t="str">
        <f t="shared" si="14"/>
        <v>#REF!</v>
      </c>
      <c r="I222" s="86" t="str">
        <f t="shared" si="15"/>
        <v>#REF!</v>
      </c>
    </row>
    <row r="223">
      <c r="B223" s="86" t="str">
        <f t="shared" si="1"/>
        <v>#REF!</v>
      </c>
      <c r="C223" s="86" t="str">
        <f t="shared" si="9"/>
        <v>#REF!</v>
      </c>
      <c r="D223" s="86" t="str">
        <f t="shared" si="10"/>
        <v>#REF!</v>
      </c>
      <c r="E223" s="86" t="str">
        <f t="shared" si="11"/>
        <v>#REF!</v>
      </c>
      <c r="F223" s="86" t="str">
        <f t="shared" si="12"/>
        <v>#REF!</v>
      </c>
      <c r="G223" s="86" t="str">
        <f t="shared" si="13"/>
        <v>#REF!</v>
      </c>
      <c r="H223" s="86" t="str">
        <f t="shared" si="14"/>
        <v>#REF!</v>
      </c>
      <c r="I223" s="86" t="str">
        <f t="shared" si="15"/>
        <v>#REF!</v>
      </c>
    </row>
    <row r="224">
      <c r="B224" s="86" t="str">
        <f t="shared" si="1"/>
        <v>#REF!</v>
      </c>
      <c r="C224" s="86" t="str">
        <f t="shared" si="9"/>
        <v>#REF!</v>
      </c>
      <c r="D224" s="86" t="str">
        <f t="shared" si="10"/>
        <v>#REF!</v>
      </c>
      <c r="E224" s="86" t="str">
        <f t="shared" si="11"/>
        <v>#REF!</v>
      </c>
      <c r="F224" s="86" t="str">
        <f t="shared" si="12"/>
        <v>#REF!</v>
      </c>
      <c r="G224" s="86" t="str">
        <f t="shared" si="13"/>
        <v>#REF!</v>
      </c>
      <c r="H224" s="86" t="str">
        <f t="shared" si="14"/>
        <v>#REF!</v>
      </c>
      <c r="I224" s="86" t="str">
        <f t="shared" si="15"/>
        <v>#REF!</v>
      </c>
    </row>
    <row r="225">
      <c r="B225" s="86" t="str">
        <f t="shared" si="1"/>
        <v>#REF!</v>
      </c>
      <c r="C225" s="86" t="str">
        <f t="shared" si="9"/>
        <v>#REF!</v>
      </c>
      <c r="D225" s="86" t="str">
        <f t="shared" si="10"/>
        <v>#REF!</v>
      </c>
      <c r="E225" s="86" t="str">
        <f t="shared" si="11"/>
        <v>#REF!</v>
      </c>
      <c r="F225" s="86" t="str">
        <f t="shared" si="12"/>
        <v>#REF!</v>
      </c>
      <c r="G225" s="86" t="str">
        <f t="shared" si="13"/>
        <v>#REF!</v>
      </c>
      <c r="H225" s="86" t="str">
        <f t="shared" si="14"/>
        <v>#REF!</v>
      </c>
      <c r="I225" s="86" t="str">
        <f t="shared" si="15"/>
        <v>#REF!</v>
      </c>
    </row>
    <row r="226">
      <c r="B226" s="86" t="str">
        <f t="shared" si="1"/>
        <v>#REF!</v>
      </c>
      <c r="C226" s="86" t="str">
        <f t="shared" si="9"/>
        <v>#REF!</v>
      </c>
      <c r="D226" s="86" t="str">
        <f t="shared" si="10"/>
        <v>#REF!</v>
      </c>
      <c r="E226" s="86" t="str">
        <f t="shared" si="11"/>
        <v>#REF!</v>
      </c>
      <c r="F226" s="86" t="str">
        <f t="shared" si="12"/>
        <v>#REF!</v>
      </c>
      <c r="G226" s="86" t="str">
        <f t="shared" si="13"/>
        <v>#REF!</v>
      </c>
      <c r="H226" s="86" t="str">
        <f t="shared" si="14"/>
        <v>#REF!</v>
      </c>
      <c r="I226" s="86" t="str">
        <f t="shared" si="15"/>
        <v>#REF!</v>
      </c>
    </row>
    <row r="227">
      <c r="B227" s="86" t="str">
        <f t="shared" si="1"/>
        <v>#REF!</v>
      </c>
      <c r="C227" s="86" t="str">
        <f t="shared" si="9"/>
        <v>#REF!</v>
      </c>
      <c r="D227" s="86" t="str">
        <f t="shared" si="10"/>
        <v>#REF!</v>
      </c>
      <c r="E227" s="86" t="str">
        <f t="shared" si="11"/>
        <v>#REF!</v>
      </c>
      <c r="F227" s="86" t="str">
        <f t="shared" si="12"/>
        <v>#REF!</v>
      </c>
      <c r="G227" s="86" t="str">
        <f t="shared" si="13"/>
        <v>#REF!</v>
      </c>
      <c r="H227" s="86" t="str">
        <f t="shared" si="14"/>
        <v>#REF!</v>
      </c>
      <c r="I227" s="86" t="str">
        <f t="shared" si="15"/>
        <v>#REF!</v>
      </c>
    </row>
    <row r="228">
      <c r="B228" s="86" t="str">
        <f t="shared" si="1"/>
        <v>#REF!</v>
      </c>
      <c r="C228" s="86" t="str">
        <f t="shared" si="9"/>
        <v>#REF!</v>
      </c>
      <c r="D228" s="86" t="str">
        <f t="shared" si="10"/>
        <v>#REF!</v>
      </c>
      <c r="E228" s="86" t="str">
        <f t="shared" si="11"/>
        <v>#REF!</v>
      </c>
      <c r="F228" s="86" t="str">
        <f t="shared" si="12"/>
        <v>#REF!</v>
      </c>
      <c r="G228" s="86" t="str">
        <f t="shared" si="13"/>
        <v>#REF!</v>
      </c>
      <c r="H228" s="86" t="str">
        <f t="shared" si="14"/>
        <v>#REF!</v>
      </c>
      <c r="I228" s="86" t="str">
        <f t="shared" si="15"/>
        <v>#REF!</v>
      </c>
    </row>
    <row r="229">
      <c r="B229" s="86" t="str">
        <f t="shared" si="1"/>
        <v>#REF!</v>
      </c>
      <c r="C229" s="86" t="str">
        <f t="shared" si="9"/>
        <v>#REF!</v>
      </c>
      <c r="D229" s="86" t="str">
        <f t="shared" si="10"/>
        <v>#REF!</v>
      </c>
      <c r="E229" s="86" t="str">
        <f t="shared" si="11"/>
        <v>#REF!</v>
      </c>
      <c r="F229" s="86" t="str">
        <f t="shared" si="12"/>
        <v>#REF!</v>
      </c>
      <c r="G229" s="86" t="str">
        <f t="shared" si="13"/>
        <v>#REF!</v>
      </c>
      <c r="H229" s="86" t="str">
        <f t="shared" si="14"/>
        <v>#REF!</v>
      </c>
      <c r="I229" s="86" t="str">
        <f t="shared" si="15"/>
        <v>#REF!</v>
      </c>
    </row>
    <row r="230">
      <c r="B230" s="86" t="str">
        <f t="shared" si="1"/>
        <v>#REF!</v>
      </c>
      <c r="C230" s="86" t="str">
        <f t="shared" si="9"/>
        <v>#REF!</v>
      </c>
      <c r="D230" s="86" t="str">
        <f t="shared" si="10"/>
        <v>#REF!</v>
      </c>
      <c r="E230" s="86" t="str">
        <f t="shared" si="11"/>
        <v>#REF!</v>
      </c>
      <c r="F230" s="86" t="str">
        <f t="shared" si="12"/>
        <v>#REF!</v>
      </c>
      <c r="G230" s="86" t="str">
        <f t="shared" si="13"/>
        <v>#REF!</v>
      </c>
      <c r="H230" s="86" t="str">
        <f t="shared" si="14"/>
        <v>#REF!</v>
      </c>
      <c r="I230" s="86" t="str">
        <f t="shared" si="15"/>
        <v>#REF!</v>
      </c>
    </row>
    <row r="231">
      <c r="B231" s="86" t="str">
        <f t="shared" si="1"/>
        <v>#REF!</v>
      </c>
      <c r="C231" s="86" t="str">
        <f t="shared" si="9"/>
        <v>#REF!</v>
      </c>
      <c r="D231" s="86" t="str">
        <f t="shared" si="10"/>
        <v>#REF!</v>
      </c>
      <c r="E231" s="86" t="str">
        <f t="shared" si="11"/>
        <v>#REF!</v>
      </c>
      <c r="F231" s="86" t="str">
        <f t="shared" si="12"/>
        <v>#REF!</v>
      </c>
      <c r="G231" s="86" t="str">
        <f t="shared" si="13"/>
        <v>#REF!</v>
      </c>
      <c r="H231" s="86" t="str">
        <f t="shared" si="14"/>
        <v>#REF!</v>
      </c>
      <c r="I231" s="86" t="str">
        <f t="shared" si="15"/>
        <v>#REF!</v>
      </c>
    </row>
    <row r="232">
      <c r="B232" s="86" t="str">
        <f t="shared" si="1"/>
        <v>#REF!</v>
      </c>
      <c r="C232" s="86" t="str">
        <f t="shared" si="9"/>
        <v>#REF!</v>
      </c>
      <c r="D232" s="86" t="str">
        <f t="shared" si="10"/>
        <v>#REF!</v>
      </c>
      <c r="E232" s="86" t="str">
        <f t="shared" si="11"/>
        <v>#REF!</v>
      </c>
      <c r="F232" s="86" t="str">
        <f t="shared" si="12"/>
        <v>#REF!</v>
      </c>
      <c r="G232" s="86" t="str">
        <f t="shared" si="13"/>
        <v>#REF!</v>
      </c>
      <c r="H232" s="86" t="str">
        <f t="shared" si="14"/>
        <v>#REF!</v>
      </c>
      <c r="I232" s="86" t="str">
        <f t="shared" si="15"/>
        <v>#REF!</v>
      </c>
    </row>
    <row r="233">
      <c r="B233" s="86" t="str">
        <f t="shared" si="1"/>
        <v>#REF!</v>
      </c>
      <c r="C233" s="86" t="str">
        <f t="shared" si="9"/>
        <v>#REF!</v>
      </c>
      <c r="D233" s="86" t="str">
        <f t="shared" si="10"/>
        <v>#REF!</v>
      </c>
      <c r="E233" s="86" t="str">
        <f t="shared" si="11"/>
        <v>#REF!</v>
      </c>
      <c r="F233" s="86" t="str">
        <f t="shared" si="12"/>
        <v>#REF!</v>
      </c>
      <c r="G233" s="86" t="str">
        <f t="shared" si="13"/>
        <v>#REF!</v>
      </c>
      <c r="H233" s="86" t="str">
        <f t="shared" si="14"/>
        <v>#REF!</v>
      </c>
      <c r="I233" s="86" t="str">
        <f t="shared" si="15"/>
        <v>#REF!</v>
      </c>
    </row>
    <row r="234">
      <c r="B234" s="86" t="str">
        <f t="shared" si="1"/>
        <v>#REF!</v>
      </c>
      <c r="C234" s="86" t="str">
        <f t="shared" si="9"/>
        <v>#REF!</v>
      </c>
      <c r="D234" s="86" t="str">
        <f t="shared" si="10"/>
        <v>#REF!</v>
      </c>
      <c r="E234" s="86" t="str">
        <f t="shared" si="11"/>
        <v>#REF!</v>
      </c>
      <c r="F234" s="86" t="str">
        <f t="shared" si="12"/>
        <v>#REF!</v>
      </c>
      <c r="G234" s="86" t="str">
        <f t="shared" si="13"/>
        <v>#REF!</v>
      </c>
      <c r="H234" s="86" t="str">
        <f t="shared" si="14"/>
        <v>#REF!</v>
      </c>
      <c r="I234" s="86" t="str">
        <f t="shared" si="15"/>
        <v>#REF!</v>
      </c>
    </row>
    <row r="235">
      <c r="B235" s="86" t="str">
        <f t="shared" si="1"/>
        <v>#REF!</v>
      </c>
      <c r="C235" s="86" t="str">
        <f t="shared" si="9"/>
        <v>#REF!</v>
      </c>
      <c r="D235" s="86" t="str">
        <f t="shared" si="10"/>
        <v>#REF!</v>
      </c>
      <c r="E235" s="86" t="str">
        <f t="shared" si="11"/>
        <v>#REF!</v>
      </c>
      <c r="F235" s="86" t="str">
        <f t="shared" si="12"/>
        <v>#REF!</v>
      </c>
      <c r="G235" s="86" t="str">
        <f t="shared" si="13"/>
        <v>#REF!</v>
      </c>
      <c r="H235" s="86" t="str">
        <f t="shared" si="14"/>
        <v>#REF!</v>
      </c>
      <c r="I235" s="86" t="str">
        <f t="shared" si="15"/>
        <v>#REF!</v>
      </c>
    </row>
    <row r="236">
      <c r="B236" s="86" t="str">
        <f t="shared" si="1"/>
        <v>#REF!</v>
      </c>
      <c r="C236" s="86" t="str">
        <f t="shared" si="9"/>
        <v>#REF!</v>
      </c>
      <c r="D236" s="86" t="str">
        <f t="shared" si="10"/>
        <v>#REF!</v>
      </c>
      <c r="E236" s="86" t="str">
        <f t="shared" si="11"/>
        <v>#REF!</v>
      </c>
      <c r="F236" s="86" t="str">
        <f t="shared" si="12"/>
        <v>#REF!</v>
      </c>
      <c r="G236" s="86" t="str">
        <f t="shared" si="13"/>
        <v>#REF!</v>
      </c>
      <c r="H236" s="86" t="str">
        <f t="shared" si="14"/>
        <v>#REF!</v>
      </c>
      <c r="I236" s="86" t="str">
        <f t="shared" si="15"/>
        <v>#REF!</v>
      </c>
    </row>
    <row r="237">
      <c r="B237" s="86" t="str">
        <f t="shared" si="1"/>
        <v>#REF!</v>
      </c>
      <c r="C237" s="86" t="str">
        <f t="shared" si="9"/>
        <v>#REF!</v>
      </c>
      <c r="D237" s="86" t="str">
        <f t="shared" si="10"/>
        <v>#REF!</v>
      </c>
      <c r="E237" s="86" t="str">
        <f t="shared" si="11"/>
        <v>#REF!</v>
      </c>
      <c r="F237" s="86" t="str">
        <f t="shared" si="12"/>
        <v>#REF!</v>
      </c>
      <c r="G237" s="86" t="str">
        <f t="shared" si="13"/>
        <v>#REF!</v>
      </c>
      <c r="H237" s="86" t="str">
        <f t="shared" si="14"/>
        <v>#REF!</v>
      </c>
      <c r="I237" s="86" t="str">
        <f t="shared" si="15"/>
        <v>#REF!</v>
      </c>
    </row>
    <row r="238">
      <c r="B238" s="86" t="str">
        <f t="shared" si="1"/>
        <v>#REF!</v>
      </c>
      <c r="C238" s="86" t="str">
        <f t="shared" si="9"/>
        <v>#REF!</v>
      </c>
      <c r="D238" s="86" t="str">
        <f t="shared" si="10"/>
        <v>#REF!</v>
      </c>
      <c r="E238" s="86" t="str">
        <f t="shared" si="11"/>
        <v>#REF!</v>
      </c>
      <c r="F238" s="86" t="str">
        <f t="shared" si="12"/>
        <v>#REF!</v>
      </c>
      <c r="G238" s="86" t="str">
        <f t="shared" si="13"/>
        <v>#REF!</v>
      </c>
      <c r="H238" s="86" t="str">
        <f t="shared" si="14"/>
        <v>#REF!</v>
      </c>
      <c r="I238" s="86" t="str">
        <f t="shared" si="15"/>
        <v>#REF!</v>
      </c>
    </row>
    <row r="239">
      <c r="B239" s="86" t="str">
        <f t="shared" si="1"/>
        <v>#REF!</v>
      </c>
      <c r="C239" s="86" t="str">
        <f t="shared" si="9"/>
        <v>#REF!</v>
      </c>
      <c r="D239" s="86" t="str">
        <f t="shared" si="10"/>
        <v>#REF!</v>
      </c>
      <c r="E239" s="86" t="str">
        <f t="shared" si="11"/>
        <v>#REF!</v>
      </c>
      <c r="F239" s="86" t="str">
        <f t="shared" si="12"/>
        <v>#REF!</v>
      </c>
      <c r="G239" s="86" t="str">
        <f t="shared" si="13"/>
        <v>#REF!</v>
      </c>
      <c r="H239" s="86" t="str">
        <f t="shared" si="14"/>
        <v>#REF!</v>
      </c>
      <c r="I239" s="86" t="str">
        <f t="shared" si="15"/>
        <v>#REF!</v>
      </c>
    </row>
    <row r="240">
      <c r="B240" s="86" t="str">
        <f t="shared" si="1"/>
        <v>#REF!</v>
      </c>
      <c r="C240" s="86" t="str">
        <f t="shared" si="9"/>
        <v>#REF!</v>
      </c>
      <c r="D240" s="86" t="str">
        <f t="shared" si="10"/>
        <v>#REF!</v>
      </c>
      <c r="E240" s="86" t="str">
        <f t="shared" si="11"/>
        <v>#REF!</v>
      </c>
      <c r="F240" s="86" t="str">
        <f t="shared" si="12"/>
        <v>#REF!</v>
      </c>
      <c r="G240" s="86" t="str">
        <f t="shared" si="13"/>
        <v>#REF!</v>
      </c>
      <c r="H240" s="86" t="str">
        <f t="shared" si="14"/>
        <v>#REF!</v>
      </c>
      <c r="I240" s="86" t="str">
        <f t="shared" si="15"/>
        <v>#REF!</v>
      </c>
    </row>
    <row r="241">
      <c r="B241" s="86" t="str">
        <f t="shared" si="1"/>
        <v>#REF!</v>
      </c>
      <c r="C241" s="86" t="str">
        <f t="shared" si="9"/>
        <v>#REF!</v>
      </c>
      <c r="D241" s="86" t="str">
        <f t="shared" si="10"/>
        <v>#REF!</v>
      </c>
      <c r="E241" s="86" t="str">
        <f t="shared" si="11"/>
        <v>#REF!</v>
      </c>
      <c r="F241" s="86" t="str">
        <f t="shared" si="12"/>
        <v>#REF!</v>
      </c>
      <c r="G241" s="86" t="str">
        <f t="shared" si="13"/>
        <v>#REF!</v>
      </c>
      <c r="H241" s="86" t="str">
        <f t="shared" si="14"/>
        <v>#REF!</v>
      </c>
      <c r="I241" s="86" t="str">
        <f t="shared" si="15"/>
        <v>#REF!</v>
      </c>
    </row>
    <row r="242">
      <c r="B242" s="86" t="str">
        <f t="shared" si="1"/>
        <v>#REF!</v>
      </c>
      <c r="C242" s="86" t="str">
        <f t="shared" si="9"/>
        <v>#REF!</v>
      </c>
      <c r="D242" s="86" t="str">
        <f t="shared" si="10"/>
        <v>#REF!</v>
      </c>
      <c r="E242" s="86" t="str">
        <f t="shared" si="11"/>
        <v>#REF!</v>
      </c>
      <c r="F242" s="86" t="str">
        <f t="shared" si="12"/>
        <v>#REF!</v>
      </c>
      <c r="G242" s="86" t="str">
        <f t="shared" si="13"/>
        <v>#REF!</v>
      </c>
      <c r="H242" s="86" t="str">
        <f t="shared" si="14"/>
        <v>#REF!</v>
      </c>
      <c r="I242" s="86" t="str">
        <f t="shared" si="15"/>
        <v>#REF!</v>
      </c>
    </row>
    <row r="243">
      <c r="B243" s="86" t="str">
        <f t="shared" si="1"/>
        <v>#REF!</v>
      </c>
      <c r="C243" s="86" t="str">
        <f t="shared" si="9"/>
        <v>#REF!</v>
      </c>
      <c r="D243" s="86" t="str">
        <f t="shared" si="10"/>
        <v>#REF!</v>
      </c>
      <c r="E243" s="86" t="str">
        <f t="shared" si="11"/>
        <v>#REF!</v>
      </c>
      <c r="F243" s="86" t="str">
        <f t="shared" si="12"/>
        <v>#REF!</v>
      </c>
      <c r="G243" s="86" t="str">
        <f t="shared" si="13"/>
        <v>#REF!</v>
      </c>
      <c r="H243" s="86" t="str">
        <f t="shared" si="14"/>
        <v>#REF!</v>
      </c>
      <c r="I243" s="86" t="str">
        <f t="shared" si="15"/>
        <v>#REF!</v>
      </c>
    </row>
    <row r="244">
      <c r="B244" s="86" t="str">
        <f t="shared" si="1"/>
        <v>#REF!</v>
      </c>
      <c r="C244" s="86" t="str">
        <f t="shared" si="9"/>
        <v>#REF!</v>
      </c>
      <c r="D244" s="86" t="str">
        <f t="shared" si="10"/>
        <v>#REF!</v>
      </c>
      <c r="E244" s="86" t="str">
        <f t="shared" si="11"/>
        <v>#REF!</v>
      </c>
      <c r="F244" s="86" t="str">
        <f t="shared" si="12"/>
        <v>#REF!</v>
      </c>
      <c r="G244" s="86" t="str">
        <f t="shared" si="13"/>
        <v>#REF!</v>
      </c>
      <c r="H244" s="86" t="str">
        <f t="shared" si="14"/>
        <v>#REF!</v>
      </c>
      <c r="I244" s="86" t="str">
        <f t="shared" si="15"/>
        <v>#REF!</v>
      </c>
    </row>
    <row r="245">
      <c r="B245" s="86" t="str">
        <f t="shared" si="1"/>
        <v>#REF!</v>
      </c>
      <c r="C245" s="86" t="str">
        <f t="shared" si="9"/>
        <v>#REF!</v>
      </c>
      <c r="D245" s="86" t="str">
        <f t="shared" si="10"/>
        <v>#REF!</v>
      </c>
      <c r="E245" s="86" t="str">
        <f t="shared" si="11"/>
        <v>#REF!</v>
      </c>
      <c r="F245" s="86" t="str">
        <f t="shared" si="12"/>
        <v>#REF!</v>
      </c>
      <c r="G245" s="86" t="str">
        <f t="shared" si="13"/>
        <v>#REF!</v>
      </c>
      <c r="H245" s="86" t="str">
        <f t="shared" si="14"/>
        <v>#REF!</v>
      </c>
      <c r="I245" s="86" t="str">
        <f t="shared" si="15"/>
        <v>#REF!</v>
      </c>
    </row>
    <row r="246">
      <c r="B246" s="86" t="str">
        <f t="shared" si="1"/>
        <v>#REF!</v>
      </c>
      <c r="C246" s="86" t="str">
        <f t="shared" si="9"/>
        <v>#REF!</v>
      </c>
      <c r="D246" s="86" t="str">
        <f t="shared" si="10"/>
        <v>#REF!</v>
      </c>
      <c r="E246" s="86" t="str">
        <f t="shared" si="11"/>
        <v>#REF!</v>
      </c>
      <c r="F246" s="86" t="str">
        <f t="shared" si="12"/>
        <v>#REF!</v>
      </c>
      <c r="G246" s="86" t="str">
        <f t="shared" si="13"/>
        <v>#REF!</v>
      </c>
      <c r="H246" s="86" t="str">
        <f t="shared" si="14"/>
        <v>#REF!</v>
      </c>
      <c r="I246" s="86" t="str">
        <f t="shared" si="15"/>
        <v>#REF!</v>
      </c>
    </row>
    <row r="247">
      <c r="B247" s="86" t="str">
        <f t="shared" si="1"/>
        <v>#REF!</v>
      </c>
      <c r="C247" s="86" t="str">
        <f t="shared" si="9"/>
        <v>#REF!</v>
      </c>
      <c r="D247" s="86" t="str">
        <f t="shared" si="10"/>
        <v>#REF!</v>
      </c>
      <c r="E247" s="86" t="str">
        <f t="shared" si="11"/>
        <v>#REF!</v>
      </c>
      <c r="F247" s="86" t="str">
        <f t="shared" si="12"/>
        <v>#REF!</v>
      </c>
      <c r="G247" s="86" t="str">
        <f t="shared" si="13"/>
        <v>#REF!</v>
      </c>
      <c r="H247" s="86" t="str">
        <f t="shared" si="14"/>
        <v>#REF!</v>
      </c>
      <c r="I247" s="86" t="str">
        <f t="shared" si="15"/>
        <v>#REF!</v>
      </c>
    </row>
    <row r="248">
      <c r="B248" s="86" t="str">
        <f t="shared" si="1"/>
        <v>#REF!</v>
      </c>
      <c r="C248" s="86" t="str">
        <f t="shared" si="9"/>
        <v>#REF!</v>
      </c>
      <c r="D248" s="86" t="str">
        <f t="shared" si="10"/>
        <v>#REF!</v>
      </c>
      <c r="E248" s="86" t="str">
        <f t="shared" si="11"/>
        <v>#REF!</v>
      </c>
      <c r="F248" s="86" t="str">
        <f t="shared" si="12"/>
        <v>#REF!</v>
      </c>
      <c r="G248" s="86" t="str">
        <f t="shared" si="13"/>
        <v>#REF!</v>
      </c>
      <c r="H248" s="86" t="str">
        <f t="shared" si="14"/>
        <v>#REF!</v>
      </c>
      <c r="I248" s="86" t="str">
        <f t="shared" si="15"/>
        <v>#REF!</v>
      </c>
    </row>
    <row r="249">
      <c r="B249" s="86" t="str">
        <f t="shared" si="1"/>
        <v>#REF!</v>
      </c>
      <c r="C249" s="86" t="str">
        <f t="shared" si="9"/>
        <v>#REF!</v>
      </c>
      <c r="D249" s="86" t="str">
        <f t="shared" si="10"/>
        <v>#REF!</v>
      </c>
      <c r="E249" s="86" t="str">
        <f t="shared" si="11"/>
        <v>#REF!</v>
      </c>
      <c r="F249" s="86" t="str">
        <f t="shared" si="12"/>
        <v>#REF!</v>
      </c>
      <c r="G249" s="86" t="str">
        <f t="shared" si="13"/>
        <v>#REF!</v>
      </c>
      <c r="H249" s="86" t="str">
        <f t="shared" si="14"/>
        <v>#REF!</v>
      </c>
      <c r="I249" s="86" t="str">
        <f t="shared" si="15"/>
        <v>#REF!</v>
      </c>
    </row>
    <row r="250">
      <c r="B250" s="86" t="str">
        <f t="shared" si="1"/>
        <v>#REF!</v>
      </c>
      <c r="C250" s="86" t="str">
        <f t="shared" si="9"/>
        <v>#REF!</v>
      </c>
      <c r="D250" s="86" t="str">
        <f t="shared" si="10"/>
        <v>#REF!</v>
      </c>
      <c r="E250" s="86" t="str">
        <f t="shared" si="11"/>
        <v>#REF!</v>
      </c>
      <c r="F250" s="86" t="str">
        <f t="shared" si="12"/>
        <v>#REF!</v>
      </c>
      <c r="G250" s="86" t="str">
        <f t="shared" si="13"/>
        <v>#REF!</v>
      </c>
      <c r="H250" s="86" t="str">
        <f t="shared" si="14"/>
        <v>#REF!</v>
      </c>
      <c r="I250" s="86" t="str">
        <f t="shared" si="15"/>
        <v>#REF!</v>
      </c>
    </row>
    <row r="251">
      <c r="B251" s="86" t="str">
        <f t="shared" si="1"/>
        <v>#REF!</v>
      </c>
      <c r="C251" s="86" t="str">
        <f t="shared" si="9"/>
        <v>#REF!</v>
      </c>
      <c r="D251" s="86" t="str">
        <f t="shared" si="10"/>
        <v>#REF!</v>
      </c>
      <c r="E251" s="86" t="str">
        <f t="shared" si="11"/>
        <v>#REF!</v>
      </c>
      <c r="F251" s="86" t="str">
        <f t="shared" si="12"/>
        <v>#REF!</v>
      </c>
      <c r="G251" s="86" t="str">
        <f t="shared" si="13"/>
        <v>#REF!</v>
      </c>
      <c r="H251" s="86" t="str">
        <f t="shared" si="14"/>
        <v>#REF!</v>
      </c>
      <c r="I251" s="86" t="str">
        <f t="shared" si="15"/>
        <v>#REF!</v>
      </c>
    </row>
    <row r="252">
      <c r="B252" s="86" t="str">
        <f t="shared" si="1"/>
        <v>#REF!</v>
      </c>
      <c r="C252" s="86" t="str">
        <f t="shared" si="9"/>
        <v>#REF!</v>
      </c>
      <c r="D252" s="86" t="str">
        <f t="shared" si="10"/>
        <v>#REF!</v>
      </c>
      <c r="E252" s="86" t="str">
        <f t="shared" si="11"/>
        <v>#REF!</v>
      </c>
      <c r="F252" s="86" t="str">
        <f t="shared" si="12"/>
        <v>#REF!</v>
      </c>
      <c r="G252" s="86" t="str">
        <f t="shared" si="13"/>
        <v>#REF!</v>
      </c>
      <c r="H252" s="86" t="str">
        <f t="shared" si="14"/>
        <v>#REF!</v>
      </c>
      <c r="I252" s="86" t="str">
        <f t="shared" si="15"/>
        <v>#REF!</v>
      </c>
    </row>
    <row r="253">
      <c r="B253" s="86" t="str">
        <f t="shared" si="1"/>
        <v>#REF!</v>
      </c>
      <c r="C253" s="86" t="str">
        <f t="shared" si="9"/>
        <v>#REF!</v>
      </c>
      <c r="D253" s="86" t="str">
        <f t="shared" si="10"/>
        <v>#REF!</v>
      </c>
      <c r="E253" s="86" t="str">
        <f t="shared" si="11"/>
        <v>#REF!</v>
      </c>
      <c r="F253" s="86" t="str">
        <f t="shared" si="12"/>
        <v>#REF!</v>
      </c>
      <c r="G253" s="86" t="str">
        <f t="shared" si="13"/>
        <v>#REF!</v>
      </c>
      <c r="H253" s="86" t="str">
        <f t="shared" si="14"/>
        <v>#REF!</v>
      </c>
      <c r="I253" s="86" t="str">
        <f t="shared" si="15"/>
        <v>#REF!</v>
      </c>
    </row>
    <row r="254">
      <c r="B254" s="86" t="str">
        <f t="shared" si="1"/>
        <v>#REF!</v>
      </c>
      <c r="C254" s="86" t="str">
        <f t="shared" si="9"/>
        <v>#REF!</v>
      </c>
      <c r="D254" s="86" t="str">
        <f t="shared" si="10"/>
        <v>#REF!</v>
      </c>
      <c r="E254" s="86" t="str">
        <f t="shared" si="11"/>
        <v>#REF!</v>
      </c>
      <c r="F254" s="86" t="str">
        <f t="shared" si="12"/>
        <v>#REF!</v>
      </c>
      <c r="G254" s="86" t="str">
        <f t="shared" si="13"/>
        <v>#REF!</v>
      </c>
      <c r="H254" s="86" t="str">
        <f t="shared" si="14"/>
        <v>#REF!</v>
      </c>
      <c r="I254" s="86" t="str">
        <f t="shared" si="15"/>
        <v>#REF!</v>
      </c>
    </row>
    <row r="255">
      <c r="B255" s="86" t="str">
        <f t="shared" si="1"/>
        <v>#REF!</v>
      </c>
      <c r="C255" s="86" t="str">
        <f t="shared" si="9"/>
        <v>#REF!</v>
      </c>
      <c r="D255" s="86" t="str">
        <f t="shared" si="10"/>
        <v>#REF!</v>
      </c>
      <c r="E255" s="86" t="str">
        <f t="shared" si="11"/>
        <v>#REF!</v>
      </c>
      <c r="F255" s="86" t="str">
        <f t="shared" si="12"/>
        <v>#REF!</v>
      </c>
      <c r="G255" s="86" t="str">
        <f t="shared" si="13"/>
        <v>#REF!</v>
      </c>
      <c r="H255" s="86" t="str">
        <f t="shared" si="14"/>
        <v>#REF!</v>
      </c>
      <c r="I255" s="86" t="str">
        <f t="shared" si="15"/>
        <v>#REF!</v>
      </c>
    </row>
    <row r="256">
      <c r="B256" s="86" t="str">
        <f t="shared" si="1"/>
        <v>#REF!</v>
      </c>
      <c r="C256" s="86" t="str">
        <f t="shared" si="9"/>
        <v>#REF!</v>
      </c>
      <c r="D256" s="86" t="str">
        <f t="shared" si="10"/>
        <v>#REF!</v>
      </c>
      <c r="E256" s="86" t="str">
        <f t="shared" si="11"/>
        <v>#REF!</v>
      </c>
      <c r="F256" s="86" t="str">
        <f t="shared" si="12"/>
        <v>#REF!</v>
      </c>
      <c r="G256" s="86" t="str">
        <f t="shared" si="13"/>
        <v>#REF!</v>
      </c>
      <c r="H256" s="86" t="str">
        <f t="shared" si="14"/>
        <v>#REF!</v>
      </c>
      <c r="I256" s="86" t="str">
        <f t="shared" si="15"/>
        <v>#REF!</v>
      </c>
    </row>
    <row r="257">
      <c r="B257" s="86" t="str">
        <f t="shared" si="1"/>
        <v>#REF!</v>
      </c>
      <c r="C257" s="86" t="str">
        <f t="shared" si="9"/>
        <v>#REF!</v>
      </c>
      <c r="D257" s="86" t="str">
        <f t="shared" si="10"/>
        <v>#REF!</v>
      </c>
      <c r="E257" s="86" t="str">
        <f t="shared" si="11"/>
        <v>#REF!</v>
      </c>
      <c r="F257" s="86" t="str">
        <f t="shared" si="12"/>
        <v>#REF!</v>
      </c>
      <c r="G257" s="86" t="str">
        <f t="shared" si="13"/>
        <v>#REF!</v>
      </c>
      <c r="H257" s="86" t="str">
        <f t="shared" si="14"/>
        <v>#REF!</v>
      </c>
      <c r="I257" s="86" t="str">
        <f t="shared" si="15"/>
        <v>#REF!</v>
      </c>
    </row>
    <row r="258">
      <c r="B258" s="86" t="str">
        <f t="shared" si="1"/>
        <v>#REF!</v>
      </c>
      <c r="C258" s="86" t="str">
        <f t="shared" si="9"/>
        <v>#REF!</v>
      </c>
      <c r="D258" s="86" t="str">
        <f t="shared" si="10"/>
        <v>#REF!</v>
      </c>
      <c r="E258" s="86" t="str">
        <f t="shared" si="11"/>
        <v>#REF!</v>
      </c>
      <c r="F258" s="86" t="str">
        <f t="shared" si="12"/>
        <v>#REF!</v>
      </c>
      <c r="G258" s="86" t="str">
        <f t="shared" si="13"/>
        <v>#REF!</v>
      </c>
      <c r="H258" s="86" t="str">
        <f t="shared" si="14"/>
        <v>#REF!</v>
      </c>
      <c r="I258" s="86" t="str">
        <f t="shared" si="15"/>
        <v>#REF!</v>
      </c>
    </row>
    <row r="259">
      <c r="B259" s="86" t="str">
        <f t="shared" si="1"/>
        <v>#REF!</v>
      </c>
      <c r="C259" s="86" t="str">
        <f t="shared" si="9"/>
        <v>#REF!</v>
      </c>
      <c r="D259" s="86" t="str">
        <f t="shared" si="10"/>
        <v>#REF!</v>
      </c>
      <c r="E259" s="86" t="str">
        <f t="shared" si="11"/>
        <v>#REF!</v>
      </c>
      <c r="F259" s="86" t="str">
        <f t="shared" si="12"/>
        <v>#REF!</v>
      </c>
      <c r="G259" s="86" t="str">
        <f t="shared" si="13"/>
        <v>#REF!</v>
      </c>
      <c r="H259" s="86" t="str">
        <f t="shared" si="14"/>
        <v>#REF!</v>
      </c>
      <c r="I259" s="86" t="str">
        <f t="shared" si="15"/>
        <v>#REF!</v>
      </c>
    </row>
    <row r="260">
      <c r="B260" s="86" t="str">
        <f t="shared" si="1"/>
        <v>#REF!</v>
      </c>
      <c r="C260" s="86" t="str">
        <f t="shared" si="9"/>
        <v>#REF!</v>
      </c>
      <c r="D260" s="86" t="str">
        <f t="shared" si="10"/>
        <v>#REF!</v>
      </c>
      <c r="E260" s="86" t="str">
        <f t="shared" si="11"/>
        <v>#REF!</v>
      </c>
      <c r="F260" s="86" t="str">
        <f t="shared" si="12"/>
        <v>#REF!</v>
      </c>
      <c r="G260" s="86" t="str">
        <f t="shared" si="13"/>
        <v>#REF!</v>
      </c>
      <c r="H260" s="86" t="str">
        <f t="shared" si="14"/>
        <v>#REF!</v>
      </c>
      <c r="I260" s="86" t="str">
        <f t="shared" si="15"/>
        <v>#REF!</v>
      </c>
    </row>
    <row r="261">
      <c r="B261" s="86" t="str">
        <f t="shared" si="1"/>
        <v>#REF!</v>
      </c>
      <c r="C261" s="86" t="str">
        <f t="shared" si="9"/>
        <v>#REF!</v>
      </c>
      <c r="D261" s="86" t="str">
        <f t="shared" si="10"/>
        <v>#REF!</v>
      </c>
      <c r="E261" s="86" t="str">
        <f t="shared" si="11"/>
        <v>#REF!</v>
      </c>
      <c r="F261" s="86" t="str">
        <f t="shared" si="12"/>
        <v>#REF!</v>
      </c>
      <c r="G261" s="86" t="str">
        <f t="shared" si="13"/>
        <v>#REF!</v>
      </c>
      <c r="H261" s="86" t="str">
        <f t="shared" si="14"/>
        <v>#REF!</v>
      </c>
      <c r="I261" s="86" t="str">
        <f t="shared" si="15"/>
        <v>#REF!</v>
      </c>
    </row>
    <row r="262">
      <c r="B262" s="86" t="str">
        <f t="shared" si="1"/>
        <v>#REF!</v>
      </c>
      <c r="C262" s="86" t="str">
        <f t="shared" si="9"/>
        <v>#REF!</v>
      </c>
      <c r="D262" s="86" t="str">
        <f t="shared" si="10"/>
        <v>#REF!</v>
      </c>
      <c r="E262" s="86" t="str">
        <f t="shared" si="11"/>
        <v>#REF!</v>
      </c>
      <c r="F262" s="86" t="str">
        <f t="shared" si="12"/>
        <v>#REF!</v>
      </c>
      <c r="G262" s="86" t="str">
        <f t="shared" si="13"/>
        <v>#REF!</v>
      </c>
      <c r="H262" s="86" t="str">
        <f t="shared" si="14"/>
        <v>#REF!</v>
      </c>
      <c r="I262" s="86" t="str">
        <f t="shared" si="15"/>
        <v>#REF!</v>
      </c>
    </row>
    <row r="263">
      <c r="B263" s="86" t="str">
        <f t="shared" si="1"/>
        <v>#REF!</v>
      </c>
      <c r="C263" s="86" t="str">
        <f t="shared" si="9"/>
        <v>#REF!</v>
      </c>
      <c r="D263" s="86" t="str">
        <f t="shared" si="10"/>
        <v>#REF!</v>
      </c>
      <c r="E263" s="86" t="str">
        <f t="shared" si="11"/>
        <v>#REF!</v>
      </c>
      <c r="F263" s="86" t="str">
        <f t="shared" si="12"/>
        <v>#REF!</v>
      </c>
      <c r="G263" s="86" t="str">
        <f t="shared" si="13"/>
        <v>#REF!</v>
      </c>
      <c r="H263" s="86" t="str">
        <f t="shared" si="14"/>
        <v>#REF!</v>
      </c>
      <c r="I263" s="86" t="str">
        <f t="shared" si="15"/>
        <v>#REF!</v>
      </c>
    </row>
    <row r="264">
      <c r="B264" s="86" t="str">
        <f t="shared" si="1"/>
        <v>#REF!</v>
      </c>
      <c r="C264" s="86" t="str">
        <f t="shared" si="9"/>
        <v>#REF!</v>
      </c>
      <c r="D264" s="86" t="str">
        <f t="shared" si="10"/>
        <v>#REF!</v>
      </c>
      <c r="E264" s="86" t="str">
        <f t="shared" si="11"/>
        <v>#REF!</v>
      </c>
      <c r="F264" s="86" t="str">
        <f t="shared" si="12"/>
        <v>#REF!</v>
      </c>
      <c r="G264" s="86" t="str">
        <f t="shared" si="13"/>
        <v>#REF!</v>
      </c>
      <c r="H264" s="86" t="str">
        <f t="shared" si="14"/>
        <v>#REF!</v>
      </c>
      <c r="I264" s="86" t="str">
        <f t="shared" si="15"/>
        <v>#REF!</v>
      </c>
    </row>
    <row r="265">
      <c r="B265" s="86" t="str">
        <f t="shared" si="1"/>
        <v>#REF!</v>
      </c>
      <c r="C265" s="86" t="str">
        <f t="shared" si="9"/>
        <v>#REF!</v>
      </c>
      <c r="D265" s="86" t="str">
        <f t="shared" si="10"/>
        <v>#REF!</v>
      </c>
      <c r="E265" s="86" t="str">
        <f t="shared" si="11"/>
        <v>#REF!</v>
      </c>
      <c r="F265" s="86" t="str">
        <f t="shared" si="12"/>
        <v>#REF!</v>
      </c>
      <c r="G265" s="86" t="str">
        <f t="shared" si="13"/>
        <v>#REF!</v>
      </c>
      <c r="H265" s="86" t="str">
        <f t="shared" si="14"/>
        <v>#REF!</v>
      </c>
      <c r="I265" s="86" t="str">
        <f t="shared" si="15"/>
        <v>#REF!</v>
      </c>
    </row>
    <row r="266">
      <c r="B266" s="86" t="str">
        <f t="shared" si="1"/>
        <v>#REF!</v>
      </c>
      <c r="C266" s="86" t="str">
        <f t="shared" si="9"/>
        <v>#REF!</v>
      </c>
      <c r="D266" s="86" t="str">
        <f t="shared" si="10"/>
        <v>#REF!</v>
      </c>
      <c r="E266" s="86" t="str">
        <f t="shared" si="11"/>
        <v>#REF!</v>
      </c>
      <c r="F266" s="86" t="str">
        <f t="shared" si="12"/>
        <v>#REF!</v>
      </c>
      <c r="G266" s="86" t="str">
        <f t="shared" si="13"/>
        <v>#REF!</v>
      </c>
      <c r="H266" s="86" t="str">
        <f t="shared" si="14"/>
        <v>#REF!</v>
      </c>
      <c r="I266" s="86" t="str">
        <f t="shared" si="15"/>
        <v>#REF!</v>
      </c>
    </row>
    <row r="267">
      <c r="B267" s="86" t="str">
        <f t="shared" si="1"/>
        <v>#REF!</v>
      </c>
      <c r="C267" s="86" t="str">
        <f t="shared" si="9"/>
        <v>#REF!</v>
      </c>
      <c r="D267" s="86" t="str">
        <f t="shared" si="10"/>
        <v>#REF!</v>
      </c>
      <c r="E267" s="86" t="str">
        <f t="shared" si="11"/>
        <v>#REF!</v>
      </c>
      <c r="F267" s="86" t="str">
        <f t="shared" si="12"/>
        <v>#REF!</v>
      </c>
      <c r="G267" s="86" t="str">
        <f t="shared" si="13"/>
        <v>#REF!</v>
      </c>
      <c r="H267" s="86" t="str">
        <f t="shared" si="14"/>
        <v>#REF!</v>
      </c>
      <c r="I267" s="86" t="str">
        <f t="shared" si="15"/>
        <v>#REF!</v>
      </c>
    </row>
    <row r="268">
      <c r="B268" s="86" t="str">
        <f t="shared" si="1"/>
        <v>#REF!</v>
      </c>
      <c r="C268" s="86" t="str">
        <f t="shared" si="9"/>
        <v>#REF!</v>
      </c>
      <c r="D268" s="86" t="str">
        <f t="shared" si="10"/>
        <v>#REF!</v>
      </c>
      <c r="E268" s="86" t="str">
        <f t="shared" si="11"/>
        <v>#REF!</v>
      </c>
      <c r="F268" s="86" t="str">
        <f t="shared" si="12"/>
        <v>#REF!</v>
      </c>
      <c r="G268" s="86" t="str">
        <f t="shared" si="13"/>
        <v>#REF!</v>
      </c>
      <c r="H268" s="86" t="str">
        <f t="shared" si="14"/>
        <v>#REF!</v>
      </c>
      <c r="I268" s="86" t="str">
        <f t="shared" si="15"/>
        <v>#REF!</v>
      </c>
    </row>
    <row r="269">
      <c r="B269" s="86" t="str">
        <f t="shared" si="1"/>
        <v>#REF!</v>
      </c>
      <c r="C269" s="86" t="str">
        <f t="shared" si="9"/>
        <v>#REF!</v>
      </c>
      <c r="D269" s="86" t="str">
        <f t="shared" si="10"/>
        <v>#REF!</v>
      </c>
      <c r="E269" s="86" t="str">
        <f t="shared" si="11"/>
        <v>#REF!</v>
      </c>
      <c r="F269" s="86" t="str">
        <f t="shared" si="12"/>
        <v>#REF!</v>
      </c>
      <c r="G269" s="86" t="str">
        <f t="shared" si="13"/>
        <v>#REF!</v>
      </c>
      <c r="H269" s="86" t="str">
        <f t="shared" si="14"/>
        <v>#REF!</v>
      </c>
      <c r="I269" s="86" t="str">
        <f t="shared" si="15"/>
        <v>#REF!</v>
      </c>
    </row>
    <row r="270">
      <c r="B270" s="86" t="str">
        <f t="shared" si="1"/>
        <v>#REF!</v>
      </c>
      <c r="C270" s="86" t="str">
        <f t="shared" si="9"/>
        <v>#REF!</v>
      </c>
      <c r="D270" s="86" t="str">
        <f t="shared" si="10"/>
        <v>#REF!</v>
      </c>
      <c r="E270" s="86" t="str">
        <f t="shared" si="11"/>
        <v>#REF!</v>
      </c>
      <c r="F270" s="86" t="str">
        <f t="shared" si="12"/>
        <v>#REF!</v>
      </c>
      <c r="G270" s="86" t="str">
        <f t="shared" si="13"/>
        <v>#REF!</v>
      </c>
      <c r="H270" s="86" t="str">
        <f t="shared" si="14"/>
        <v>#REF!</v>
      </c>
      <c r="I270" s="86" t="str">
        <f t="shared" si="15"/>
        <v>#REF!</v>
      </c>
    </row>
    <row r="271">
      <c r="B271" s="86" t="str">
        <f t="shared" si="1"/>
        <v>#REF!</v>
      </c>
      <c r="C271" s="86" t="str">
        <f t="shared" si="9"/>
        <v>#REF!</v>
      </c>
      <c r="D271" s="86" t="str">
        <f t="shared" si="10"/>
        <v>#REF!</v>
      </c>
      <c r="E271" s="86" t="str">
        <f t="shared" si="11"/>
        <v>#REF!</v>
      </c>
      <c r="F271" s="86" t="str">
        <f t="shared" si="12"/>
        <v>#REF!</v>
      </c>
      <c r="G271" s="86" t="str">
        <f t="shared" si="13"/>
        <v>#REF!</v>
      </c>
      <c r="H271" s="86" t="str">
        <f t="shared" si="14"/>
        <v>#REF!</v>
      </c>
      <c r="I271" s="86" t="str">
        <f t="shared" si="15"/>
        <v>#REF!</v>
      </c>
    </row>
    <row r="272">
      <c r="B272" s="86" t="str">
        <f t="shared" si="1"/>
        <v>#REF!</v>
      </c>
      <c r="C272" s="86" t="str">
        <f t="shared" si="9"/>
        <v>#REF!</v>
      </c>
      <c r="D272" s="86" t="str">
        <f t="shared" si="10"/>
        <v>#REF!</v>
      </c>
      <c r="E272" s="86" t="str">
        <f t="shared" si="11"/>
        <v>#REF!</v>
      </c>
      <c r="F272" s="86" t="str">
        <f t="shared" si="12"/>
        <v>#REF!</v>
      </c>
      <c r="G272" s="86" t="str">
        <f t="shared" si="13"/>
        <v>#REF!</v>
      </c>
      <c r="H272" s="86" t="str">
        <f t="shared" si="14"/>
        <v>#REF!</v>
      </c>
      <c r="I272" s="86" t="str">
        <f t="shared" si="15"/>
        <v>#REF!</v>
      </c>
    </row>
    <row r="273">
      <c r="B273" s="86" t="str">
        <f t="shared" si="1"/>
        <v>#REF!</v>
      </c>
      <c r="C273" s="86" t="str">
        <f t="shared" si="9"/>
        <v>#REF!</v>
      </c>
      <c r="D273" s="86" t="str">
        <f t="shared" si="10"/>
        <v>#REF!</v>
      </c>
      <c r="E273" s="86" t="str">
        <f t="shared" si="11"/>
        <v>#REF!</v>
      </c>
      <c r="F273" s="86" t="str">
        <f t="shared" si="12"/>
        <v>#REF!</v>
      </c>
      <c r="G273" s="86" t="str">
        <f t="shared" si="13"/>
        <v>#REF!</v>
      </c>
      <c r="H273" s="86" t="str">
        <f t="shared" si="14"/>
        <v>#REF!</v>
      </c>
      <c r="I273" s="86" t="str">
        <f t="shared" si="15"/>
        <v>#REF!</v>
      </c>
    </row>
    <row r="274">
      <c r="B274" s="86" t="str">
        <f t="shared" si="1"/>
        <v>#REF!</v>
      </c>
      <c r="C274" s="86" t="str">
        <f t="shared" si="9"/>
        <v>#REF!</v>
      </c>
      <c r="D274" s="86" t="str">
        <f t="shared" si="10"/>
        <v>#REF!</v>
      </c>
      <c r="E274" s="86" t="str">
        <f t="shared" si="11"/>
        <v>#REF!</v>
      </c>
      <c r="F274" s="86" t="str">
        <f t="shared" si="12"/>
        <v>#REF!</v>
      </c>
      <c r="G274" s="86" t="str">
        <f t="shared" si="13"/>
        <v>#REF!</v>
      </c>
      <c r="H274" s="86" t="str">
        <f t="shared" si="14"/>
        <v>#REF!</v>
      </c>
      <c r="I274" s="86" t="str">
        <f t="shared" si="15"/>
        <v>#REF!</v>
      </c>
    </row>
    <row r="275">
      <c r="B275" s="86" t="str">
        <f t="shared" si="1"/>
        <v>#REF!</v>
      </c>
      <c r="C275" s="86" t="str">
        <f t="shared" si="9"/>
        <v>#REF!</v>
      </c>
      <c r="D275" s="86" t="str">
        <f t="shared" si="10"/>
        <v>#REF!</v>
      </c>
      <c r="E275" s="86" t="str">
        <f t="shared" si="11"/>
        <v>#REF!</v>
      </c>
      <c r="F275" s="86" t="str">
        <f t="shared" si="12"/>
        <v>#REF!</v>
      </c>
      <c r="G275" s="86" t="str">
        <f t="shared" si="13"/>
        <v>#REF!</v>
      </c>
      <c r="H275" s="86" t="str">
        <f t="shared" si="14"/>
        <v>#REF!</v>
      </c>
      <c r="I275" s="86" t="str">
        <f t="shared" si="15"/>
        <v>#REF!</v>
      </c>
    </row>
    <row r="276">
      <c r="B276" s="86" t="str">
        <f t="shared" si="1"/>
        <v>#REF!</v>
      </c>
      <c r="C276" s="86" t="str">
        <f t="shared" si="9"/>
        <v>#REF!</v>
      </c>
      <c r="D276" s="86" t="str">
        <f t="shared" si="10"/>
        <v>#REF!</v>
      </c>
      <c r="E276" s="86" t="str">
        <f t="shared" si="11"/>
        <v>#REF!</v>
      </c>
      <c r="F276" s="86" t="str">
        <f t="shared" si="12"/>
        <v>#REF!</v>
      </c>
      <c r="G276" s="86" t="str">
        <f t="shared" si="13"/>
        <v>#REF!</v>
      </c>
      <c r="H276" s="86" t="str">
        <f t="shared" si="14"/>
        <v>#REF!</v>
      </c>
      <c r="I276" s="86" t="str">
        <f t="shared" si="15"/>
        <v>#REF!</v>
      </c>
    </row>
    <row r="277">
      <c r="B277" s="86" t="str">
        <f t="shared" si="1"/>
        <v>#REF!</v>
      </c>
      <c r="C277" s="86" t="str">
        <f t="shared" si="9"/>
        <v>#REF!</v>
      </c>
      <c r="D277" s="86" t="str">
        <f t="shared" si="10"/>
        <v>#REF!</v>
      </c>
      <c r="E277" s="86" t="str">
        <f t="shared" si="11"/>
        <v>#REF!</v>
      </c>
      <c r="F277" s="86" t="str">
        <f t="shared" si="12"/>
        <v>#REF!</v>
      </c>
      <c r="G277" s="86" t="str">
        <f t="shared" si="13"/>
        <v>#REF!</v>
      </c>
      <c r="H277" s="86" t="str">
        <f t="shared" si="14"/>
        <v>#REF!</v>
      </c>
      <c r="I277" s="86" t="str">
        <f t="shared" si="15"/>
        <v>#REF!</v>
      </c>
    </row>
    <row r="278">
      <c r="B278" s="86" t="str">
        <f t="shared" si="1"/>
        <v>#REF!</v>
      </c>
      <c r="C278" s="86" t="str">
        <f t="shared" si="9"/>
        <v>#REF!</v>
      </c>
      <c r="D278" s="86" t="str">
        <f t="shared" si="10"/>
        <v>#REF!</v>
      </c>
      <c r="E278" s="86" t="str">
        <f t="shared" si="11"/>
        <v>#REF!</v>
      </c>
      <c r="F278" s="86" t="str">
        <f t="shared" si="12"/>
        <v>#REF!</v>
      </c>
      <c r="G278" s="86" t="str">
        <f t="shared" si="13"/>
        <v>#REF!</v>
      </c>
      <c r="H278" s="86" t="str">
        <f t="shared" si="14"/>
        <v>#REF!</v>
      </c>
      <c r="I278" s="86" t="str">
        <f t="shared" si="15"/>
        <v>#REF!</v>
      </c>
    </row>
    <row r="279">
      <c r="B279" s="86" t="str">
        <f t="shared" si="1"/>
        <v>#REF!</v>
      </c>
      <c r="C279" s="86" t="str">
        <f t="shared" si="9"/>
        <v>#REF!</v>
      </c>
      <c r="D279" s="86" t="str">
        <f t="shared" si="10"/>
        <v>#REF!</v>
      </c>
      <c r="E279" s="86" t="str">
        <f t="shared" si="11"/>
        <v>#REF!</v>
      </c>
      <c r="F279" s="86" t="str">
        <f t="shared" si="12"/>
        <v>#REF!</v>
      </c>
      <c r="G279" s="86" t="str">
        <f t="shared" si="13"/>
        <v>#REF!</v>
      </c>
      <c r="H279" s="86" t="str">
        <f t="shared" si="14"/>
        <v>#REF!</v>
      </c>
      <c r="I279" s="86" t="str">
        <f t="shared" si="15"/>
        <v>#REF!</v>
      </c>
    </row>
    <row r="280">
      <c r="B280" s="86" t="str">
        <f t="shared" si="1"/>
        <v>#REF!</v>
      </c>
      <c r="C280" s="86" t="str">
        <f t="shared" si="9"/>
        <v>#REF!</v>
      </c>
      <c r="D280" s="86" t="str">
        <f t="shared" si="10"/>
        <v>#REF!</v>
      </c>
      <c r="E280" s="86" t="str">
        <f t="shared" si="11"/>
        <v>#REF!</v>
      </c>
      <c r="F280" s="86" t="str">
        <f t="shared" si="12"/>
        <v>#REF!</v>
      </c>
      <c r="G280" s="86" t="str">
        <f t="shared" si="13"/>
        <v>#REF!</v>
      </c>
      <c r="H280" s="86" t="str">
        <f t="shared" si="14"/>
        <v>#REF!</v>
      </c>
      <c r="I280" s="86" t="str">
        <f t="shared" si="15"/>
        <v>#REF!</v>
      </c>
    </row>
    <row r="281">
      <c r="B281" s="86" t="str">
        <f t="shared" si="1"/>
        <v>#REF!</v>
      </c>
      <c r="C281" s="86" t="str">
        <f t="shared" si="9"/>
        <v>#REF!</v>
      </c>
      <c r="D281" s="86" t="str">
        <f t="shared" si="10"/>
        <v>#REF!</v>
      </c>
      <c r="E281" s="86" t="str">
        <f t="shared" si="11"/>
        <v>#REF!</v>
      </c>
      <c r="F281" s="86" t="str">
        <f t="shared" si="12"/>
        <v>#REF!</v>
      </c>
      <c r="G281" s="86" t="str">
        <f t="shared" si="13"/>
        <v>#REF!</v>
      </c>
      <c r="H281" s="86" t="str">
        <f t="shared" si="14"/>
        <v>#REF!</v>
      </c>
      <c r="I281" s="86" t="str">
        <f t="shared" si="15"/>
        <v>#REF!</v>
      </c>
    </row>
    <row r="282">
      <c r="B282" s="86" t="str">
        <f t="shared" si="1"/>
        <v>#REF!</v>
      </c>
      <c r="C282" s="86" t="str">
        <f t="shared" si="9"/>
        <v>#REF!</v>
      </c>
      <c r="D282" s="86" t="str">
        <f t="shared" si="10"/>
        <v>#REF!</v>
      </c>
      <c r="E282" s="86" t="str">
        <f t="shared" si="11"/>
        <v>#REF!</v>
      </c>
      <c r="F282" s="86" t="str">
        <f t="shared" si="12"/>
        <v>#REF!</v>
      </c>
      <c r="G282" s="86" t="str">
        <f t="shared" si="13"/>
        <v>#REF!</v>
      </c>
      <c r="H282" s="86" t="str">
        <f t="shared" si="14"/>
        <v>#REF!</v>
      </c>
      <c r="I282" s="86" t="str">
        <f t="shared" si="15"/>
        <v>#REF!</v>
      </c>
    </row>
    <row r="283">
      <c r="B283" s="86" t="str">
        <f t="shared" si="1"/>
        <v>#REF!</v>
      </c>
      <c r="C283" s="86" t="str">
        <f t="shared" si="9"/>
        <v>#REF!</v>
      </c>
      <c r="D283" s="86" t="str">
        <f t="shared" si="10"/>
        <v>#REF!</v>
      </c>
      <c r="E283" s="86" t="str">
        <f t="shared" si="11"/>
        <v>#REF!</v>
      </c>
      <c r="F283" s="86" t="str">
        <f t="shared" si="12"/>
        <v>#REF!</v>
      </c>
      <c r="G283" s="86" t="str">
        <f t="shared" si="13"/>
        <v>#REF!</v>
      </c>
      <c r="H283" s="86" t="str">
        <f t="shared" si="14"/>
        <v>#REF!</v>
      </c>
      <c r="I283" s="86" t="str">
        <f t="shared" si="15"/>
        <v>#REF!</v>
      </c>
    </row>
    <row r="284">
      <c r="B284" s="86" t="str">
        <f t="shared" si="1"/>
        <v>#REF!</v>
      </c>
      <c r="C284" s="86" t="str">
        <f t="shared" si="9"/>
        <v>#REF!</v>
      </c>
      <c r="D284" s="86" t="str">
        <f t="shared" si="10"/>
        <v>#REF!</v>
      </c>
      <c r="E284" s="86" t="str">
        <f t="shared" si="11"/>
        <v>#REF!</v>
      </c>
      <c r="F284" s="86" t="str">
        <f t="shared" si="12"/>
        <v>#REF!</v>
      </c>
      <c r="G284" s="86" t="str">
        <f t="shared" si="13"/>
        <v>#REF!</v>
      </c>
      <c r="H284" s="86" t="str">
        <f t="shared" si="14"/>
        <v>#REF!</v>
      </c>
      <c r="I284" s="86" t="str">
        <f t="shared" si="15"/>
        <v>#REF!</v>
      </c>
    </row>
    <row r="285">
      <c r="B285" s="86" t="str">
        <f t="shared" si="1"/>
        <v>#REF!</v>
      </c>
      <c r="C285" s="86" t="str">
        <f t="shared" si="9"/>
        <v>#REF!</v>
      </c>
      <c r="D285" s="86" t="str">
        <f t="shared" si="10"/>
        <v>#REF!</v>
      </c>
      <c r="E285" s="86" t="str">
        <f t="shared" si="11"/>
        <v>#REF!</v>
      </c>
      <c r="F285" s="86" t="str">
        <f t="shared" si="12"/>
        <v>#REF!</v>
      </c>
      <c r="G285" s="86" t="str">
        <f t="shared" si="13"/>
        <v>#REF!</v>
      </c>
      <c r="H285" s="86" t="str">
        <f t="shared" si="14"/>
        <v>#REF!</v>
      </c>
      <c r="I285" s="86" t="str">
        <f t="shared" si="15"/>
        <v>#REF!</v>
      </c>
    </row>
    <row r="286">
      <c r="B286" s="86" t="str">
        <f t="shared" si="1"/>
        <v>#REF!</v>
      </c>
      <c r="C286" s="86" t="str">
        <f t="shared" si="9"/>
        <v>#REF!</v>
      </c>
      <c r="D286" s="86" t="str">
        <f t="shared" si="10"/>
        <v>#REF!</v>
      </c>
      <c r="E286" s="86" t="str">
        <f t="shared" si="11"/>
        <v>#REF!</v>
      </c>
      <c r="F286" s="86" t="str">
        <f t="shared" si="12"/>
        <v>#REF!</v>
      </c>
      <c r="G286" s="86" t="str">
        <f t="shared" si="13"/>
        <v>#REF!</v>
      </c>
      <c r="H286" s="86" t="str">
        <f t="shared" si="14"/>
        <v>#REF!</v>
      </c>
      <c r="I286" s="86" t="str">
        <f t="shared" si="15"/>
        <v>#REF!</v>
      </c>
    </row>
    <row r="287">
      <c r="B287" s="86" t="str">
        <f t="shared" si="1"/>
        <v>#REF!</v>
      </c>
      <c r="C287" s="86" t="str">
        <f t="shared" si="9"/>
        <v>#REF!</v>
      </c>
      <c r="D287" s="86" t="str">
        <f t="shared" si="10"/>
        <v>#REF!</v>
      </c>
      <c r="E287" s="86" t="str">
        <f t="shared" si="11"/>
        <v>#REF!</v>
      </c>
      <c r="F287" s="86" t="str">
        <f t="shared" si="12"/>
        <v>#REF!</v>
      </c>
      <c r="G287" s="86" t="str">
        <f t="shared" si="13"/>
        <v>#REF!</v>
      </c>
      <c r="H287" s="86" t="str">
        <f t="shared" si="14"/>
        <v>#REF!</v>
      </c>
      <c r="I287" s="86" t="str">
        <f t="shared" si="15"/>
        <v>#REF!</v>
      </c>
    </row>
    <row r="288">
      <c r="B288" s="86" t="str">
        <f t="shared" si="1"/>
        <v>#REF!</v>
      </c>
      <c r="C288" s="86" t="str">
        <f t="shared" si="9"/>
        <v>#REF!</v>
      </c>
      <c r="D288" s="86" t="str">
        <f t="shared" si="10"/>
        <v>#REF!</v>
      </c>
      <c r="E288" s="86" t="str">
        <f t="shared" si="11"/>
        <v>#REF!</v>
      </c>
      <c r="F288" s="86" t="str">
        <f t="shared" si="12"/>
        <v>#REF!</v>
      </c>
      <c r="G288" s="86" t="str">
        <f t="shared" si="13"/>
        <v>#REF!</v>
      </c>
      <c r="H288" s="86" t="str">
        <f t="shared" si="14"/>
        <v>#REF!</v>
      </c>
      <c r="I288" s="86" t="str">
        <f t="shared" si="15"/>
        <v>#REF!</v>
      </c>
    </row>
    <row r="289">
      <c r="B289" s="86" t="str">
        <f t="shared" si="1"/>
        <v>#REF!</v>
      </c>
      <c r="C289" s="86" t="str">
        <f t="shared" si="9"/>
        <v>#REF!</v>
      </c>
      <c r="D289" s="86" t="str">
        <f t="shared" si="10"/>
        <v>#REF!</v>
      </c>
      <c r="E289" s="86" t="str">
        <f t="shared" si="11"/>
        <v>#REF!</v>
      </c>
      <c r="F289" s="86" t="str">
        <f t="shared" si="12"/>
        <v>#REF!</v>
      </c>
      <c r="G289" s="86" t="str">
        <f t="shared" si="13"/>
        <v>#REF!</v>
      </c>
      <c r="H289" s="86" t="str">
        <f t="shared" si="14"/>
        <v>#REF!</v>
      </c>
      <c r="I289" s="86" t="str">
        <f t="shared" si="15"/>
        <v>#REF!</v>
      </c>
    </row>
    <row r="290">
      <c r="B290" s="86" t="str">
        <f t="shared" si="1"/>
        <v>#REF!</v>
      </c>
      <c r="C290" s="86" t="str">
        <f t="shared" si="9"/>
        <v>#REF!</v>
      </c>
      <c r="D290" s="86" t="str">
        <f t="shared" si="10"/>
        <v>#REF!</v>
      </c>
      <c r="E290" s="86" t="str">
        <f t="shared" si="11"/>
        <v>#REF!</v>
      </c>
      <c r="F290" s="86" t="str">
        <f t="shared" si="12"/>
        <v>#REF!</v>
      </c>
      <c r="G290" s="86" t="str">
        <f t="shared" si="13"/>
        <v>#REF!</v>
      </c>
      <c r="H290" s="86" t="str">
        <f t="shared" si="14"/>
        <v>#REF!</v>
      </c>
      <c r="I290" s="86" t="str">
        <f t="shared" si="15"/>
        <v>#REF!</v>
      </c>
    </row>
    <row r="291">
      <c r="B291" s="86" t="str">
        <f t="shared" si="1"/>
        <v>#REF!</v>
      </c>
      <c r="C291" s="86" t="str">
        <f t="shared" si="9"/>
        <v>#REF!</v>
      </c>
      <c r="D291" s="86" t="str">
        <f t="shared" si="10"/>
        <v>#REF!</v>
      </c>
      <c r="E291" s="86" t="str">
        <f t="shared" si="11"/>
        <v>#REF!</v>
      </c>
      <c r="F291" s="86" t="str">
        <f t="shared" si="12"/>
        <v>#REF!</v>
      </c>
      <c r="G291" s="86" t="str">
        <f t="shared" si="13"/>
        <v>#REF!</v>
      </c>
      <c r="H291" s="86" t="str">
        <f t="shared" si="14"/>
        <v>#REF!</v>
      </c>
      <c r="I291" s="86" t="str">
        <f t="shared" si="15"/>
        <v>#REF!</v>
      </c>
    </row>
    <row r="292">
      <c r="B292" s="86" t="str">
        <f t="shared" si="1"/>
        <v>#REF!</v>
      </c>
      <c r="C292" s="86" t="str">
        <f t="shared" si="9"/>
        <v>#REF!</v>
      </c>
      <c r="D292" s="86" t="str">
        <f t="shared" si="10"/>
        <v>#REF!</v>
      </c>
      <c r="E292" s="86" t="str">
        <f t="shared" si="11"/>
        <v>#REF!</v>
      </c>
      <c r="F292" s="86" t="str">
        <f t="shared" si="12"/>
        <v>#REF!</v>
      </c>
      <c r="G292" s="86" t="str">
        <f t="shared" si="13"/>
        <v>#REF!</v>
      </c>
      <c r="H292" s="86" t="str">
        <f t="shared" si="14"/>
        <v>#REF!</v>
      </c>
      <c r="I292" s="86" t="str">
        <f t="shared" si="15"/>
        <v>#REF!</v>
      </c>
    </row>
    <row r="293">
      <c r="B293" s="86" t="str">
        <f t="shared" si="1"/>
        <v>#REF!</v>
      </c>
      <c r="C293" s="86" t="str">
        <f t="shared" si="9"/>
        <v>#REF!</v>
      </c>
      <c r="D293" s="86" t="str">
        <f t="shared" si="10"/>
        <v>#REF!</v>
      </c>
      <c r="E293" s="86" t="str">
        <f t="shared" si="11"/>
        <v>#REF!</v>
      </c>
      <c r="F293" s="86" t="str">
        <f t="shared" si="12"/>
        <v>#REF!</v>
      </c>
      <c r="G293" s="86" t="str">
        <f t="shared" si="13"/>
        <v>#REF!</v>
      </c>
      <c r="H293" s="86" t="str">
        <f t="shared" si="14"/>
        <v>#REF!</v>
      </c>
      <c r="I293" s="86" t="str">
        <f t="shared" si="15"/>
        <v>#REF!</v>
      </c>
    </row>
    <row r="294">
      <c r="B294" s="86" t="str">
        <f t="shared" si="1"/>
        <v>#REF!</v>
      </c>
      <c r="C294" s="86" t="str">
        <f t="shared" si="9"/>
        <v>#REF!</v>
      </c>
      <c r="D294" s="86" t="str">
        <f t="shared" si="10"/>
        <v>#REF!</v>
      </c>
      <c r="E294" s="86" t="str">
        <f t="shared" si="11"/>
        <v>#REF!</v>
      </c>
      <c r="F294" s="86" t="str">
        <f t="shared" si="12"/>
        <v>#REF!</v>
      </c>
      <c r="G294" s="86" t="str">
        <f t="shared" si="13"/>
        <v>#REF!</v>
      </c>
      <c r="H294" s="86" t="str">
        <f t="shared" si="14"/>
        <v>#REF!</v>
      </c>
      <c r="I294" s="86" t="str">
        <f t="shared" si="15"/>
        <v>#REF!</v>
      </c>
    </row>
    <row r="295">
      <c r="B295" s="86" t="str">
        <f t="shared" si="1"/>
        <v>#REF!</v>
      </c>
      <c r="C295" s="86" t="str">
        <f t="shared" si="9"/>
        <v>#REF!</v>
      </c>
      <c r="D295" s="86" t="str">
        <f t="shared" si="10"/>
        <v>#REF!</v>
      </c>
      <c r="E295" s="86" t="str">
        <f t="shared" si="11"/>
        <v>#REF!</v>
      </c>
      <c r="F295" s="86" t="str">
        <f t="shared" si="12"/>
        <v>#REF!</v>
      </c>
      <c r="G295" s="86" t="str">
        <f t="shared" si="13"/>
        <v>#REF!</v>
      </c>
      <c r="H295" s="86" t="str">
        <f t="shared" si="14"/>
        <v>#REF!</v>
      </c>
      <c r="I295" s="86" t="str">
        <f t="shared" si="15"/>
        <v>#REF!</v>
      </c>
    </row>
    <row r="296">
      <c r="B296" s="86" t="str">
        <f t="shared" si="1"/>
        <v>#REF!</v>
      </c>
      <c r="C296" s="86" t="str">
        <f t="shared" si="9"/>
        <v>#REF!</v>
      </c>
      <c r="D296" s="86" t="str">
        <f t="shared" si="10"/>
        <v>#REF!</v>
      </c>
      <c r="E296" s="86" t="str">
        <f t="shared" si="11"/>
        <v>#REF!</v>
      </c>
      <c r="F296" s="86" t="str">
        <f t="shared" si="12"/>
        <v>#REF!</v>
      </c>
      <c r="G296" s="86" t="str">
        <f t="shared" si="13"/>
        <v>#REF!</v>
      </c>
      <c r="H296" s="86" t="str">
        <f t="shared" si="14"/>
        <v>#REF!</v>
      </c>
      <c r="I296" s="86" t="str">
        <f t="shared" si="15"/>
        <v>#REF!</v>
      </c>
    </row>
    <row r="297">
      <c r="B297" s="86" t="str">
        <f t="shared" si="1"/>
        <v>#REF!</v>
      </c>
      <c r="C297" s="86" t="str">
        <f t="shared" si="9"/>
        <v>#REF!</v>
      </c>
      <c r="D297" s="86" t="str">
        <f t="shared" si="10"/>
        <v>#REF!</v>
      </c>
      <c r="E297" s="86" t="str">
        <f t="shared" si="11"/>
        <v>#REF!</v>
      </c>
      <c r="F297" s="86" t="str">
        <f t="shared" si="12"/>
        <v>#REF!</v>
      </c>
      <c r="G297" s="86" t="str">
        <f t="shared" si="13"/>
        <v>#REF!</v>
      </c>
      <c r="H297" s="86" t="str">
        <f t="shared" si="14"/>
        <v>#REF!</v>
      </c>
      <c r="I297" s="86" t="str">
        <f t="shared" si="15"/>
        <v>#REF!</v>
      </c>
    </row>
    <row r="298">
      <c r="B298" s="86" t="str">
        <f t="shared" si="1"/>
        <v>#REF!</v>
      </c>
      <c r="C298" s="86" t="str">
        <f t="shared" si="9"/>
        <v>#REF!</v>
      </c>
      <c r="D298" s="86" t="str">
        <f t="shared" si="10"/>
        <v>#REF!</v>
      </c>
      <c r="E298" s="86" t="str">
        <f t="shared" si="11"/>
        <v>#REF!</v>
      </c>
      <c r="F298" s="86" t="str">
        <f t="shared" si="12"/>
        <v>#REF!</v>
      </c>
      <c r="G298" s="86" t="str">
        <f t="shared" si="13"/>
        <v>#REF!</v>
      </c>
      <c r="H298" s="86" t="str">
        <f t="shared" si="14"/>
        <v>#REF!</v>
      </c>
      <c r="I298" s="86" t="str">
        <f t="shared" si="15"/>
        <v>#REF!</v>
      </c>
    </row>
    <row r="299">
      <c r="B299" s="86" t="str">
        <f t="shared" si="1"/>
        <v>#REF!</v>
      </c>
      <c r="C299" s="86" t="str">
        <f t="shared" si="9"/>
        <v>#REF!</v>
      </c>
      <c r="D299" s="86" t="str">
        <f t="shared" si="10"/>
        <v>#REF!</v>
      </c>
      <c r="E299" s="86" t="str">
        <f t="shared" si="11"/>
        <v>#REF!</v>
      </c>
      <c r="F299" s="86" t="str">
        <f t="shared" si="12"/>
        <v>#REF!</v>
      </c>
      <c r="G299" s="86" t="str">
        <f t="shared" si="13"/>
        <v>#REF!</v>
      </c>
      <c r="H299" s="86" t="str">
        <f t="shared" si="14"/>
        <v>#REF!</v>
      </c>
      <c r="I299" s="86" t="str">
        <f t="shared" si="15"/>
        <v>#REF!</v>
      </c>
    </row>
    <row r="300">
      <c r="B300" s="86" t="str">
        <f t="shared" si="1"/>
        <v>#REF!</v>
      </c>
      <c r="C300" s="86" t="str">
        <f t="shared" si="9"/>
        <v>#REF!</v>
      </c>
      <c r="D300" s="86" t="str">
        <f t="shared" si="10"/>
        <v>#REF!</v>
      </c>
      <c r="E300" s="86" t="str">
        <f t="shared" si="11"/>
        <v>#REF!</v>
      </c>
      <c r="F300" s="86" t="str">
        <f t="shared" si="12"/>
        <v>#REF!</v>
      </c>
      <c r="G300" s="86" t="str">
        <f t="shared" si="13"/>
        <v>#REF!</v>
      </c>
      <c r="H300" s="86" t="str">
        <f t="shared" si="14"/>
        <v>#REF!</v>
      </c>
      <c r="I300" s="86" t="str">
        <f t="shared" si="15"/>
        <v>#REF!</v>
      </c>
    </row>
    <row r="301">
      <c r="B301" s="86" t="str">
        <f t="shared" si="1"/>
        <v>#REF!</v>
      </c>
      <c r="C301" s="86" t="str">
        <f t="shared" si="9"/>
        <v>#REF!</v>
      </c>
      <c r="D301" s="86" t="str">
        <f t="shared" si="10"/>
        <v>#REF!</v>
      </c>
      <c r="E301" s="86" t="str">
        <f t="shared" si="11"/>
        <v>#REF!</v>
      </c>
      <c r="F301" s="86" t="str">
        <f t="shared" si="12"/>
        <v>#REF!</v>
      </c>
      <c r="G301" s="86" t="str">
        <f t="shared" si="13"/>
        <v>#REF!</v>
      </c>
      <c r="H301" s="86" t="str">
        <f t="shared" si="14"/>
        <v>#REF!</v>
      </c>
      <c r="I301" s="86" t="str">
        <f t="shared" si="15"/>
        <v>#REF!</v>
      </c>
    </row>
    <row r="302">
      <c r="B302" s="86" t="str">
        <f t="shared" si="1"/>
        <v>#REF!</v>
      </c>
      <c r="C302" s="86" t="str">
        <f t="shared" si="9"/>
        <v>#REF!</v>
      </c>
      <c r="D302" s="86" t="str">
        <f t="shared" si="10"/>
        <v>#REF!</v>
      </c>
      <c r="E302" s="86" t="str">
        <f t="shared" si="11"/>
        <v>#REF!</v>
      </c>
      <c r="F302" s="86" t="str">
        <f t="shared" si="12"/>
        <v>#REF!</v>
      </c>
      <c r="G302" s="86" t="str">
        <f t="shared" si="13"/>
        <v>#REF!</v>
      </c>
      <c r="H302" s="86" t="str">
        <f t="shared" si="14"/>
        <v>#REF!</v>
      </c>
      <c r="I302" s="86" t="str">
        <f t="shared" si="15"/>
        <v>#REF!</v>
      </c>
    </row>
    <row r="303">
      <c r="B303" s="86" t="str">
        <f t="shared" si="1"/>
        <v>#REF!</v>
      </c>
      <c r="C303" s="86" t="str">
        <f t="shared" si="9"/>
        <v>#REF!</v>
      </c>
      <c r="D303" s="86" t="str">
        <f t="shared" si="10"/>
        <v>#REF!</v>
      </c>
      <c r="E303" s="86" t="str">
        <f t="shared" si="11"/>
        <v>#REF!</v>
      </c>
      <c r="F303" s="86" t="str">
        <f t="shared" si="12"/>
        <v>#REF!</v>
      </c>
      <c r="G303" s="86" t="str">
        <f t="shared" si="13"/>
        <v>#REF!</v>
      </c>
      <c r="H303" s="86" t="str">
        <f t="shared" si="14"/>
        <v>#REF!</v>
      </c>
      <c r="I303" s="86" t="str">
        <f t="shared" si="15"/>
        <v>#REF!</v>
      </c>
    </row>
    <row r="304">
      <c r="B304" s="86" t="str">
        <f t="shared" si="1"/>
        <v>#REF!</v>
      </c>
      <c r="C304" s="86" t="str">
        <f t="shared" si="9"/>
        <v>#REF!</v>
      </c>
      <c r="D304" s="86" t="str">
        <f t="shared" si="10"/>
        <v>#REF!</v>
      </c>
      <c r="E304" s="86" t="str">
        <f t="shared" si="11"/>
        <v>#REF!</v>
      </c>
      <c r="F304" s="86" t="str">
        <f t="shared" si="12"/>
        <v>#REF!</v>
      </c>
      <c r="G304" s="86" t="str">
        <f t="shared" si="13"/>
        <v>#REF!</v>
      </c>
      <c r="H304" s="86" t="str">
        <f t="shared" si="14"/>
        <v>#REF!</v>
      </c>
      <c r="I304" s="86" t="str">
        <f t="shared" si="15"/>
        <v>#REF!</v>
      </c>
    </row>
    <row r="305">
      <c r="B305" s="86" t="str">
        <f t="shared" si="1"/>
        <v>#REF!</v>
      </c>
      <c r="C305" s="86" t="str">
        <f t="shared" si="9"/>
        <v>#REF!</v>
      </c>
      <c r="D305" s="86" t="str">
        <f t="shared" si="10"/>
        <v>#REF!</v>
      </c>
      <c r="E305" s="86" t="str">
        <f t="shared" si="11"/>
        <v>#REF!</v>
      </c>
      <c r="F305" s="86" t="str">
        <f t="shared" si="12"/>
        <v>#REF!</v>
      </c>
      <c r="G305" s="86" t="str">
        <f t="shared" si="13"/>
        <v>#REF!</v>
      </c>
      <c r="H305" s="86" t="str">
        <f t="shared" si="14"/>
        <v>#REF!</v>
      </c>
      <c r="I305" s="86" t="str">
        <f t="shared" si="15"/>
        <v>#REF!</v>
      </c>
    </row>
    <row r="306">
      <c r="B306" s="86" t="str">
        <f t="shared" si="1"/>
        <v>#REF!</v>
      </c>
      <c r="C306" s="86" t="str">
        <f t="shared" si="9"/>
        <v>#REF!</v>
      </c>
      <c r="D306" s="86" t="str">
        <f t="shared" si="10"/>
        <v>#REF!</v>
      </c>
      <c r="E306" s="86" t="str">
        <f t="shared" si="11"/>
        <v>#REF!</v>
      </c>
      <c r="F306" s="86" t="str">
        <f t="shared" si="12"/>
        <v>#REF!</v>
      </c>
      <c r="G306" s="86" t="str">
        <f t="shared" si="13"/>
        <v>#REF!</v>
      </c>
      <c r="H306" s="86" t="str">
        <f t="shared" si="14"/>
        <v>#REF!</v>
      </c>
      <c r="I306" s="86" t="str">
        <f t="shared" si="15"/>
        <v>#REF!</v>
      </c>
    </row>
    <row r="307">
      <c r="B307" s="86" t="str">
        <f t="shared" si="1"/>
        <v>#REF!</v>
      </c>
      <c r="C307" s="86" t="str">
        <f t="shared" si="9"/>
        <v>#REF!</v>
      </c>
      <c r="D307" s="86" t="str">
        <f t="shared" si="10"/>
        <v>#REF!</v>
      </c>
      <c r="E307" s="86" t="str">
        <f t="shared" si="11"/>
        <v>#REF!</v>
      </c>
      <c r="F307" s="86" t="str">
        <f t="shared" si="12"/>
        <v>#REF!</v>
      </c>
      <c r="G307" s="86" t="str">
        <f t="shared" si="13"/>
        <v>#REF!</v>
      </c>
      <c r="H307" s="86" t="str">
        <f t="shared" si="14"/>
        <v>#REF!</v>
      </c>
      <c r="I307" s="86" t="str">
        <f t="shared" si="15"/>
        <v>#REF!</v>
      </c>
    </row>
    <row r="308">
      <c r="B308" s="86" t="str">
        <f t="shared" si="1"/>
        <v>#REF!</v>
      </c>
      <c r="C308" s="86" t="str">
        <f t="shared" si="9"/>
        <v>#REF!</v>
      </c>
      <c r="D308" s="86" t="str">
        <f t="shared" si="10"/>
        <v>#REF!</v>
      </c>
      <c r="E308" s="86" t="str">
        <f t="shared" si="11"/>
        <v>#REF!</v>
      </c>
      <c r="F308" s="86" t="str">
        <f t="shared" si="12"/>
        <v>#REF!</v>
      </c>
      <c r="G308" s="86" t="str">
        <f t="shared" si="13"/>
        <v>#REF!</v>
      </c>
      <c r="H308" s="86" t="str">
        <f t="shared" si="14"/>
        <v>#REF!</v>
      </c>
      <c r="I308" s="86" t="str">
        <f t="shared" si="15"/>
        <v>#REF!</v>
      </c>
    </row>
    <row r="309">
      <c r="B309" s="86" t="str">
        <f t="shared" si="1"/>
        <v>#REF!</v>
      </c>
      <c r="C309" s="86" t="str">
        <f t="shared" si="9"/>
        <v>#REF!</v>
      </c>
      <c r="D309" s="86" t="str">
        <f t="shared" si="10"/>
        <v>#REF!</v>
      </c>
      <c r="E309" s="86" t="str">
        <f t="shared" si="11"/>
        <v>#REF!</v>
      </c>
      <c r="F309" s="86" t="str">
        <f t="shared" si="12"/>
        <v>#REF!</v>
      </c>
      <c r="G309" s="86" t="str">
        <f t="shared" si="13"/>
        <v>#REF!</v>
      </c>
      <c r="H309" s="86" t="str">
        <f t="shared" si="14"/>
        <v>#REF!</v>
      </c>
      <c r="I309" s="86" t="str">
        <f t="shared" si="15"/>
        <v>#REF!</v>
      </c>
    </row>
    <row r="310">
      <c r="B310" s="86" t="str">
        <f t="shared" si="1"/>
        <v>#REF!</v>
      </c>
      <c r="C310" s="86" t="str">
        <f t="shared" si="9"/>
        <v>#REF!</v>
      </c>
      <c r="D310" s="86" t="str">
        <f t="shared" si="10"/>
        <v>#REF!</v>
      </c>
      <c r="E310" s="86" t="str">
        <f t="shared" si="11"/>
        <v>#REF!</v>
      </c>
      <c r="F310" s="86" t="str">
        <f t="shared" si="12"/>
        <v>#REF!</v>
      </c>
      <c r="G310" s="86" t="str">
        <f t="shared" si="13"/>
        <v>#REF!</v>
      </c>
      <c r="H310" s="86" t="str">
        <f t="shared" si="14"/>
        <v>#REF!</v>
      </c>
      <c r="I310" s="86" t="str">
        <f t="shared" si="15"/>
        <v>#REF!</v>
      </c>
    </row>
    <row r="311">
      <c r="B311" s="86" t="str">
        <f t="shared" si="1"/>
        <v>#REF!</v>
      </c>
      <c r="C311" s="86" t="str">
        <f t="shared" si="9"/>
        <v>#REF!</v>
      </c>
      <c r="D311" s="86" t="str">
        <f t="shared" si="10"/>
        <v>#REF!</v>
      </c>
      <c r="E311" s="86" t="str">
        <f t="shared" si="11"/>
        <v>#REF!</v>
      </c>
      <c r="F311" s="86" t="str">
        <f t="shared" si="12"/>
        <v>#REF!</v>
      </c>
      <c r="G311" s="86" t="str">
        <f t="shared" si="13"/>
        <v>#REF!</v>
      </c>
      <c r="H311" s="86" t="str">
        <f t="shared" si="14"/>
        <v>#REF!</v>
      </c>
      <c r="I311" s="86" t="str">
        <f t="shared" si="15"/>
        <v>#REF!</v>
      </c>
    </row>
    <row r="312">
      <c r="B312" s="86" t="str">
        <f t="shared" si="1"/>
        <v>#REF!</v>
      </c>
      <c r="C312" s="86" t="str">
        <f t="shared" si="9"/>
        <v>#REF!</v>
      </c>
      <c r="D312" s="86" t="str">
        <f t="shared" si="10"/>
        <v>#REF!</v>
      </c>
      <c r="E312" s="86" t="str">
        <f t="shared" si="11"/>
        <v>#REF!</v>
      </c>
      <c r="F312" s="86" t="str">
        <f t="shared" si="12"/>
        <v>#REF!</v>
      </c>
      <c r="G312" s="86" t="str">
        <f t="shared" si="13"/>
        <v>#REF!</v>
      </c>
      <c r="H312" s="86" t="str">
        <f t="shared" si="14"/>
        <v>#REF!</v>
      </c>
      <c r="I312" s="86" t="str">
        <f t="shared" si="15"/>
        <v>#REF!</v>
      </c>
    </row>
    <row r="313">
      <c r="B313" s="86" t="str">
        <f t="shared" si="1"/>
        <v>#REF!</v>
      </c>
      <c r="C313" s="86" t="str">
        <f t="shared" si="9"/>
        <v>#REF!</v>
      </c>
      <c r="D313" s="86" t="str">
        <f t="shared" si="10"/>
        <v>#REF!</v>
      </c>
      <c r="E313" s="86" t="str">
        <f t="shared" si="11"/>
        <v>#REF!</v>
      </c>
      <c r="F313" s="86" t="str">
        <f t="shared" si="12"/>
        <v>#REF!</v>
      </c>
      <c r="G313" s="86" t="str">
        <f t="shared" si="13"/>
        <v>#REF!</v>
      </c>
      <c r="H313" s="86" t="str">
        <f t="shared" si="14"/>
        <v>#REF!</v>
      </c>
      <c r="I313" s="86" t="str">
        <f t="shared" si="15"/>
        <v>#REF!</v>
      </c>
    </row>
    <row r="314">
      <c r="B314" s="86" t="str">
        <f t="shared" si="1"/>
        <v>#REF!</v>
      </c>
      <c r="C314" s="86" t="str">
        <f t="shared" si="9"/>
        <v>#REF!</v>
      </c>
      <c r="D314" s="86" t="str">
        <f t="shared" si="10"/>
        <v>#REF!</v>
      </c>
      <c r="E314" s="86" t="str">
        <f t="shared" si="11"/>
        <v>#REF!</v>
      </c>
      <c r="F314" s="86" t="str">
        <f t="shared" si="12"/>
        <v>#REF!</v>
      </c>
      <c r="G314" s="86" t="str">
        <f t="shared" si="13"/>
        <v>#REF!</v>
      </c>
      <c r="H314" s="86" t="str">
        <f t="shared" si="14"/>
        <v>#REF!</v>
      </c>
      <c r="I314" s="86" t="str">
        <f t="shared" si="15"/>
        <v>#REF!</v>
      </c>
    </row>
    <row r="315">
      <c r="B315" s="86" t="str">
        <f t="shared" si="1"/>
        <v>#REF!</v>
      </c>
      <c r="C315" s="86" t="str">
        <f t="shared" si="9"/>
        <v>#REF!</v>
      </c>
      <c r="D315" s="86" t="str">
        <f t="shared" si="10"/>
        <v>#REF!</v>
      </c>
      <c r="E315" s="86" t="str">
        <f t="shared" si="11"/>
        <v>#REF!</v>
      </c>
      <c r="F315" s="86" t="str">
        <f t="shared" si="12"/>
        <v>#REF!</v>
      </c>
      <c r="G315" s="86" t="str">
        <f t="shared" si="13"/>
        <v>#REF!</v>
      </c>
      <c r="H315" s="86" t="str">
        <f t="shared" si="14"/>
        <v>#REF!</v>
      </c>
      <c r="I315" s="86" t="str">
        <f t="shared" si="15"/>
        <v>#REF!</v>
      </c>
    </row>
    <row r="316">
      <c r="B316" s="86" t="str">
        <f t="shared" si="1"/>
        <v>#REF!</v>
      </c>
      <c r="C316" s="86" t="str">
        <f t="shared" si="9"/>
        <v>#REF!</v>
      </c>
      <c r="D316" s="86" t="str">
        <f t="shared" si="10"/>
        <v>#REF!</v>
      </c>
      <c r="E316" s="86" t="str">
        <f t="shared" si="11"/>
        <v>#REF!</v>
      </c>
      <c r="F316" s="86" t="str">
        <f t="shared" si="12"/>
        <v>#REF!</v>
      </c>
      <c r="G316" s="86" t="str">
        <f t="shared" si="13"/>
        <v>#REF!</v>
      </c>
      <c r="H316" s="86" t="str">
        <f t="shared" si="14"/>
        <v>#REF!</v>
      </c>
      <c r="I316" s="86" t="str">
        <f t="shared" si="15"/>
        <v>#REF!</v>
      </c>
    </row>
    <row r="317">
      <c r="B317" s="86" t="str">
        <f t="shared" si="1"/>
        <v>#REF!</v>
      </c>
      <c r="C317" s="86" t="str">
        <f t="shared" si="9"/>
        <v>#REF!</v>
      </c>
      <c r="D317" s="86" t="str">
        <f t="shared" si="10"/>
        <v>#REF!</v>
      </c>
      <c r="E317" s="86" t="str">
        <f t="shared" si="11"/>
        <v>#REF!</v>
      </c>
      <c r="F317" s="86" t="str">
        <f t="shared" si="12"/>
        <v>#REF!</v>
      </c>
      <c r="G317" s="86" t="str">
        <f t="shared" si="13"/>
        <v>#REF!</v>
      </c>
      <c r="H317" s="86" t="str">
        <f t="shared" si="14"/>
        <v>#REF!</v>
      </c>
      <c r="I317" s="86" t="str">
        <f t="shared" si="15"/>
        <v>#REF!</v>
      </c>
    </row>
    <row r="318">
      <c r="B318" s="86" t="str">
        <f t="shared" si="1"/>
        <v>#REF!</v>
      </c>
      <c r="C318" s="86" t="str">
        <f t="shared" si="9"/>
        <v>#REF!</v>
      </c>
      <c r="D318" s="86" t="str">
        <f t="shared" si="10"/>
        <v>#REF!</v>
      </c>
      <c r="E318" s="86" t="str">
        <f t="shared" si="11"/>
        <v>#REF!</v>
      </c>
      <c r="F318" s="86" t="str">
        <f t="shared" si="12"/>
        <v>#REF!</v>
      </c>
      <c r="G318" s="86" t="str">
        <f t="shared" si="13"/>
        <v>#REF!</v>
      </c>
      <c r="H318" s="86" t="str">
        <f t="shared" si="14"/>
        <v>#REF!</v>
      </c>
      <c r="I318" s="86" t="str">
        <f t="shared" si="15"/>
        <v>#REF!</v>
      </c>
    </row>
    <row r="319">
      <c r="B319" s="86" t="str">
        <f t="shared" si="1"/>
        <v>#REF!</v>
      </c>
      <c r="C319" s="86" t="str">
        <f t="shared" si="9"/>
        <v>#REF!</v>
      </c>
      <c r="D319" s="86" t="str">
        <f t="shared" si="10"/>
        <v>#REF!</v>
      </c>
      <c r="E319" s="86" t="str">
        <f t="shared" si="11"/>
        <v>#REF!</v>
      </c>
      <c r="F319" s="86" t="str">
        <f t="shared" si="12"/>
        <v>#REF!</v>
      </c>
      <c r="G319" s="86" t="str">
        <f t="shared" si="13"/>
        <v>#REF!</v>
      </c>
      <c r="H319" s="86" t="str">
        <f t="shared" si="14"/>
        <v>#REF!</v>
      </c>
      <c r="I319" s="86" t="str">
        <f t="shared" si="15"/>
        <v>#REF!</v>
      </c>
    </row>
    <row r="320">
      <c r="B320" s="86" t="str">
        <f t="shared" si="1"/>
        <v>#REF!</v>
      </c>
      <c r="C320" s="86" t="str">
        <f t="shared" si="9"/>
        <v>#REF!</v>
      </c>
      <c r="D320" s="86" t="str">
        <f t="shared" si="10"/>
        <v>#REF!</v>
      </c>
      <c r="E320" s="86" t="str">
        <f t="shared" si="11"/>
        <v>#REF!</v>
      </c>
      <c r="F320" s="86" t="str">
        <f t="shared" si="12"/>
        <v>#REF!</v>
      </c>
      <c r="G320" s="86" t="str">
        <f t="shared" si="13"/>
        <v>#REF!</v>
      </c>
      <c r="H320" s="86" t="str">
        <f t="shared" si="14"/>
        <v>#REF!</v>
      </c>
      <c r="I320" s="86" t="str">
        <f t="shared" si="15"/>
        <v>#REF!</v>
      </c>
    </row>
    <row r="321">
      <c r="B321" s="86" t="str">
        <f t="shared" si="1"/>
        <v>#REF!</v>
      </c>
      <c r="C321" s="86" t="str">
        <f t="shared" si="9"/>
        <v>#REF!</v>
      </c>
      <c r="D321" s="86" t="str">
        <f t="shared" si="10"/>
        <v>#REF!</v>
      </c>
      <c r="E321" s="86" t="str">
        <f t="shared" si="11"/>
        <v>#REF!</v>
      </c>
      <c r="F321" s="86" t="str">
        <f t="shared" si="12"/>
        <v>#REF!</v>
      </c>
      <c r="G321" s="86" t="str">
        <f t="shared" si="13"/>
        <v>#REF!</v>
      </c>
      <c r="H321" s="86" t="str">
        <f t="shared" si="14"/>
        <v>#REF!</v>
      </c>
      <c r="I321" s="86" t="str">
        <f t="shared" si="15"/>
        <v>#REF!</v>
      </c>
    </row>
    <row r="322">
      <c r="B322" s="86" t="str">
        <f t="shared" si="1"/>
        <v>#REF!</v>
      </c>
      <c r="C322" s="86" t="str">
        <f t="shared" si="9"/>
        <v>#REF!</v>
      </c>
      <c r="D322" s="86" t="str">
        <f t="shared" si="10"/>
        <v>#REF!</v>
      </c>
      <c r="E322" s="86" t="str">
        <f t="shared" si="11"/>
        <v>#REF!</v>
      </c>
      <c r="F322" s="86" t="str">
        <f t="shared" si="12"/>
        <v>#REF!</v>
      </c>
      <c r="G322" s="86" t="str">
        <f t="shared" si="13"/>
        <v>#REF!</v>
      </c>
      <c r="H322" s="86" t="str">
        <f t="shared" si="14"/>
        <v>#REF!</v>
      </c>
      <c r="I322" s="86" t="str">
        <f t="shared" si="15"/>
        <v>#REF!</v>
      </c>
    </row>
    <row r="323">
      <c r="B323" s="86" t="str">
        <f t="shared" si="1"/>
        <v>#REF!</v>
      </c>
      <c r="C323" s="86" t="str">
        <f t="shared" si="9"/>
        <v>#REF!</v>
      </c>
      <c r="D323" s="86" t="str">
        <f t="shared" si="10"/>
        <v>#REF!</v>
      </c>
      <c r="E323" s="86" t="str">
        <f t="shared" si="11"/>
        <v>#REF!</v>
      </c>
      <c r="F323" s="86" t="str">
        <f t="shared" si="12"/>
        <v>#REF!</v>
      </c>
      <c r="G323" s="86" t="str">
        <f t="shared" si="13"/>
        <v>#REF!</v>
      </c>
      <c r="H323" s="86" t="str">
        <f t="shared" si="14"/>
        <v>#REF!</v>
      </c>
      <c r="I323" s="86" t="str">
        <f t="shared" si="15"/>
        <v>#REF!</v>
      </c>
    </row>
    <row r="324">
      <c r="B324" s="86" t="str">
        <f t="shared" si="1"/>
        <v>#REF!</v>
      </c>
      <c r="C324" s="86" t="str">
        <f t="shared" si="9"/>
        <v>#REF!</v>
      </c>
      <c r="D324" s="86" t="str">
        <f t="shared" si="10"/>
        <v>#REF!</v>
      </c>
      <c r="E324" s="86" t="str">
        <f t="shared" si="11"/>
        <v>#REF!</v>
      </c>
      <c r="F324" s="86" t="str">
        <f t="shared" si="12"/>
        <v>#REF!</v>
      </c>
      <c r="G324" s="86" t="str">
        <f t="shared" si="13"/>
        <v>#REF!</v>
      </c>
      <c r="H324" s="86" t="str">
        <f t="shared" si="14"/>
        <v>#REF!</v>
      </c>
      <c r="I324" s="86" t="str">
        <f t="shared" si="15"/>
        <v>#REF!</v>
      </c>
    </row>
    <row r="325">
      <c r="B325" s="86" t="str">
        <f t="shared" si="1"/>
        <v>#REF!</v>
      </c>
      <c r="C325" s="86" t="str">
        <f t="shared" si="9"/>
        <v>#REF!</v>
      </c>
      <c r="D325" s="86" t="str">
        <f t="shared" si="10"/>
        <v>#REF!</v>
      </c>
      <c r="E325" s="86" t="str">
        <f t="shared" si="11"/>
        <v>#REF!</v>
      </c>
      <c r="F325" s="86" t="str">
        <f t="shared" si="12"/>
        <v>#REF!</v>
      </c>
      <c r="G325" s="86" t="str">
        <f t="shared" si="13"/>
        <v>#REF!</v>
      </c>
      <c r="H325" s="86" t="str">
        <f t="shared" si="14"/>
        <v>#REF!</v>
      </c>
      <c r="I325" s="86" t="str">
        <f t="shared" si="15"/>
        <v>#REF!</v>
      </c>
    </row>
    <row r="326">
      <c r="B326" s="86" t="str">
        <f t="shared" si="1"/>
        <v>#REF!</v>
      </c>
      <c r="C326" s="86" t="str">
        <f t="shared" si="9"/>
        <v>#REF!</v>
      </c>
      <c r="D326" s="86" t="str">
        <f t="shared" si="10"/>
        <v>#REF!</v>
      </c>
      <c r="E326" s="86" t="str">
        <f t="shared" si="11"/>
        <v>#REF!</v>
      </c>
      <c r="F326" s="86" t="str">
        <f t="shared" si="12"/>
        <v>#REF!</v>
      </c>
      <c r="G326" s="86" t="str">
        <f t="shared" si="13"/>
        <v>#REF!</v>
      </c>
      <c r="H326" s="86" t="str">
        <f t="shared" si="14"/>
        <v>#REF!</v>
      </c>
      <c r="I326" s="86" t="str">
        <f t="shared" si="15"/>
        <v>#REF!</v>
      </c>
    </row>
    <row r="327">
      <c r="B327" s="86" t="str">
        <f t="shared" si="1"/>
        <v>#REF!</v>
      </c>
      <c r="C327" s="86" t="str">
        <f t="shared" si="9"/>
        <v>#REF!</v>
      </c>
      <c r="D327" s="86" t="str">
        <f t="shared" si="10"/>
        <v>#REF!</v>
      </c>
      <c r="E327" s="86" t="str">
        <f t="shared" si="11"/>
        <v>#REF!</v>
      </c>
      <c r="F327" s="86" t="str">
        <f t="shared" si="12"/>
        <v>#REF!</v>
      </c>
      <c r="G327" s="86" t="str">
        <f t="shared" si="13"/>
        <v>#REF!</v>
      </c>
      <c r="H327" s="86" t="str">
        <f t="shared" si="14"/>
        <v>#REF!</v>
      </c>
      <c r="I327" s="86" t="str">
        <f t="shared" si="15"/>
        <v>#REF!</v>
      </c>
    </row>
    <row r="328">
      <c r="B328" s="86" t="str">
        <f t="shared" si="1"/>
        <v>#REF!</v>
      </c>
      <c r="C328" s="86" t="str">
        <f t="shared" si="9"/>
        <v>#REF!</v>
      </c>
      <c r="D328" s="86" t="str">
        <f t="shared" si="10"/>
        <v>#REF!</v>
      </c>
      <c r="E328" s="86" t="str">
        <f t="shared" si="11"/>
        <v>#REF!</v>
      </c>
      <c r="F328" s="86" t="str">
        <f t="shared" si="12"/>
        <v>#REF!</v>
      </c>
      <c r="G328" s="86" t="str">
        <f t="shared" si="13"/>
        <v>#REF!</v>
      </c>
      <c r="H328" s="86" t="str">
        <f t="shared" si="14"/>
        <v>#REF!</v>
      </c>
      <c r="I328" s="86" t="str">
        <f t="shared" si="15"/>
        <v>#REF!</v>
      </c>
    </row>
    <row r="329">
      <c r="B329" s="86" t="str">
        <f t="shared" si="1"/>
        <v>#REF!</v>
      </c>
      <c r="C329" s="86" t="str">
        <f t="shared" si="9"/>
        <v>#REF!</v>
      </c>
      <c r="D329" s="86" t="str">
        <f t="shared" si="10"/>
        <v>#REF!</v>
      </c>
      <c r="E329" s="86" t="str">
        <f t="shared" si="11"/>
        <v>#REF!</v>
      </c>
      <c r="F329" s="86" t="str">
        <f t="shared" si="12"/>
        <v>#REF!</v>
      </c>
      <c r="G329" s="86" t="str">
        <f t="shared" si="13"/>
        <v>#REF!</v>
      </c>
      <c r="H329" s="86" t="str">
        <f t="shared" si="14"/>
        <v>#REF!</v>
      </c>
      <c r="I329" s="86" t="str">
        <f t="shared" si="15"/>
        <v>#REF!</v>
      </c>
    </row>
    <row r="330">
      <c r="B330" s="86" t="str">
        <f t="shared" si="1"/>
        <v>#REF!</v>
      </c>
      <c r="C330" s="86" t="str">
        <f t="shared" si="9"/>
        <v>#REF!</v>
      </c>
      <c r="D330" s="86" t="str">
        <f t="shared" si="10"/>
        <v>#REF!</v>
      </c>
      <c r="E330" s="86" t="str">
        <f t="shared" si="11"/>
        <v>#REF!</v>
      </c>
      <c r="F330" s="86" t="str">
        <f t="shared" si="12"/>
        <v>#REF!</v>
      </c>
      <c r="G330" s="86" t="str">
        <f t="shared" si="13"/>
        <v>#REF!</v>
      </c>
      <c r="H330" s="86" t="str">
        <f t="shared" si="14"/>
        <v>#REF!</v>
      </c>
      <c r="I330" s="86" t="str">
        <f t="shared" si="15"/>
        <v>#REF!</v>
      </c>
    </row>
    <row r="331">
      <c r="B331" s="86" t="str">
        <f t="shared" si="1"/>
        <v>#REF!</v>
      </c>
      <c r="C331" s="86" t="str">
        <f t="shared" si="9"/>
        <v>#REF!</v>
      </c>
      <c r="D331" s="86" t="str">
        <f t="shared" si="10"/>
        <v>#REF!</v>
      </c>
      <c r="E331" s="86" t="str">
        <f t="shared" si="11"/>
        <v>#REF!</v>
      </c>
      <c r="F331" s="86" t="str">
        <f t="shared" si="12"/>
        <v>#REF!</v>
      </c>
      <c r="G331" s="86" t="str">
        <f t="shared" si="13"/>
        <v>#REF!</v>
      </c>
      <c r="H331" s="86" t="str">
        <f t="shared" si="14"/>
        <v>#REF!</v>
      </c>
      <c r="I331" s="86" t="str">
        <f t="shared" si="15"/>
        <v>#REF!</v>
      </c>
    </row>
    <row r="332">
      <c r="B332" s="86" t="str">
        <f t="shared" si="1"/>
        <v>#REF!</v>
      </c>
      <c r="C332" s="86" t="str">
        <f t="shared" si="9"/>
        <v>#REF!</v>
      </c>
      <c r="D332" s="86" t="str">
        <f t="shared" si="10"/>
        <v>#REF!</v>
      </c>
      <c r="E332" s="86" t="str">
        <f t="shared" si="11"/>
        <v>#REF!</v>
      </c>
      <c r="F332" s="86" t="str">
        <f t="shared" si="12"/>
        <v>#REF!</v>
      </c>
      <c r="G332" s="86" t="str">
        <f t="shared" si="13"/>
        <v>#REF!</v>
      </c>
      <c r="H332" s="86" t="str">
        <f t="shared" si="14"/>
        <v>#REF!</v>
      </c>
      <c r="I332" s="86" t="str">
        <f t="shared" si="15"/>
        <v>#REF!</v>
      </c>
    </row>
    <row r="333">
      <c r="B333" s="86" t="str">
        <f t="shared" si="1"/>
        <v>#REF!</v>
      </c>
      <c r="C333" s="86" t="str">
        <f t="shared" si="9"/>
        <v>#REF!</v>
      </c>
      <c r="D333" s="86" t="str">
        <f t="shared" si="10"/>
        <v>#REF!</v>
      </c>
      <c r="E333" s="86" t="str">
        <f t="shared" si="11"/>
        <v>#REF!</v>
      </c>
      <c r="F333" s="86" t="str">
        <f t="shared" si="12"/>
        <v>#REF!</v>
      </c>
      <c r="G333" s="86" t="str">
        <f t="shared" si="13"/>
        <v>#REF!</v>
      </c>
      <c r="H333" s="86" t="str">
        <f t="shared" si="14"/>
        <v>#REF!</v>
      </c>
      <c r="I333" s="86" t="str">
        <f t="shared" si="15"/>
        <v>#REF!</v>
      </c>
    </row>
    <row r="334">
      <c r="B334" s="86" t="str">
        <f t="shared" si="1"/>
        <v>#REF!</v>
      </c>
      <c r="C334" s="86" t="str">
        <f t="shared" si="9"/>
        <v>#REF!</v>
      </c>
      <c r="D334" s="86" t="str">
        <f t="shared" si="10"/>
        <v>#REF!</v>
      </c>
      <c r="E334" s="86" t="str">
        <f t="shared" si="11"/>
        <v>#REF!</v>
      </c>
      <c r="F334" s="86" t="str">
        <f t="shared" si="12"/>
        <v>#REF!</v>
      </c>
      <c r="G334" s="86" t="str">
        <f t="shared" si="13"/>
        <v>#REF!</v>
      </c>
      <c r="H334" s="86" t="str">
        <f t="shared" si="14"/>
        <v>#REF!</v>
      </c>
      <c r="I334" s="86" t="str">
        <f t="shared" si="15"/>
        <v>#REF!</v>
      </c>
    </row>
    <row r="335">
      <c r="B335" s="86" t="str">
        <f t="shared" si="1"/>
        <v>#REF!</v>
      </c>
      <c r="C335" s="86" t="str">
        <f t="shared" si="9"/>
        <v>#REF!</v>
      </c>
      <c r="D335" s="86" t="str">
        <f t="shared" si="10"/>
        <v>#REF!</v>
      </c>
      <c r="E335" s="86" t="str">
        <f t="shared" si="11"/>
        <v>#REF!</v>
      </c>
      <c r="F335" s="86" t="str">
        <f t="shared" si="12"/>
        <v>#REF!</v>
      </c>
      <c r="G335" s="86" t="str">
        <f t="shared" si="13"/>
        <v>#REF!</v>
      </c>
      <c r="H335" s="86" t="str">
        <f t="shared" si="14"/>
        <v>#REF!</v>
      </c>
      <c r="I335" s="86" t="str">
        <f t="shared" si="15"/>
        <v>#REF!</v>
      </c>
    </row>
    <row r="336">
      <c r="B336" s="86" t="str">
        <f t="shared" si="1"/>
        <v>#REF!</v>
      </c>
      <c r="C336" s="86" t="str">
        <f t="shared" si="9"/>
        <v>#REF!</v>
      </c>
      <c r="D336" s="86" t="str">
        <f t="shared" si="10"/>
        <v>#REF!</v>
      </c>
      <c r="E336" s="86" t="str">
        <f t="shared" si="11"/>
        <v>#REF!</v>
      </c>
      <c r="F336" s="86" t="str">
        <f t="shared" si="12"/>
        <v>#REF!</v>
      </c>
      <c r="G336" s="86" t="str">
        <f t="shared" si="13"/>
        <v>#REF!</v>
      </c>
      <c r="H336" s="86" t="str">
        <f t="shared" si="14"/>
        <v>#REF!</v>
      </c>
      <c r="I336" s="86" t="str">
        <f t="shared" si="15"/>
        <v>#REF!</v>
      </c>
    </row>
    <row r="337">
      <c r="B337" s="86" t="str">
        <f t="shared" si="1"/>
        <v>#REF!</v>
      </c>
      <c r="C337" s="86" t="str">
        <f t="shared" si="9"/>
        <v>#REF!</v>
      </c>
      <c r="D337" s="86" t="str">
        <f t="shared" si="10"/>
        <v>#REF!</v>
      </c>
      <c r="E337" s="86" t="str">
        <f t="shared" si="11"/>
        <v>#REF!</v>
      </c>
      <c r="F337" s="86" t="str">
        <f t="shared" si="12"/>
        <v>#REF!</v>
      </c>
      <c r="G337" s="86" t="str">
        <f t="shared" si="13"/>
        <v>#REF!</v>
      </c>
      <c r="H337" s="86" t="str">
        <f t="shared" si="14"/>
        <v>#REF!</v>
      </c>
      <c r="I337" s="86" t="str">
        <f t="shared" si="15"/>
        <v>#REF!</v>
      </c>
    </row>
    <row r="338">
      <c r="B338" s="86" t="str">
        <f t="shared" si="1"/>
        <v>#REF!</v>
      </c>
      <c r="C338" s="86" t="str">
        <f t="shared" si="9"/>
        <v>#REF!</v>
      </c>
      <c r="D338" s="86" t="str">
        <f t="shared" si="10"/>
        <v>#REF!</v>
      </c>
      <c r="E338" s="86" t="str">
        <f t="shared" si="11"/>
        <v>#REF!</v>
      </c>
      <c r="F338" s="86" t="str">
        <f t="shared" si="12"/>
        <v>#REF!</v>
      </c>
      <c r="G338" s="86" t="str">
        <f t="shared" si="13"/>
        <v>#REF!</v>
      </c>
      <c r="H338" s="86" t="str">
        <f t="shared" si="14"/>
        <v>#REF!</v>
      </c>
      <c r="I338" s="86" t="str">
        <f t="shared" si="15"/>
        <v>#REF!</v>
      </c>
    </row>
    <row r="339">
      <c r="B339" s="86" t="str">
        <f t="shared" si="1"/>
        <v>#REF!</v>
      </c>
      <c r="C339" s="86" t="str">
        <f t="shared" si="9"/>
        <v>#REF!</v>
      </c>
      <c r="D339" s="86" t="str">
        <f t="shared" si="10"/>
        <v>#REF!</v>
      </c>
      <c r="E339" s="86" t="str">
        <f t="shared" si="11"/>
        <v>#REF!</v>
      </c>
      <c r="F339" s="86" t="str">
        <f t="shared" si="12"/>
        <v>#REF!</v>
      </c>
      <c r="G339" s="86" t="str">
        <f t="shared" si="13"/>
        <v>#REF!</v>
      </c>
      <c r="H339" s="86" t="str">
        <f t="shared" si="14"/>
        <v>#REF!</v>
      </c>
      <c r="I339" s="86" t="str">
        <f t="shared" si="15"/>
        <v>#REF!</v>
      </c>
    </row>
    <row r="340">
      <c r="B340" s="86" t="str">
        <f t="shared" si="1"/>
        <v>#REF!</v>
      </c>
      <c r="C340" s="86" t="str">
        <f t="shared" si="9"/>
        <v>#REF!</v>
      </c>
      <c r="D340" s="86" t="str">
        <f t="shared" si="10"/>
        <v>#REF!</v>
      </c>
      <c r="E340" s="86" t="str">
        <f t="shared" si="11"/>
        <v>#REF!</v>
      </c>
      <c r="F340" s="86" t="str">
        <f t="shared" si="12"/>
        <v>#REF!</v>
      </c>
      <c r="G340" s="86" t="str">
        <f t="shared" si="13"/>
        <v>#REF!</v>
      </c>
      <c r="H340" s="86" t="str">
        <f t="shared" si="14"/>
        <v>#REF!</v>
      </c>
      <c r="I340" s="86" t="str">
        <f t="shared" si="15"/>
        <v>#REF!</v>
      </c>
    </row>
    <row r="341">
      <c r="B341" s="86" t="str">
        <f t="shared" si="1"/>
        <v>#REF!</v>
      </c>
      <c r="C341" s="86" t="str">
        <f t="shared" si="9"/>
        <v>#REF!</v>
      </c>
      <c r="D341" s="86" t="str">
        <f t="shared" si="10"/>
        <v>#REF!</v>
      </c>
      <c r="E341" s="86" t="str">
        <f t="shared" si="11"/>
        <v>#REF!</v>
      </c>
      <c r="F341" s="86" t="str">
        <f t="shared" si="12"/>
        <v>#REF!</v>
      </c>
      <c r="G341" s="86" t="str">
        <f t="shared" si="13"/>
        <v>#REF!</v>
      </c>
      <c r="H341" s="86" t="str">
        <f t="shared" si="14"/>
        <v>#REF!</v>
      </c>
      <c r="I341" s="86" t="str">
        <f t="shared" si="15"/>
        <v>#REF!</v>
      </c>
    </row>
    <row r="342">
      <c r="B342" s="86" t="str">
        <f t="shared" si="1"/>
        <v>#REF!</v>
      </c>
      <c r="C342" s="86" t="str">
        <f t="shared" si="9"/>
        <v>#REF!</v>
      </c>
      <c r="D342" s="86" t="str">
        <f t="shared" si="10"/>
        <v>#REF!</v>
      </c>
      <c r="E342" s="86" t="str">
        <f t="shared" si="11"/>
        <v>#REF!</v>
      </c>
      <c r="F342" s="86" t="str">
        <f t="shared" si="12"/>
        <v>#REF!</v>
      </c>
      <c r="G342" s="86" t="str">
        <f t="shared" si="13"/>
        <v>#REF!</v>
      </c>
      <c r="H342" s="86" t="str">
        <f t="shared" si="14"/>
        <v>#REF!</v>
      </c>
      <c r="I342" s="86" t="str">
        <f t="shared" si="15"/>
        <v>#REF!</v>
      </c>
    </row>
    <row r="343">
      <c r="B343" s="86" t="str">
        <f t="shared" si="1"/>
        <v>#REF!</v>
      </c>
      <c r="C343" s="86" t="str">
        <f t="shared" si="9"/>
        <v>#REF!</v>
      </c>
      <c r="D343" s="86" t="str">
        <f t="shared" si="10"/>
        <v>#REF!</v>
      </c>
      <c r="E343" s="86" t="str">
        <f t="shared" si="11"/>
        <v>#REF!</v>
      </c>
      <c r="F343" s="86" t="str">
        <f t="shared" si="12"/>
        <v>#REF!</v>
      </c>
      <c r="G343" s="86" t="str">
        <f t="shared" si="13"/>
        <v>#REF!</v>
      </c>
      <c r="H343" s="86" t="str">
        <f t="shared" si="14"/>
        <v>#REF!</v>
      </c>
      <c r="I343" s="86" t="str">
        <f t="shared" si="15"/>
        <v>#REF!</v>
      </c>
    </row>
    <row r="344">
      <c r="B344" s="86" t="str">
        <f t="shared" si="1"/>
        <v>#REF!</v>
      </c>
      <c r="C344" s="86" t="str">
        <f t="shared" si="9"/>
        <v>#REF!</v>
      </c>
      <c r="D344" s="86" t="str">
        <f t="shared" si="10"/>
        <v>#REF!</v>
      </c>
      <c r="E344" s="86" t="str">
        <f t="shared" si="11"/>
        <v>#REF!</v>
      </c>
      <c r="F344" s="86" t="str">
        <f t="shared" si="12"/>
        <v>#REF!</v>
      </c>
      <c r="G344" s="86" t="str">
        <f t="shared" si="13"/>
        <v>#REF!</v>
      </c>
      <c r="H344" s="86" t="str">
        <f t="shared" si="14"/>
        <v>#REF!</v>
      </c>
      <c r="I344" s="86" t="str">
        <f t="shared" si="15"/>
        <v>#REF!</v>
      </c>
    </row>
    <row r="345">
      <c r="B345" s="86" t="str">
        <f t="shared" si="1"/>
        <v>#REF!</v>
      </c>
      <c r="C345" s="86" t="str">
        <f t="shared" si="9"/>
        <v>#REF!</v>
      </c>
      <c r="D345" s="86" t="str">
        <f t="shared" si="10"/>
        <v>#REF!</v>
      </c>
      <c r="E345" s="86" t="str">
        <f t="shared" si="11"/>
        <v>#REF!</v>
      </c>
      <c r="F345" s="86" t="str">
        <f t="shared" si="12"/>
        <v>#REF!</v>
      </c>
      <c r="G345" s="86" t="str">
        <f t="shared" si="13"/>
        <v>#REF!</v>
      </c>
      <c r="H345" s="86" t="str">
        <f t="shared" si="14"/>
        <v>#REF!</v>
      </c>
      <c r="I345" s="86" t="str">
        <f t="shared" si="15"/>
        <v>#REF!</v>
      </c>
    </row>
    <row r="346">
      <c r="B346" s="86" t="str">
        <f t="shared" si="1"/>
        <v>#REF!</v>
      </c>
      <c r="C346" s="86" t="str">
        <f t="shared" si="9"/>
        <v>#REF!</v>
      </c>
      <c r="D346" s="86" t="str">
        <f t="shared" si="10"/>
        <v>#REF!</v>
      </c>
      <c r="E346" s="86" t="str">
        <f t="shared" si="11"/>
        <v>#REF!</v>
      </c>
      <c r="F346" s="86" t="str">
        <f t="shared" si="12"/>
        <v>#REF!</v>
      </c>
      <c r="G346" s="86" t="str">
        <f t="shared" si="13"/>
        <v>#REF!</v>
      </c>
      <c r="H346" s="86" t="str">
        <f t="shared" si="14"/>
        <v>#REF!</v>
      </c>
      <c r="I346" s="86" t="str">
        <f t="shared" si="15"/>
        <v>#REF!</v>
      </c>
    </row>
    <row r="347">
      <c r="B347" s="86" t="str">
        <f t="shared" si="1"/>
        <v>#REF!</v>
      </c>
      <c r="C347" s="86" t="str">
        <f t="shared" si="9"/>
        <v>#REF!</v>
      </c>
      <c r="D347" s="86" t="str">
        <f t="shared" si="10"/>
        <v>#REF!</v>
      </c>
      <c r="E347" s="86" t="str">
        <f t="shared" si="11"/>
        <v>#REF!</v>
      </c>
      <c r="F347" s="86" t="str">
        <f t="shared" si="12"/>
        <v>#REF!</v>
      </c>
      <c r="G347" s="86" t="str">
        <f t="shared" si="13"/>
        <v>#REF!</v>
      </c>
      <c r="H347" s="86" t="str">
        <f t="shared" si="14"/>
        <v>#REF!</v>
      </c>
      <c r="I347" s="86" t="str">
        <f t="shared" si="15"/>
        <v>#REF!</v>
      </c>
    </row>
    <row r="348">
      <c r="B348" s="86" t="str">
        <f t="shared" si="1"/>
        <v>#REF!</v>
      </c>
      <c r="C348" s="86" t="str">
        <f t="shared" si="9"/>
        <v>#REF!</v>
      </c>
      <c r="D348" s="86" t="str">
        <f t="shared" si="10"/>
        <v>#REF!</v>
      </c>
      <c r="E348" s="86" t="str">
        <f t="shared" si="11"/>
        <v>#REF!</v>
      </c>
      <c r="F348" s="86" t="str">
        <f t="shared" si="12"/>
        <v>#REF!</v>
      </c>
      <c r="G348" s="86" t="str">
        <f t="shared" si="13"/>
        <v>#REF!</v>
      </c>
      <c r="H348" s="86" t="str">
        <f t="shared" si="14"/>
        <v>#REF!</v>
      </c>
      <c r="I348" s="86" t="str">
        <f t="shared" si="15"/>
        <v>#REF!</v>
      </c>
    </row>
    <row r="349">
      <c r="B349" s="86" t="str">
        <f t="shared" si="1"/>
        <v>#REF!</v>
      </c>
      <c r="C349" s="86" t="str">
        <f t="shared" si="9"/>
        <v>#REF!</v>
      </c>
      <c r="D349" s="86" t="str">
        <f t="shared" si="10"/>
        <v>#REF!</v>
      </c>
      <c r="E349" s="86" t="str">
        <f t="shared" si="11"/>
        <v>#REF!</v>
      </c>
      <c r="F349" s="86" t="str">
        <f t="shared" si="12"/>
        <v>#REF!</v>
      </c>
      <c r="G349" s="86" t="str">
        <f t="shared" si="13"/>
        <v>#REF!</v>
      </c>
      <c r="H349" s="86" t="str">
        <f t="shared" si="14"/>
        <v>#REF!</v>
      </c>
      <c r="I349" s="86" t="str">
        <f t="shared" si="15"/>
        <v>#REF!</v>
      </c>
    </row>
    <row r="350">
      <c r="B350" s="86" t="str">
        <f t="shared" si="1"/>
        <v>#REF!</v>
      </c>
      <c r="C350" s="86" t="str">
        <f t="shared" si="9"/>
        <v>#REF!</v>
      </c>
      <c r="D350" s="86" t="str">
        <f t="shared" si="10"/>
        <v>#REF!</v>
      </c>
      <c r="E350" s="86" t="str">
        <f t="shared" si="11"/>
        <v>#REF!</v>
      </c>
      <c r="F350" s="86" t="str">
        <f t="shared" si="12"/>
        <v>#REF!</v>
      </c>
      <c r="G350" s="86" t="str">
        <f t="shared" si="13"/>
        <v>#REF!</v>
      </c>
      <c r="H350" s="86" t="str">
        <f t="shared" si="14"/>
        <v>#REF!</v>
      </c>
      <c r="I350" s="86" t="str">
        <f t="shared" si="15"/>
        <v>#REF!</v>
      </c>
    </row>
    <row r="351">
      <c r="B351" s="86" t="str">
        <f t="shared" si="1"/>
        <v>#REF!</v>
      </c>
      <c r="C351" s="86" t="str">
        <f t="shared" si="9"/>
        <v>#REF!</v>
      </c>
      <c r="D351" s="86" t="str">
        <f t="shared" si="10"/>
        <v>#REF!</v>
      </c>
      <c r="E351" s="86" t="str">
        <f t="shared" si="11"/>
        <v>#REF!</v>
      </c>
      <c r="F351" s="86" t="str">
        <f t="shared" si="12"/>
        <v>#REF!</v>
      </c>
      <c r="G351" s="86" t="str">
        <f t="shared" si="13"/>
        <v>#REF!</v>
      </c>
      <c r="H351" s="86" t="str">
        <f t="shared" si="14"/>
        <v>#REF!</v>
      </c>
      <c r="I351" s="86" t="str">
        <f t="shared" si="15"/>
        <v>#REF!</v>
      </c>
    </row>
    <row r="352">
      <c r="B352" s="86" t="str">
        <f t="shared" si="1"/>
        <v>#REF!</v>
      </c>
      <c r="C352" s="86" t="str">
        <f t="shared" si="9"/>
        <v>#REF!</v>
      </c>
      <c r="D352" s="86" t="str">
        <f t="shared" si="10"/>
        <v>#REF!</v>
      </c>
      <c r="E352" s="86" t="str">
        <f t="shared" si="11"/>
        <v>#REF!</v>
      </c>
      <c r="F352" s="86" t="str">
        <f t="shared" si="12"/>
        <v>#REF!</v>
      </c>
      <c r="G352" s="86" t="str">
        <f t="shared" si="13"/>
        <v>#REF!</v>
      </c>
      <c r="H352" s="86" t="str">
        <f t="shared" si="14"/>
        <v>#REF!</v>
      </c>
      <c r="I352" s="86" t="str">
        <f t="shared" si="15"/>
        <v>#REF!</v>
      </c>
    </row>
    <row r="353">
      <c r="B353" s="86" t="str">
        <f t="shared" si="1"/>
        <v>#REF!</v>
      </c>
      <c r="C353" s="86" t="str">
        <f t="shared" si="9"/>
        <v>#REF!</v>
      </c>
      <c r="D353" s="86" t="str">
        <f t="shared" si="10"/>
        <v>#REF!</v>
      </c>
      <c r="E353" s="86" t="str">
        <f t="shared" si="11"/>
        <v>#REF!</v>
      </c>
      <c r="F353" s="86" t="str">
        <f t="shared" si="12"/>
        <v>#REF!</v>
      </c>
      <c r="G353" s="86" t="str">
        <f t="shared" si="13"/>
        <v>#REF!</v>
      </c>
      <c r="H353" s="86" t="str">
        <f t="shared" si="14"/>
        <v>#REF!</v>
      </c>
      <c r="I353" s="86" t="str">
        <f t="shared" si="15"/>
        <v>#REF!</v>
      </c>
    </row>
    <row r="354">
      <c r="B354" s="86" t="str">
        <f t="shared" si="1"/>
        <v>#REF!</v>
      </c>
      <c r="C354" s="86" t="str">
        <f t="shared" si="9"/>
        <v>#REF!</v>
      </c>
      <c r="D354" s="86" t="str">
        <f t="shared" si="10"/>
        <v>#REF!</v>
      </c>
      <c r="E354" s="86" t="str">
        <f t="shared" si="11"/>
        <v>#REF!</v>
      </c>
      <c r="F354" s="86" t="str">
        <f t="shared" si="12"/>
        <v>#REF!</v>
      </c>
      <c r="G354" s="86" t="str">
        <f t="shared" si="13"/>
        <v>#REF!</v>
      </c>
      <c r="H354" s="86" t="str">
        <f t="shared" si="14"/>
        <v>#REF!</v>
      </c>
      <c r="I354" s="86" t="str">
        <f t="shared" si="15"/>
        <v>#REF!</v>
      </c>
    </row>
    <row r="355">
      <c r="B355" s="86" t="str">
        <f t="shared" si="1"/>
        <v>#REF!</v>
      </c>
      <c r="C355" s="86" t="str">
        <f t="shared" si="9"/>
        <v>#REF!</v>
      </c>
      <c r="D355" s="86" t="str">
        <f t="shared" si="10"/>
        <v>#REF!</v>
      </c>
      <c r="E355" s="86" t="str">
        <f t="shared" si="11"/>
        <v>#REF!</v>
      </c>
      <c r="F355" s="86" t="str">
        <f t="shared" si="12"/>
        <v>#REF!</v>
      </c>
      <c r="G355" s="86" t="str">
        <f t="shared" si="13"/>
        <v>#REF!</v>
      </c>
      <c r="H355" s="86" t="str">
        <f t="shared" si="14"/>
        <v>#REF!</v>
      </c>
      <c r="I355" s="86" t="str">
        <f t="shared" si="15"/>
        <v>#REF!</v>
      </c>
    </row>
    <row r="356">
      <c r="B356" s="86" t="str">
        <f t="shared" si="1"/>
        <v>#REF!</v>
      </c>
      <c r="C356" s="86" t="str">
        <f t="shared" si="9"/>
        <v>#REF!</v>
      </c>
      <c r="D356" s="86" t="str">
        <f t="shared" si="10"/>
        <v>#REF!</v>
      </c>
      <c r="E356" s="86" t="str">
        <f t="shared" si="11"/>
        <v>#REF!</v>
      </c>
      <c r="F356" s="86" t="str">
        <f t="shared" si="12"/>
        <v>#REF!</v>
      </c>
      <c r="G356" s="86" t="str">
        <f t="shared" si="13"/>
        <v>#REF!</v>
      </c>
      <c r="H356" s="86" t="str">
        <f t="shared" si="14"/>
        <v>#REF!</v>
      </c>
      <c r="I356" s="86" t="str">
        <f t="shared" si="15"/>
        <v>#REF!</v>
      </c>
    </row>
    <row r="357">
      <c r="B357" s="86" t="str">
        <f t="shared" si="1"/>
        <v>#REF!</v>
      </c>
      <c r="C357" s="86" t="str">
        <f t="shared" si="9"/>
        <v>#REF!</v>
      </c>
      <c r="D357" s="86" t="str">
        <f t="shared" si="10"/>
        <v>#REF!</v>
      </c>
      <c r="E357" s="86" t="str">
        <f t="shared" si="11"/>
        <v>#REF!</v>
      </c>
      <c r="F357" s="86" t="str">
        <f t="shared" si="12"/>
        <v>#REF!</v>
      </c>
      <c r="G357" s="86" t="str">
        <f t="shared" si="13"/>
        <v>#REF!</v>
      </c>
      <c r="H357" s="86" t="str">
        <f t="shared" si="14"/>
        <v>#REF!</v>
      </c>
      <c r="I357" s="86" t="str">
        <f t="shared" si="15"/>
        <v>#REF!</v>
      </c>
    </row>
    <row r="358">
      <c r="B358" s="86" t="str">
        <f t="shared" si="1"/>
        <v>#REF!</v>
      </c>
      <c r="C358" s="86" t="str">
        <f t="shared" si="9"/>
        <v>#REF!</v>
      </c>
      <c r="D358" s="86" t="str">
        <f t="shared" si="10"/>
        <v>#REF!</v>
      </c>
      <c r="E358" s="86" t="str">
        <f t="shared" si="11"/>
        <v>#REF!</v>
      </c>
      <c r="F358" s="86" t="str">
        <f t="shared" si="12"/>
        <v>#REF!</v>
      </c>
      <c r="G358" s="86" t="str">
        <f t="shared" si="13"/>
        <v>#REF!</v>
      </c>
      <c r="H358" s="86" t="str">
        <f t="shared" si="14"/>
        <v>#REF!</v>
      </c>
      <c r="I358" s="86" t="str">
        <f t="shared" si="15"/>
        <v>#REF!</v>
      </c>
    </row>
    <row r="359">
      <c r="B359" s="86" t="str">
        <f t="shared" si="1"/>
        <v>#REF!</v>
      </c>
      <c r="C359" s="86" t="str">
        <f t="shared" si="9"/>
        <v>#REF!</v>
      </c>
      <c r="D359" s="86" t="str">
        <f t="shared" si="10"/>
        <v>#REF!</v>
      </c>
      <c r="E359" s="86" t="str">
        <f t="shared" si="11"/>
        <v>#REF!</v>
      </c>
      <c r="F359" s="86" t="str">
        <f t="shared" si="12"/>
        <v>#REF!</v>
      </c>
      <c r="G359" s="86" t="str">
        <f t="shared" si="13"/>
        <v>#REF!</v>
      </c>
      <c r="H359" s="86" t="str">
        <f t="shared" si="14"/>
        <v>#REF!</v>
      </c>
      <c r="I359" s="86" t="str">
        <f t="shared" si="15"/>
        <v>#REF!</v>
      </c>
    </row>
    <row r="360">
      <c r="B360" s="86" t="str">
        <f t="shared" si="1"/>
        <v>#REF!</v>
      </c>
      <c r="C360" s="86" t="str">
        <f t="shared" si="9"/>
        <v>#REF!</v>
      </c>
      <c r="D360" s="86" t="str">
        <f t="shared" si="10"/>
        <v>#REF!</v>
      </c>
      <c r="E360" s="86" t="str">
        <f t="shared" si="11"/>
        <v>#REF!</v>
      </c>
      <c r="F360" s="86" t="str">
        <f t="shared" si="12"/>
        <v>#REF!</v>
      </c>
      <c r="G360" s="86" t="str">
        <f t="shared" si="13"/>
        <v>#REF!</v>
      </c>
      <c r="H360" s="86" t="str">
        <f t="shared" si="14"/>
        <v>#REF!</v>
      </c>
      <c r="I360" s="86" t="str">
        <f t="shared" si="15"/>
        <v>#REF!</v>
      </c>
    </row>
    <row r="361">
      <c r="B361" s="86" t="str">
        <f t="shared" si="1"/>
        <v>#REF!</v>
      </c>
      <c r="C361" s="86" t="str">
        <f t="shared" si="9"/>
        <v>#REF!</v>
      </c>
      <c r="D361" s="86" t="str">
        <f t="shared" si="10"/>
        <v>#REF!</v>
      </c>
      <c r="E361" s="86" t="str">
        <f t="shared" si="11"/>
        <v>#REF!</v>
      </c>
      <c r="F361" s="86" t="str">
        <f t="shared" si="12"/>
        <v>#REF!</v>
      </c>
      <c r="G361" s="86" t="str">
        <f t="shared" si="13"/>
        <v>#REF!</v>
      </c>
      <c r="H361" s="86" t="str">
        <f t="shared" si="14"/>
        <v>#REF!</v>
      </c>
      <c r="I361" s="86" t="str">
        <f t="shared" si="15"/>
        <v>#REF!</v>
      </c>
    </row>
    <row r="362">
      <c r="B362" s="86" t="str">
        <f t="shared" si="1"/>
        <v>#REF!</v>
      </c>
      <c r="C362" s="86" t="str">
        <f t="shared" si="9"/>
        <v>#REF!</v>
      </c>
      <c r="D362" s="86" t="str">
        <f t="shared" si="10"/>
        <v>#REF!</v>
      </c>
      <c r="E362" s="86" t="str">
        <f t="shared" si="11"/>
        <v>#REF!</v>
      </c>
      <c r="F362" s="86" t="str">
        <f t="shared" si="12"/>
        <v>#REF!</v>
      </c>
      <c r="G362" s="86" t="str">
        <f t="shared" si="13"/>
        <v>#REF!</v>
      </c>
      <c r="H362" s="86" t="str">
        <f t="shared" si="14"/>
        <v>#REF!</v>
      </c>
      <c r="I362" s="86" t="str">
        <f t="shared" si="15"/>
        <v>#REF!</v>
      </c>
    </row>
    <row r="363">
      <c r="B363" s="86" t="str">
        <f t="shared" si="1"/>
        <v>#REF!</v>
      </c>
      <c r="C363" s="86" t="str">
        <f t="shared" si="9"/>
        <v>#REF!</v>
      </c>
      <c r="D363" s="86" t="str">
        <f t="shared" si="10"/>
        <v>#REF!</v>
      </c>
      <c r="E363" s="86" t="str">
        <f t="shared" si="11"/>
        <v>#REF!</v>
      </c>
      <c r="F363" s="86" t="str">
        <f t="shared" si="12"/>
        <v>#REF!</v>
      </c>
      <c r="G363" s="86" t="str">
        <f t="shared" si="13"/>
        <v>#REF!</v>
      </c>
      <c r="H363" s="86" t="str">
        <f t="shared" si="14"/>
        <v>#REF!</v>
      </c>
      <c r="I363" s="86" t="str">
        <f t="shared" si="15"/>
        <v>#REF!</v>
      </c>
    </row>
    <row r="364">
      <c r="B364" s="86" t="str">
        <f t="shared" si="1"/>
        <v>#REF!</v>
      </c>
      <c r="C364" s="86" t="str">
        <f t="shared" si="9"/>
        <v>#REF!</v>
      </c>
      <c r="D364" s="86" t="str">
        <f t="shared" si="10"/>
        <v>#REF!</v>
      </c>
      <c r="E364" s="86" t="str">
        <f t="shared" si="11"/>
        <v>#REF!</v>
      </c>
      <c r="F364" s="86" t="str">
        <f t="shared" si="12"/>
        <v>#REF!</v>
      </c>
      <c r="G364" s="86" t="str">
        <f t="shared" si="13"/>
        <v>#REF!</v>
      </c>
      <c r="H364" s="86" t="str">
        <f t="shared" si="14"/>
        <v>#REF!</v>
      </c>
      <c r="I364" s="86" t="str">
        <f t="shared" si="15"/>
        <v>#REF!</v>
      </c>
    </row>
    <row r="365">
      <c r="B365" s="86" t="str">
        <f t="shared" si="1"/>
        <v>#REF!</v>
      </c>
      <c r="C365" s="86" t="str">
        <f t="shared" si="9"/>
        <v>#REF!</v>
      </c>
      <c r="D365" s="86" t="str">
        <f t="shared" si="10"/>
        <v>#REF!</v>
      </c>
      <c r="E365" s="86" t="str">
        <f t="shared" si="11"/>
        <v>#REF!</v>
      </c>
      <c r="F365" s="86" t="str">
        <f t="shared" si="12"/>
        <v>#REF!</v>
      </c>
      <c r="G365" s="86" t="str">
        <f t="shared" si="13"/>
        <v>#REF!</v>
      </c>
      <c r="H365" s="86" t="str">
        <f t="shared" si="14"/>
        <v>#REF!</v>
      </c>
      <c r="I365" s="86" t="str">
        <f t="shared" si="15"/>
        <v>#REF!</v>
      </c>
    </row>
    <row r="366">
      <c r="B366" s="86" t="str">
        <f t="shared" si="1"/>
        <v>#REF!</v>
      </c>
      <c r="C366" s="86" t="str">
        <f t="shared" si="9"/>
        <v>#REF!</v>
      </c>
      <c r="D366" s="86" t="str">
        <f t="shared" si="10"/>
        <v>#REF!</v>
      </c>
      <c r="E366" s="86" t="str">
        <f t="shared" si="11"/>
        <v>#REF!</v>
      </c>
      <c r="F366" s="86" t="str">
        <f t="shared" si="12"/>
        <v>#REF!</v>
      </c>
      <c r="G366" s="86" t="str">
        <f t="shared" si="13"/>
        <v>#REF!</v>
      </c>
      <c r="H366" s="86" t="str">
        <f t="shared" si="14"/>
        <v>#REF!</v>
      </c>
      <c r="I366" s="86" t="str">
        <f t="shared" si="15"/>
        <v>#REF!</v>
      </c>
    </row>
    <row r="367">
      <c r="B367" s="86" t="str">
        <f t="shared" si="1"/>
        <v>#REF!</v>
      </c>
      <c r="C367" s="86" t="str">
        <f t="shared" si="9"/>
        <v>#REF!</v>
      </c>
      <c r="D367" s="86" t="str">
        <f t="shared" si="10"/>
        <v>#REF!</v>
      </c>
      <c r="E367" s="86" t="str">
        <f t="shared" si="11"/>
        <v>#REF!</v>
      </c>
      <c r="F367" s="86" t="str">
        <f t="shared" si="12"/>
        <v>#REF!</v>
      </c>
      <c r="G367" s="86" t="str">
        <f t="shared" si="13"/>
        <v>#REF!</v>
      </c>
      <c r="H367" s="86" t="str">
        <f t="shared" si="14"/>
        <v>#REF!</v>
      </c>
      <c r="I367" s="86" t="str">
        <f t="shared" si="15"/>
        <v>#REF!</v>
      </c>
    </row>
    <row r="368">
      <c r="B368" s="86" t="str">
        <f t="shared" si="1"/>
        <v>#REF!</v>
      </c>
      <c r="C368" s="86" t="str">
        <f t="shared" si="9"/>
        <v>#REF!</v>
      </c>
      <c r="D368" s="86" t="str">
        <f t="shared" si="10"/>
        <v>#REF!</v>
      </c>
      <c r="E368" s="86" t="str">
        <f t="shared" si="11"/>
        <v>#REF!</v>
      </c>
      <c r="F368" s="86" t="str">
        <f t="shared" si="12"/>
        <v>#REF!</v>
      </c>
      <c r="G368" s="86" t="str">
        <f t="shared" si="13"/>
        <v>#REF!</v>
      </c>
      <c r="H368" s="86" t="str">
        <f t="shared" si="14"/>
        <v>#REF!</v>
      </c>
      <c r="I368" s="86" t="str">
        <f t="shared" si="15"/>
        <v>#REF!</v>
      </c>
    </row>
    <row r="369">
      <c r="B369" s="86" t="str">
        <f t="shared" si="1"/>
        <v>#REF!</v>
      </c>
      <c r="C369" s="86" t="str">
        <f t="shared" si="9"/>
        <v>#REF!</v>
      </c>
      <c r="D369" s="86" t="str">
        <f t="shared" si="10"/>
        <v>#REF!</v>
      </c>
      <c r="E369" s="86" t="str">
        <f t="shared" si="11"/>
        <v>#REF!</v>
      </c>
      <c r="F369" s="86" t="str">
        <f t="shared" si="12"/>
        <v>#REF!</v>
      </c>
      <c r="G369" s="86" t="str">
        <f t="shared" si="13"/>
        <v>#REF!</v>
      </c>
      <c r="H369" s="86" t="str">
        <f t="shared" si="14"/>
        <v>#REF!</v>
      </c>
      <c r="I369" s="86" t="str">
        <f t="shared" si="15"/>
        <v>#REF!</v>
      </c>
    </row>
    <row r="370">
      <c r="B370" s="86" t="str">
        <f t="shared" si="1"/>
        <v>#REF!</v>
      </c>
      <c r="C370" s="86" t="str">
        <f t="shared" si="9"/>
        <v>#REF!</v>
      </c>
      <c r="D370" s="86" t="str">
        <f t="shared" si="10"/>
        <v>#REF!</v>
      </c>
      <c r="E370" s="86" t="str">
        <f t="shared" si="11"/>
        <v>#REF!</v>
      </c>
      <c r="F370" s="86" t="str">
        <f t="shared" si="12"/>
        <v>#REF!</v>
      </c>
      <c r="G370" s="86" t="str">
        <f t="shared" si="13"/>
        <v>#REF!</v>
      </c>
      <c r="H370" s="86" t="str">
        <f t="shared" si="14"/>
        <v>#REF!</v>
      </c>
      <c r="I370" s="86" t="str">
        <f t="shared" si="15"/>
        <v>#REF!</v>
      </c>
    </row>
    <row r="371">
      <c r="B371" s="86" t="str">
        <f t="shared" si="1"/>
        <v>#REF!</v>
      </c>
      <c r="C371" s="86" t="str">
        <f t="shared" si="9"/>
        <v>#REF!</v>
      </c>
      <c r="D371" s="86" t="str">
        <f t="shared" si="10"/>
        <v>#REF!</v>
      </c>
      <c r="E371" s="86" t="str">
        <f t="shared" si="11"/>
        <v>#REF!</v>
      </c>
      <c r="F371" s="86" t="str">
        <f t="shared" si="12"/>
        <v>#REF!</v>
      </c>
      <c r="G371" s="86" t="str">
        <f t="shared" si="13"/>
        <v>#REF!</v>
      </c>
      <c r="H371" s="86" t="str">
        <f t="shared" si="14"/>
        <v>#REF!</v>
      </c>
      <c r="I371" s="86" t="str">
        <f t="shared" si="15"/>
        <v>#REF!</v>
      </c>
    </row>
    <row r="372">
      <c r="B372" s="86" t="str">
        <f t="shared" si="1"/>
        <v>#REF!</v>
      </c>
      <c r="C372" s="86" t="str">
        <f t="shared" si="9"/>
        <v>#REF!</v>
      </c>
      <c r="D372" s="86" t="str">
        <f t="shared" si="10"/>
        <v>#REF!</v>
      </c>
      <c r="E372" s="86" t="str">
        <f t="shared" si="11"/>
        <v>#REF!</v>
      </c>
      <c r="F372" s="86" t="str">
        <f t="shared" si="12"/>
        <v>#REF!</v>
      </c>
      <c r="G372" s="86" t="str">
        <f t="shared" si="13"/>
        <v>#REF!</v>
      </c>
      <c r="H372" s="86" t="str">
        <f t="shared" si="14"/>
        <v>#REF!</v>
      </c>
      <c r="I372" s="86" t="str">
        <f t="shared" si="15"/>
        <v>#REF!</v>
      </c>
    </row>
    <row r="373">
      <c r="B373" s="86" t="str">
        <f t="shared" si="1"/>
        <v>#REF!</v>
      </c>
      <c r="C373" s="86" t="str">
        <f t="shared" si="9"/>
        <v>#REF!</v>
      </c>
      <c r="D373" s="86" t="str">
        <f t="shared" si="10"/>
        <v>#REF!</v>
      </c>
      <c r="E373" s="86" t="str">
        <f t="shared" si="11"/>
        <v>#REF!</v>
      </c>
      <c r="F373" s="86" t="str">
        <f t="shared" si="12"/>
        <v>#REF!</v>
      </c>
      <c r="G373" s="86" t="str">
        <f t="shared" si="13"/>
        <v>#REF!</v>
      </c>
      <c r="H373" s="86" t="str">
        <f t="shared" si="14"/>
        <v>#REF!</v>
      </c>
      <c r="I373" s="86" t="str">
        <f t="shared" si="15"/>
        <v>#REF!</v>
      </c>
    </row>
    <row r="374">
      <c r="B374" s="86" t="str">
        <f t="shared" si="1"/>
        <v>#REF!</v>
      </c>
      <c r="C374" s="86" t="str">
        <f t="shared" si="9"/>
        <v>#REF!</v>
      </c>
      <c r="D374" s="86" t="str">
        <f t="shared" si="10"/>
        <v>#REF!</v>
      </c>
      <c r="E374" s="86" t="str">
        <f t="shared" si="11"/>
        <v>#REF!</v>
      </c>
      <c r="F374" s="86" t="str">
        <f t="shared" si="12"/>
        <v>#REF!</v>
      </c>
      <c r="G374" s="86" t="str">
        <f t="shared" si="13"/>
        <v>#REF!</v>
      </c>
      <c r="H374" s="86" t="str">
        <f t="shared" si="14"/>
        <v>#REF!</v>
      </c>
      <c r="I374" s="86" t="str">
        <f t="shared" si="15"/>
        <v>#REF!</v>
      </c>
    </row>
    <row r="375">
      <c r="B375" s="86" t="str">
        <f t="shared" si="1"/>
        <v>#REF!</v>
      </c>
      <c r="C375" s="86" t="str">
        <f t="shared" si="9"/>
        <v>#REF!</v>
      </c>
      <c r="D375" s="86" t="str">
        <f t="shared" si="10"/>
        <v>#REF!</v>
      </c>
      <c r="E375" s="86" t="str">
        <f t="shared" si="11"/>
        <v>#REF!</v>
      </c>
      <c r="F375" s="86" t="str">
        <f t="shared" si="12"/>
        <v>#REF!</v>
      </c>
      <c r="G375" s="86" t="str">
        <f t="shared" si="13"/>
        <v>#REF!</v>
      </c>
      <c r="H375" s="86" t="str">
        <f t="shared" si="14"/>
        <v>#REF!</v>
      </c>
      <c r="I375" s="86" t="str">
        <f t="shared" si="15"/>
        <v>#REF!</v>
      </c>
    </row>
    <row r="376">
      <c r="B376" s="86" t="str">
        <f t="shared" si="1"/>
        <v>#REF!</v>
      </c>
      <c r="C376" s="86" t="str">
        <f t="shared" si="9"/>
        <v>#REF!</v>
      </c>
      <c r="D376" s="86" t="str">
        <f t="shared" si="10"/>
        <v>#REF!</v>
      </c>
      <c r="E376" s="86" t="str">
        <f t="shared" si="11"/>
        <v>#REF!</v>
      </c>
      <c r="F376" s="86" t="str">
        <f t="shared" si="12"/>
        <v>#REF!</v>
      </c>
      <c r="G376" s="86" t="str">
        <f t="shared" si="13"/>
        <v>#REF!</v>
      </c>
      <c r="H376" s="86" t="str">
        <f t="shared" si="14"/>
        <v>#REF!</v>
      </c>
      <c r="I376" s="86" t="str">
        <f t="shared" si="15"/>
        <v>#REF!</v>
      </c>
    </row>
    <row r="377">
      <c r="B377" s="86" t="str">
        <f t="shared" si="1"/>
        <v>#REF!</v>
      </c>
      <c r="C377" s="86" t="str">
        <f t="shared" si="9"/>
        <v>#REF!</v>
      </c>
      <c r="D377" s="86" t="str">
        <f t="shared" si="10"/>
        <v>#REF!</v>
      </c>
      <c r="E377" s="86" t="str">
        <f t="shared" si="11"/>
        <v>#REF!</v>
      </c>
      <c r="F377" s="86" t="str">
        <f t="shared" si="12"/>
        <v>#REF!</v>
      </c>
      <c r="G377" s="86" t="str">
        <f t="shared" si="13"/>
        <v>#REF!</v>
      </c>
      <c r="H377" s="86" t="str">
        <f t="shared" si="14"/>
        <v>#REF!</v>
      </c>
      <c r="I377" s="86" t="str">
        <f t="shared" si="15"/>
        <v>#REF!</v>
      </c>
    </row>
    <row r="378">
      <c r="B378" s="86" t="str">
        <f t="shared" si="1"/>
        <v>#REF!</v>
      </c>
      <c r="C378" s="86" t="str">
        <f t="shared" si="9"/>
        <v>#REF!</v>
      </c>
      <c r="D378" s="86" t="str">
        <f t="shared" si="10"/>
        <v>#REF!</v>
      </c>
      <c r="E378" s="86" t="str">
        <f t="shared" si="11"/>
        <v>#REF!</v>
      </c>
      <c r="F378" s="86" t="str">
        <f t="shared" si="12"/>
        <v>#REF!</v>
      </c>
      <c r="G378" s="86" t="str">
        <f t="shared" si="13"/>
        <v>#REF!</v>
      </c>
      <c r="H378" s="86" t="str">
        <f t="shared" si="14"/>
        <v>#REF!</v>
      </c>
      <c r="I378" s="86" t="str">
        <f t="shared" si="15"/>
        <v>#REF!</v>
      </c>
    </row>
    <row r="379">
      <c r="B379" s="86" t="str">
        <f t="shared" si="1"/>
        <v>#REF!</v>
      </c>
      <c r="C379" s="86" t="str">
        <f t="shared" si="9"/>
        <v>#REF!</v>
      </c>
      <c r="D379" s="86" t="str">
        <f t="shared" si="10"/>
        <v>#REF!</v>
      </c>
      <c r="E379" s="86" t="str">
        <f t="shared" si="11"/>
        <v>#REF!</v>
      </c>
      <c r="F379" s="86" t="str">
        <f t="shared" si="12"/>
        <v>#REF!</v>
      </c>
      <c r="G379" s="86" t="str">
        <f t="shared" si="13"/>
        <v>#REF!</v>
      </c>
      <c r="H379" s="86" t="str">
        <f t="shared" si="14"/>
        <v>#REF!</v>
      </c>
      <c r="I379" s="86" t="str">
        <f t="shared" si="15"/>
        <v>#REF!</v>
      </c>
    </row>
    <row r="380">
      <c r="B380" s="86" t="str">
        <f t="shared" si="1"/>
        <v>#REF!</v>
      </c>
      <c r="C380" s="86" t="str">
        <f t="shared" si="9"/>
        <v>#REF!</v>
      </c>
      <c r="D380" s="86" t="str">
        <f t="shared" si="10"/>
        <v>#REF!</v>
      </c>
      <c r="E380" s="86" t="str">
        <f t="shared" si="11"/>
        <v>#REF!</v>
      </c>
      <c r="F380" s="86" t="str">
        <f t="shared" si="12"/>
        <v>#REF!</v>
      </c>
      <c r="G380" s="86" t="str">
        <f t="shared" si="13"/>
        <v>#REF!</v>
      </c>
      <c r="H380" s="86" t="str">
        <f t="shared" si="14"/>
        <v>#REF!</v>
      </c>
      <c r="I380" s="86" t="str">
        <f t="shared" si="15"/>
        <v>#REF!</v>
      </c>
    </row>
    <row r="381">
      <c r="B381" s="86" t="str">
        <f t="shared" si="1"/>
        <v>#REF!</v>
      </c>
      <c r="C381" s="86" t="str">
        <f t="shared" si="9"/>
        <v>#REF!</v>
      </c>
      <c r="D381" s="86" t="str">
        <f t="shared" si="10"/>
        <v>#REF!</v>
      </c>
      <c r="E381" s="86" t="str">
        <f t="shared" si="11"/>
        <v>#REF!</v>
      </c>
      <c r="F381" s="86" t="str">
        <f t="shared" si="12"/>
        <v>#REF!</v>
      </c>
      <c r="G381" s="86" t="str">
        <f t="shared" si="13"/>
        <v>#REF!</v>
      </c>
      <c r="H381" s="86" t="str">
        <f t="shared" si="14"/>
        <v>#REF!</v>
      </c>
      <c r="I381" s="86" t="str">
        <f t="shared" si="15"/>
        <v>#REF!</v>
      </c>
    </row>
    <row r="382">
      <c r="B382" s="86" t="str">
        <f t="shared" si="1"/>
        <v>#REF!</v>
      </c>
      <c r="C382" s="86" t="str">
        <f t="shared" si="9"/>
        <v>#REF!</v>
      </c>
      <c r="D382" s="86" t="str">
        <f t="shared" si="10"/>
        <v>#REF!</v>
      </c>
      <c r="E382" s="86" t="str">
        <f t="shared" si="11"/>
        <v>#REF!</v>
      </c>
      <c r="F382" s="86" t="str">
        <f t="shared" si="12"/>
        <v>#REF!</v>
      </c>
      <c r="G382" s="86" t="str">
        <f t="shared" si="13"/>
        <v>#REF!</v>
      </c>
      <c r="H382" s="86" t="str">
        <f t="shared" si="14"/>
        <v>#REF!</v>
      </c>
      <c r="I382" s="86" t="str">
        <f t="shared" si="15"/>
        <v>#REF!</v>
      </c>
    </row>
    <row r="383">
      <c r="B383" s="86" t="str">
        <f t="shared" si="1"/>
        <v>#REF!</v>
      </c>
      <c r="C383" s="86" t="str">
        <f t="shared" si="9"/>
        <v>#REF!</v>
      </c>
      <c r="D383" s="86" t="str">
        <f t="shared" si="10"/>
        <v>#REF!</v>
      </c>
      <c r="E383" s="86" t="str">
        <f t="shared" si="11"/>
        <v>#REF!</v>
      </c>
      <c r="F383" s="86" t="str">
        <f t="shared" si="12"/>
        <v>#REF!</v>
      </c>
      <c r="G383" s="86" t="str">
        <f t="shared" si="13"/>
        <v>#REF!</v>
      </c>
      <c r="H383" s="86" t="str">
        <f t="shared" si="14"/>
        <v>#REF!</v>
      </c>
      <c r="I383" s="86" t="str">
        <f t="shared" si="15"/>
        <v>#REF!</v>
      </c>
    </row>
    <row r="384">
      <c r="B384" s="86" t="str">
        <f t="shared" si="1"/>
        <v>#REF!</v>
      </c>
      <c r="C384" s="86" t="str">
        <f t="shared" si="9"/>
        <v>#REF!</v>
      </c>
      <c r="D384" s="86" t="str">
        <f t="shared" si="10"/>
        <v>#REF!</v>
      </c>
      <c r="E384" s="86" t="str">
        <f t="shared" si="11"/>
        <v>#REF!</v>
      </c>
      <c r="F384" s="86" t="str">
        <f t="shared" si="12"/>
        <v>#REF!</v>
      </c>
      <c r="G384" s="86" t="str">
        <f t="shared" si="13"/>
        <v>#REF!</v>
      </c>
      <c r="H384" s="86" t="str">
        <f t="shared" si="14"/>
        <v>#REF!</v>
      </c>
      <c r="I384" s="86" t="str">
        <f t="shared" si="15"/>
        <v>#REF!</v>
      </c>
    </row>
    <row r="385">
      <c r="B385" s="86" t="str">
        <f t="shared" si="1"/>
        <v>#REF!</v>
      </c>
      <c r="C385" s="86" t="str">
        <f t="shared" si="9"/>
        <v>#REF!</v>
      </c>
      <c r="D385" s="86" t="str">
        <f t="shared" si="10"/>
        <v>#REF!</v>
      </c>
      <c r="E385" s="86" t="str">
        <f t="shared" si="11"/>
        <v>#REF!</v>
      </c>
      <c r="F385" s="86" t="str">
        <f t="shared" si="12"/>
        <v>#REF!</v>
      </c>
      <c r="G385" s="86" t="str">
        <f t="shared" si="13"/>
        <v>#REF!</v>
      </c>
      <c r="H385" s="86" t="str">
        <f t="shared" si="14"/>
        <v>#REF!</v>
      </c>
      <c r="I385" s="86" t="str">
        <f t="shared" si="15"/>
        <v>#REF!</v>
      </c>
    </row>
    <row r="386">
      <c r="B386" s="86" t="str">
        <f t="shared" si="1"/>
        <v>#REF!</v>
      </c>
      <c r="C386" s="86" t="str">
        <f t="shared" si="9"/>
        <v>#REF!</v>
      </c>
      <c r="D386" s="86" t="str">
        <f t="shared" si="10"/>
        <v>#REF!</v>
      </c>
      <c r="E386" s="86" t="str">
        <f t="shared" si="11"/>
        <v>#REF!</v>
      </c>
      <c r="F386" s="86" t="str">
        <f t="shared" si="12"/>
        <v>#REF!</v>
      </c>
      <c r="G386" s="86" t="str">
        <f t="shared" si="13"/>
        <v>#REF!</v>
      </c>
      <c r="H386" s="86" t="str">
        <f t="shared" si="14"/>
        <v>#REF!</v>
      </c>
      <c r="I386" s="86" t="str">
        <f t="shared" si="15"/>
        <v>#REF!</v>
      </c>
    </row>
    <row r="387">
      <c r="B387" s="86" t="str">
        <f t="shared" si="1"/>
        <v>#REF!</v>
      </c>
      <c r="C387" s="86" t="str">
        <f t="shared" si="9"/>
        <v>#REF!</v>
      </c>
      <c r="D387" s="86" t="str">
        <f t="shared" si="10"/>
        <v>#REF!</v>
      </c>
      <c r="E387" s="86" t="str">
        <f t="shared" si="11"/>
        <v>#REF!</v>
      </c>
      <c r="F387" s="86" t="str">
        <f t="shared" si="12"/>
        <v>#REF!</v>
      </c>
      <c r="G387" s="86" t="str">
        <f t="shared" si="13"/>
        <v>#REF!</v>
      </c>
      <c r="H387" s="86" t="str">
        <f t="shared" si="14"/>
        <v>#REF!</v>
      </c>
      <c r="I387" s="86" t="str">
        <f t="shared" si="15"/>
        <v>#REF!</v>
      </c>
    </row>
    <row r="388">
      <c r="B388" s="86" t="str">
        <f t="shared" si="1"/>
        <v>#REF!</v>
      </c>
      <c r="C388" s="86" t="str">
        <f t="shared" si="9"/>
        <v>#REF!</v>
      </c>
      <c r="D388" s="86" t="str">
        <f t="shared" si="10"/>
        <v>#REF!</v>
      </c>
      <c r="E388" s="86" t="str">
        <f t="shared" si="11"/>
        <v>#REF!</v>
      </c>
      <c r="F388" s="86" t="str">
        <f t="shared" si="12"/>
        <v>#REF!</v>
      </c>
      <c r="G388" s="86" t="str">
        <f t="shared" si="13"/>
        <v>#REF!</v>
      </c>
      <c r="H388" s="86" t="str">
        <f t="shared" si="14"/>
        <v>#REF!</v>
      </c>
      <c r="I388" s="86" t="str">
        <f t="shared" si="15"/>
        <v>#REF!</v>
      </c>
    </row>
    <row r="389">
      <c r="B389" s="86" t="str">
        <f t="shared" si="1"/>
        <v>#REF!</v>
      </c>
      <c r="C389" s="86" t="str">
        <f t="shared" si="9"/>
        <v>#REF!</v>
      </c>
      <c r="D389" s="86" t="str">
        <f t="shared" si="10"/>
        <v>#REF!</v>
      </c>
      <c r="E389" s="86" t="str">
        <f t="shared" si="11"/>
        <v>#REF!</v>
      </c>
      <c r="F389" s="86" t="str">
        <f t="shared" si="12"/>
        <v>#REF!</v>
      </c>
      <c r="G389" s="86" t="str">
        <f t="shared" si="13"/>
        <v>#REF!</v>
      </c>
      <c r="H389" s="86" t="str">
        <f t="shared" si="14"/>
        <v>#REF!</v>
      </c>
      <c r="I389" s="86" t="str">
        <f t="shared" si="15"/>
        <v>#REF!</v>
      </c>
    </row>
    <row r="390">
      <c r="B390" s="86" t="str">
        <f t="shared" si="1"/>
        <v>#REF!</v>
      </c>
      <c r="C390" s="86" t="str">
        <f t="shared" si="9"/>
        <v>#REF!</v>
      </c>
      <c r="D390" s="86" t="str">
        <f t="shared" si="10"/>
        <v>#REF!</v>
      </c>
      <c r="E390" s="86" t="str">
        <f t="shared" si="11"/>
        <v>#REF!</v>
      </c>
      <c r="F390" s="86" t="str">
        <f t="shared" si="12"/>
        <v>#REF!</v>
      </c>
      <c r="G390" s="86" t="str">
        <f t="shared" si="13"/>
        <v>#REF!</v>
      </c>
      <c r="H390" s="86" t="str">
        <f t="shared" si="14"/>
        <v>#REF!</v>
      </c>
      <c r="I390" s="86" t="str">
        <f t="shared" si="15"/>
        <v>#REF!</v>
      </c>
    </row>
    <row r="391">
      <c r="B391" s="86" t="str">
        <f t="shared" si="1"/>
        <v>#REF!</v>
      </c>
      <c r="C391" s="86" t="str">
        <f t="shared" si="9"/>
        <v>#REF!</v>
      </c>
      <c r="D391" s="86" t="str">
        <f t="shared" si="10"/>
        <v>#REF!</v>
      </c>
      <c r="E391" s="86" t="str">
        <f t="shared" si="11"/>
        <v>#REF!</v>
      </c>
      <c r="F391" s="86" t="str">
        <f t="shared" si="12"/>
        <v>#REF!</v>
      </c>
      <c r="G391" s="86" t="str">
        <f t="shared" si="13"/>
        <v>#REF!</v>
      </c>
      <c r="H391" s="86" t="str">
        <f t="shared" si="14"/>
        <v>#REF!</v>
      </c>
      <c r="I391" s="86" t="str">
        <f t="shared" si="15"/>
        <v>#REF!</v>
      </c>
    </row>
    <row r="392">
      <c r="B392" s="86" t="str">
        <f t="shared" si="1"/>
        <v>#REF!</v>
      </c>
      <c r="C392" s="86" t="str">
        <f t="shared" si="9"/>
        <v>#REF!</v>
      </c>
      <c r="D392" s="86" t="str">
        <f t="shared" si="10"/>
        <v>#REF!</v>
      </c>
      <c r="E392" s="86" t="str">
        <f t="shared" si="11"/>
        <v>#REF!</v>
      </c>
      <c r="F392" s="86" t="str">
        <f t="shared" si="12"/>
        <v>#REF!</v>
      </c>
      <c r="G392" s="86" t="str">
        <f t="shared" si="13"/>
        <v>#REF!</v>
      </c>
      <c r="H392" s="86" t="str">
        <f t="shared" si="14"/>
        <v>#REF!</v>
      </c>
      <c r="I392" s="86" t="str">
        <f t="shared" si="15"/>
        <v>#REF!</v>
      </c>
    </row>
    <row r="393">
      <c r="B393" s="86" t="str">
        <f t="shared" si="1"/>
        <v>#REF!</v>
      </c>
      <c r="C393" s="86" t="str">
        <f t="shared" si="9"/>
        <v>#REF!</v>
      </c>
      <c r="D393" s="86" t="str">
        <f t="shared" si="10"/>
        <v>#REF!</v>
      </c>
      <c r="E393" s="86" t="str">
        <f t="shared" si="11"/>
        <v>#REF!</v>
      </c>
      <c r="F393" s="86" t="str">
        <f t="shared" si="12"/>
        <v>#REF!</v>
      </c>
      <c r="G393" s="86" t="str">
        <f t="shared" si="13"/>
        <v>#REF!</v>
      </c>
      <c r="H393" s="86" t="str">
        <f t="shared" si="14"/>
        <v>#REF!</v>
      </c>
      <c r="I393" s="86" t="str">
        <f t="shared" si="15"/>
        <v>#REF!</v>
      </c>
    </row>
    <row r="394">
      <c r="B394" s="86" t="str">
        <f t="shared" si="1"/>
        <v>#REF!</v>
      </c>
      <c r="C394" s="86" t="str">
        <f t="shared" si="9"/>
        <v>#REF!</v>
      </c>
      <c r="D394" s="86" t="str">
        <f t="shared" si="10"/>
        <v>#REF!</v>
      </c>
      <c r="E394" s="86" t="str">
        <f t="shared" si="11"/>
        <v>#REF!</v>
      </c>
      <c r="F394" s="86" t="str">
        <f t="shared" si="12"/>
        <v>#REF!</v>
      </c>
      <c r="G394" s="86" t="str">
        <f t="shared" si="13"/>
        <v>#REF!</v>
      </c>
      <c r="H394" s="86" t="str">
        <f t="shared" si="14"/>
        <v>#REF!</v>
      </c>
      <c r="I394" s="86" t="str">
        <f t="shared" si="15"/>
        <v>#REF!</v>
      </c>
    </row>
    <row r="395">
      <c r="B395" s="86" t="str">
        <f t="shared" si="1"/>
        <v>#REF!</v>
      </c>
      <c r="C395" s="86" t="str">
        <f t="shared" si="9"/>
        <v>#REF!</v>
      </c>
      <c r="D395" s="86" t="str">
        <f t="shared" si="10"/>
        <v>#REF!</v>
      </c>
      <c r="E395" s="86" t="str">
        <f t="shared" si="11"/>
        <v>#REF!</v>
      </c>
      <c r="F395" s="86" t="str">
        <f t="shared" si="12"/>
        <v>#REF!</v>
      </c>
      <c r="G395" s="86" t="str">
        <f t="shared" si="13"/>
        <v>#REF!</v>
      </c>
      <c r="H395" s="86" t="str">
        <f t="shared" si="14"/>
        <v>#REF!</v>
      </c>
      <c r="I395" s="86" t="str">
        <f t="shared" si="15"/>
        <v>#REF!</v>
      </c>
    </row>
    <row r="396">
      <c r="B396" s="86" t="str">
        <f t="shared" si="1"/>
        <v>#REF!</v>
      </c>
      <c r="C396" s="86" t="str">
        <f t="shared" si="9"/>
        <v>#REF!</v>
      </c>
      <c r="D396" s="86" t="str">
        <f t="shared" si="10"/>
        <v>#REF!</v>
      </c>
      <c r="E396" s="86" t="str">
        <f t="shared" si="11"/>
        <v>#REF!</v>
      </c>
      <c r="F396" s="86" t="str">
        <f t="shared" si="12"/>
        <v>#REF!</v>
      </c>
      <c r="G396" s="86" t="str">
        <f t="shared" si="13"/>
        <v>#REF!</v>
      </c>
      <c r="H396" s="86" t="str">
        <f t="shared" si="14"/>
        <v>#REF!</v>
      </c>
      <c r="I396" s="86" t="str">
        <f t="shared" si="15"/>
        <v>#REF!</v>
      </c>
    </row>
    <row r="397">
      <c r="B397" s="86" t="str">
        <f t="shared" si="1"/>
        <v>#REF!</v>
      </c>
      <c r="C397" s="86" t="str">
        <f t="shared" si="9"/>
        <v>#REF!</v>
      </c>
      <c r="D397" s="86" t="str">
        <f t="shared" si="10"/>
        <v>#REF!</v>
      </c>
      <c r="E397" s="86" t="str">
        <f t="shared" si="11"/>
        <v>#REF!</v>
      </c>
      <c r="F397" s="86" t="str">
        <f t="shared" si="12"/>
        <v>#REF!</v>
      </c>
      <c r="G397" s="86" t="str">
        <f t="shared" si="13"/>
        <v>#REF!</v>
      </c>
      <c r="H397" s="86" t="str">
        <f t="shared" si="14"/>
        <v>#REF!</v>
      </c>
      <c r="I397" s="86" t="str">
        <f t="shared" si="15"/>
        <v>#REF!</v>
      </c>
    </row>
    <row r="398">
      <c r="B398" s="86" t="str">
        <f t="shared" si="1"/>
        <v>#REF!</v>
      </c>
      <c r="C398" s="86" t="str">
        <f t="shared" si="9"/>
        <v>#REF!</v>
      </c>
      <c r="D398" s="86" t="str">
        <f t="shared" si="10"/>
        <v>#REF!</v>
      </c>
      <c r="E398" s="86" t="str">
        <f t="shared" si="11"/>
        <v>#REF!</v>
      </c>
      <c r="F398" s="86" t="str">
        <f t="shared" si="12"/>
        <v>#REF!</v>
      </c>
      <c r="G398" s="86" t="str">
        <f t="shared" si="13"/>
        <v>#REF!</v>
      </c>
      <c r="H398" s="86" t="str">
        <f t="shared" si="14"/>
        <v>#REF!</v>
      </c>
      <c r="I398" s="86" t="str">
        <f t="shared" si="15"/>
        <v>#REF!</v>
      </c>
    </row>
    <row r="399">
      <c r="B399" s="86" t="str">
        <f t="shared" si="1"/>
        <v>#REF!</v>
      </c>
      <c r="C399" s="86" t="str">
        <f t="shared" si="9"/>
        <v>#REF!</v>
      </c>
      <c r="D399" s="86" t="str">
        <f t="shared" si="10"/>
        <v>#REF!</v>
      </c>
      <c r="E399" s="86" t="str">
        <f t="shared" si="11"/>
        <v>#REF!</v>
      </c>
      <c r="F399" s="86" t="str">
        <f t="shared" si="12"/>
        <v>#REF!</v>
      </c>
      <c r="G399" s="86" t="str">
        <f t="shared" si="13"/>
        <v>#REF!</v>
      </c>
      <c r="H399" s="86" t="str">
        <f t="shared" si="14"/>
        <v>#REF!</v>
      </c>
      <c r="I399" s="86" t="str">
        <f t="shared" si="15"/>
        <v>#REF!</v>
      </c>
    </row>
    <row r="400">
      <c r="B400" s="86" t="str">
        <f t="shared" si="1"/>
        <v>#REF!</v>
      </c>
      <c r="C400" s="86" t="str">
        <f t="shared" si="9"/>
        <v>#REF!</v>
      </c>
      <c r="D400" s="86" t="str">
        <f t="shared" si="10"/>
        <v>#REF!</v>
      </c>
      <c r="E400" s="86" t="str">
        <f t="shared" si="11"/>
        <v>#REF!</v>
      </c>
      <c r="F400" s="86" t="str">
        <f t="shared" si="12"/>
        <v>#REF!</v>
      </c>
      <c r="G400" s="86" t="str">
        <f t="shared" si="13"/>
        <v>#REF!</v>
      </c>
      <c r="H400" s="86" t="str">
        <f t="shared" si="14"/>
        <v>#REF!</v>
      </c>
      <c r="I400" s="86" t="str">
        <f t="shared" si="15"/>
        <v>#REF!</v>
      </c>
    </row>
    <row r="401">
      <c r="B401" s="86" t="str">
        <f t="shared" si="1"/>
        <v>#REF!</v>
      </c>
      <c r="C401" s="86" t="str">
        <f t="shared" si="9"/>
        <v>#REF!</v>
      </c>
      <c r="D401" s="86" t="str">
        <f t="shared" si="10"/>
        <v>#REF!</v>
      </c>
      <c r="E401" s="86" t="str">
        <f t="shared" si="11"/>
        <v>#REF!</v>
      </c>
      <c r="F401" s="86" t="str">
        <f t="shared" si="12"/>
        <v>#REF!</v>
      </c>
      <c r="G401" s="86" t="str">
        <f t="shared" si="13"/>
        <v>#REF!</v>
      </c>
      <c r="H401" s="86" t="str">
        <f t="shared" si="14"/>
        <v>#REF!</v>
      </c>
      <c r="I401" s="86" t="str">
        <f t="shared" si="15"/>
        <v>#REF!</v>
      </c>
    </row>
    <row r="402">
      <c r="B402" s="86" t="str">
        <f t="shared" si="1"/>
        <v>#REF!</v>
      </c>
      <c r="C402" s="86" t="str">
        <f t="shared" si="9"/>
        <v>#REF!</v>
      </c>
      <c r="D402" s="86" t="str">
        <f t="shared" si="10"/>
        <v>#REF!</v>
      </c>
      <c r="E402" s="86" t="str">
        <f t="shared" si="11"/>
        <v>#REF!</v>
      </c>
      <c r="F402" s="86" t="str">
        <f t="shared" si="12"/>
        <v>#REF!</v>
      </c>
      <c r="G402" s="86" t="str">
        <f t="shared" si="13"/>
        <v>#REF!</v>
      </c>
      <c r="H402" s="86" t="str">
        <f t="shared" si="14"/>
        <v>#REF!</v>
      </c>
      <c r="I402" s="86" t="str">
        <f t="shared" si="15"/>
        <v>#REF!</v>
      </c>
    </row>
    <row r="403">
      <c r="B403" s="86" t="str">
        <f t="shared" si="1"/>
        <v>#REF!</v>
      </c>
      <c r="C403" s="86" t="str">
        <f t="shared" si="9"/>
        <v>#REF!</v>
      </c>
      <c r="D403" s="86" t="str">
        <f t="shared" si="10"/>
        <v>#REF!</v>
      </c>
      <c r="E403" s="86" t="str">
        <f t="shared" si="11"/>
        <v>#REF!</v>
      </c>
      <c r="F403" s="86" t="str">
        <f t="shared" si="12"/>
        <v>#REF!</v>
      </c>
      <c r="G403" s="86" t="str">
        <f t="shared" si="13"/>
        <v>#REF!</v>
      </c>
      <c r="H403" s="86" t="str">
        <f t="shared" si="14"/>
        <v>#REF!</v>
      </c>
      <c r="I403" s="86" t="str">
        <f t="shared" si="15"/>
        <v>#REF!</v>
      </c>
    </row>
    <row r="404">
      <c r="B404" s="86" t="str">
        <f t="shared" si="1"/>
        <v>#REF!</v>
      </c>
      <c r="C404" s="86" t="str">
        <f t="shared" si="9"/>
        <v>#REF!</v>
      </c>
      <c r="D404" s="86" t="str">
        <f t="shared" si="10"/>
        <v>#REF!</v>
      </c>
      <c r="E404" s="86" t="str">
        <f t="shared" si="11"/>
        <v>#REF!</v>
      </c>
      <c r="F404" s="86" t="str">
        <f t="shared" si="12"/>
        <v>#REF!</v>
      </c>
      <c r="G404" s="86" t="str">
        <f t="shared" si="13"/>
        <v>#REF!</v>
      </c>
      <c r="H404" s="86" t="str">
        <f t="shared" si="14"/>
        <v>#REF!</v>
      </c>
      <c r="I404" s="86" t="str">
        <f t="shared" si="15"/>
        <v>#REF!</v>
      </c>
    </row>
    <row r="405">
      <c r="B405" s="86" t="str">
        <f t="shared" si="1"/>
        <v>#REF!</v>
      </c>
      <c r="C405" s="86" t="str">
        <f t="shared" si="9"/>
        <v>#REF!</v>
      </c>
      <c r="D405" s="86" t="str">
        <f t="shared" si="10"/>
        <v>#REF!</v>
      </c>
      <c r="E405" s="86" t="str">
        <f t="shared" si="11"/>
        <v>#REF!</v>
      </c>
      <c r="F405" s="86" t="str">
        <f t="shared" si="12"/>
        <v>#REF!</v>
      </c>
      <c r="G405" s="86" t="str">
        <f t="shared" si="13"/>
        <v>#REF!</v>
      </c>
      <c r="H405" s="86" t="str">
        <f t="shared" si="14"/>
        <v>#REF!</v>
      </c>
      <c r="I405" s="86" t="str">
        <f t="shared" si="15"/>
        <v>#REF!</v>
      </c>
    </row>
    <row r="406">
      <c r="B406" s="86" t="str">
        <f t="shared" si="1"/>
        <v>#REF!</v>
      </c>
      <c r="C406" s="86" t="str">
        <f t="shared" si="9"/>
        <v>#REF!</v>
      </c>
      <c r="D406" s="86" t="str">
        <f t="shared" si="10"/>
        <v>#REF!</v>
      </c>
      <c r="E406" s="86" t="str">
        <f t="shared" si="11"/>
        <v>#REF!</v>
      </c>
      <c r="F406" s="86" t="str">
        <f t="shared" si="12"/>
        <v>#REF!</v>
      </c>
      <c r="G406" s="86" t="str">
        <f t="shared" si="13"/>
        <v>#REF!</v>
      </c>
      <c r="H406" s="86" t="str">
        <f t="shared" si="14"/>
        <v>#REF!</v>
      </c>
      <c r="I406" s="86" t="str">
        <f t="shared" si="15"/>
        <v>#REF!</v>
      </c>
    </row>
    <row r="407">
      <c r="B407" s="86" t="str">
        <f t="shared" si="1"/>
        <v>#REF!</v>
      </c>
      <c r="C407" s="86" t="str">
        <f t="shared" si="9"/>
        <v>#REF!</v>
      </c>
      <c r="D407" s="86" t="str">
        <f t="shared" si="10"/>
        <v>#REF!</v>
      </c>
      <c r="E407" s="86" t="str">
        <f t="shared" si="11"/>
        <v>#REF!</v>
      </c>
      <c r="F407" s="86" t="str">
        <f t="shared" si="12"/>
        <v>#REF!</v>
      </c>
      <c r="G407" s="86" t="str">
        <f t="shared" si="13"/>
        <v>#REF!</v>
      </c>
      <c r="H407" s="86" t="str">
        <f t="shared" si="14"/>
        <v>#REF!</v>
      </c>
      <c r="I407" s="86" t="str">
        <f t="shared" si="15"/>
        <v>#REF!</v>
      </c>
    </row>
    <row r="408">
      <c r="B408" s="86" t="str">
        <f t="shared" si="1"/>
        <v>#REF!</v>
      </c>
      <c r="C408" s="86" t="str">
        <f t="shared" si="9"/>
        <v>#REF!</v>
      </c>
      <c r="D408" s="86" t="str">
        <f t="shared" si="10"/>
        <v>#REF!</v>
      </c>
      <c r="E408" s="86" t="str">
        <f t="shared" si="11"/>
        <v>#REF!</v>
      </c>
      <c r="F408" s="86" t="str">
        <f t="shared" si="12"/>
        <v>#REF!</v>
      </c>
      <c r="G408" s="86" t="str">
        <f t="shared" si="13"/>
        <v>#REF!</v>
      </c>
      <c r="H408" s="86" t="str">
        <f t="shared" si="14"/>
        <v>#REF!</v>
      </c>
      <c r="I408" s="86" t="str">
        <f t="shared" si="15"/>
        <v>#REF!</v>
      </c>
    </row>
    <row r="409">
      <c r="B409" s="86" t="str">
        <f t="shared" si="1"/>
        <v>#REF!</v>
      </c>
      <c r="C409" s="86" t="str">
        <f t="shared" si="9"/>
        <v>#REF!</v>
      </c>
      <c r="D409" s="86" t="str">
        <f t="shared" si="10"/>
        <v>#REF!</v>
      </c>
      <c r="E409" s="86" t="str">
        <f t="shared" si="11"/>
        <v>#REF!</v>
      </c>
      <c r="F409" s="86" t="str">
        <f t="shared" si="12"/>
        <v>#REF!</v>
      </c>
      <c r="G409" s="86" t="str">
        <f t="shared" si="13"/>
        <v>#REF!</v>
      </c>
      <c r="H409" s="86" t="str">
        <f t="shared" si="14"/>
        <v>#REF!</v>
      </c>
      <c r="I409" s="86" t="str">
        <f t="shared" si="15"/>
        <v>#REF!</v>
      </c>
    </row>
    <row r="410">
      <c r="B410" s="86" t="str">
        <f t="shared" si="1"/>
        <v>#REF!</v>
      </c>
      <c r="C410" s="86" t="str">
        <f t="shared" si="9"/>
        <v>#REF!</v>
      </c>
      <c r="D410" s="86" t="str">
        <f t="shared" si="10"/>
        <v>#REF!</v>
      </c>
      <c r="E410" s="86" t="str">
        <f t="shared" si="11"/>
        <v>#REF!</v>
      </c>
      <c r="F410" s="86" t="str">
        <f t="shared" si="12"/>
        <v>#REF!</v>
      </c>
      <c r="G410" s="86" t="str">
        <f t="shared" si="13"/>
        <v>#REF!</v>
      </c>
      <c r="H410" s="86" t="str">
        <f t="shared" si="14"/>
        <v>#REF!</v>
      </c>
      <c r="I410" s="86" t="str">
        <f t="shared" si="15"/>
        <v>#REF!</v>
      </c>
    </row>
    <row r="411">
      <c r="B411" s="86" t="str">
        <f t="shared" si="1"/>
        <v>#REF!</v>
      </c>
      <c r="C411" s="86" t="str">
        <f t="shared" si="9"/>
        <v>#REF!</v>
      </c>
      <c r="D411" s="86" t="str">
        <f t="shared" si="10"/>
        <v>#REF!</v>
      </c>
      <c r="E411" s="86" t="str">
        <f t="shared" si="11"/>
        <v>#REF!</v>
      </c>
      <c r="F411" s="86" t="str">
        <f t="shared" si="12"/>
        <v>#REF!</v>
      </c>
      <c r="G411" s="86" t="str">
        <f t="shared" si="13"/>
        <v>#REF!</v>
      </c>
      <c r="H411" s="86" t="str">
        <f t="shared" si="14"/>
        <v>#REF!</v>
      </c>
      <c r="I411" s="86" t="str">
        <f t="shared" si="15"/>
        <v>#REF!</v>
      </c>
    </row>
    <row r="412">
      <c r="B412" s="86" t="str">
        <f t="shared" si="1"/>
        <v>#REF!</v>
      </c>
      <c r="C412" s="86" t="str">
        <f t="shared" si="9"/>
        <v>#REF!</v>
      </c>
      <c r="D412" s="86" t="str">
        <f t="shared" si="10"/>
        <v>#REF!</v>
      </c>
      <c r="E412" s="86" t="str">
        <f t="shared" si="11"/>
        <v>#REF!</v>
      </c>
      <c r="F412" s="86" t="str">
        <f t="shared" si="12"/>
        <v>#REF!</v>
      </c>
      <c r="G412" s="86" t="str">
        <f t="shared" si="13"/>
        <v>#REF!</v>
      </c>
      <c r="H412" s="86" t="str">
        <f t="shared" si="14"/>
        <v>#REF!</v>
      </c>
      <c r="I412" s="86" t="str">
        <f t="shared" si="15"/>
        <v>#REF!</v>
      </c>
    </row>
    <row r="413">
      <c r="B413" s="86" t="str">
        <f t="shared" si="1"/>
        <v>#REF!</v>
      </c>
      <c r="C413" s="86" t="str">
        <f t="shared" si="9"/>
        <v>#REF!</v>
      </c>
      <c r="D413" s="86" t="str">
        <f t="shared" si="10"/>
        <v>#REF!</v>
      </c>
      <c r="E413" s="86" t="str">
        <f t="shared" si="11"/>
        <v>#REF!</v>
      </c>
      <c r="F413" s="86" t="str">
        <f t="shared" si="12"/>
        <v>#REF!</v>
      </c>
      <c r="G413" s="86" t="str">
        <f t="shared" si="13"/>
        <v>#REF!</v>
      </c>
      <c r="H413" s="86" t="str">
        <f t="shared" si="14"/>
        <v>#REF!</v>
      </c>
      <c r="I413" s="86" t="str">
        <f t="shared" si="15"/>
        <v>#REF!</v>
      </c>
    </row>
    <row r="414">
      <c r="B414" s="86" t="str">
        <f t="shared" si="1"/>
        <v>#REF!</v>
      </c>
      <c r="C414" s="86" t="str">
        <f t="shared" si="9"/>
        <v>#REF!</v>
      </c>
      <c r="D414" s="86" t="str">
        <f t="shared" si="10"/>
        <v>#REF!</v>
      </c>
      <c r="E414" s="86" t="str">
        <f t="shared" si="11"/>
        <v>#REF!</v>
      </c>
      <c r="F414" s="86" t="str">
        <f t="shared" si="12"/>
        <v>#REF!</v>
      </c>
      <c r="G414" s="86" t="str">
        <f t="shared" si="13"/>
        <v>#REF!</v>
      </c>
      <c r="H414" s="86" t="str">
        <f t="shared" si="14"/>
        <v>#REF!</v>
      </c>
      <c r="I414" s="86" t="str">
        <f t="shared" si="15"/>
        <v>#REF!</v>
      </c>
    </row>
    <row r="415">
      <c r="B415" s="86" t="str">
        <f t="shared" si="1"/>
        <v>#REF!</v>
      </c>
      <c r="C415" s="86" t="str">
        <f t="shared" si="9"/>
        <v>#REF!</v>
      </c>
      <c r="D415" s="86" t="str">
        <f t="shared" si="10"/>
        <v>#REF!</v>
      </c>
      <c r="E415" s="86" t="str">
        <f t="shared" si="11"/>
        <v>#REF!</v>
      </c>
      <c r="F415" s="86" t="str">
        <f t="shared" si="12"/>
        <v>#REF!</v>
      </c>
      <c r="G415" s="86" t="str">
        <f t="shared" si="13"/>
        <v>#REF!</v>
      </c>
      <c r="H415" s="86" t="str">
        <f t="shared" si="14"/>
        <v>#REF!</v>
      </c>
      <c r="I415" s="86" t="str">
        <f t="shared" si="15"/>
        <v>#REF!</v>
      </c>
    </row>
    <row r="416">
      <c r="B416" s="86" t="str">
        <f t="shared" si="1"/>
        <v>#REF!</v>
      </c>
      <c r="C416" s="86" t="str">
        <f t="shared" si="9"/>
        <v>#REF!</v>
      </c>
      <c r="D416" s="86" t="str">
        <f t="shared" si="10"/>
        <v>#REF!</v>
      </c>
      <c r="E416" s="86" t="str">
        <f t="shared" si="11"/>
        <v>#REF!</v>
      </c>
      <c r="F416" s="86" t="str">
        <f t="shared" si="12"/>
        <v>#REF!</v>
      </c>
      <c r="G416" s="86" t="str">
        <f t="shared" si="13"/>
        <v>#REF!</v>
      </c>
      <c r="H416" s="86" t="str">
        <f t="shared" si="14"/>
        <v>#REF!</v>
      </c>
      <c r="I416" s="86" t="str">
        <f t="shared" si="15"/>
        <v>#REF!</v>
      </c>
    </row>
    <row r="417">
      <c r="B417" s="86" t="str">
        <f t="shared" si="1"/>
        <v>#REF!</v>
      </c>
      <c r="C417" s="86" t="str">
        <f t="shared" si="9"/>
        <v>#REF!</v>
      </c>
      <c r="D417" s="86" t="str">
        <f t="shared" si="10"/>
        <v>#REF!</v>
      </c>
      <c r="E417" s="86" t="str">
        <f t="shared" si="11"/>
        <v>#REF!</v>
      </c>
      <c r="F417" s="86" t="str">
        <f t="shared" si="12"/>
        <v>#REF!</v>
      </c>
      <c r="G417" s="86" t="str">
        <f t="shared" si="13"/>
        <v>#REF!</v>
      </c>
      <c r="H417" s="86" t="str">
        <f t="shared" si="14"/>
        <v>#REF!</v>
      </c>
      <c r="I417" s="86" t="str">
        <f t="shared" si="15"/>
        <v>#REF!</v>
      </c>
    </row>
    <row r="418">
      <c r="B418" s="86" t="str">
        <f t="shared" si="1"/>
        <v>#REF!</v>
      </c>
      <c r="C418" s="86" t="str">
        <f t="shared" si="9"/>
        <v>#REF!</v>
      </c>
      <c r="D418" s="86" t="str">
        <f t="shared" si="10"/>
        <v>#REF!</v>
      </c>
      <c r="E418" s="86" t="str">
        <f t="shared" si="11"/>
        <v>#REF!</v>
      </c>
      <c r="F418" s="86" t="str">
        <f t="shared" si="12"/>
        <v>#REF!</v>
      </c>
      <c r="G418" s="86" t="str">
        <f t="shared" si="13"/>
        <v>#REF!</v>
      </c>
      <c r="H418" s="86" t="str">
        <f t="shared" si="14"/>
        <v>#REF!</v>
      </c>
      <c r="I418" s="86" t="str">
        <f t="shared" si="15"/>
        <v>#REF!</v>
      </c>
    </row>
    <row r="419">
      <c r="B419" s="86" t="str">
        <f t="shared" si="1"/>
        <v>#REF!</v>
      </c>
      <c r="C419" s="86" t="str">
        <f t="shared" si="9"/>
        <v>#REF!</v>
      </c>
      <c r="D419" s="86" t="str">
        <f t="shared" si="10"/>
        <v>#REF!</v>
      </c>
      <c r="E419" s="86" t="str">
        <f t="shared" si="11"/>
        <v>#REF!</v>
      </c>
      <c r="F419" s="86" t="str">
        <f t="shared" si="12"/>
        <v>#REF!</v>
      </c>
      <c r="G419" s="86" t="str">
        <f t="shared" si="13"/>
        <v>#REF!</v>
      </c>
      <c r="H419" s="86" t="str">
        <f t="shared" si="14"/>
        <v>#REF!</v>
      </c>
      <c r="I419" s="86" t="str">
        <f t="shared" si="15"/>
        <v>#REF!</v>
      </c>
    </row>
    <row r="420">
      <c r="B420" s="86" t="str">
        <f t="shared" si="1"/>
        <v>#REF!</v>
      </c>
      <c r="C420" s="86" t="str">
        <f t="shared" si="9"/>
        <v>#REF!</v>
      </c>
      <c r="D420" s="86" t="str">
        <f t="shared" si="10"/>
        <v>#REF!</v>
      </c>
      <c r="E420" s="86" t="str">
        <f t="shared" si="11"/>
        <v>#REF!</v>
      </c>
      <c r="F420" s="86" t="str">
        <f t="shared" si="12"/>
        <v>#REF!</v>
      </c>
      <c r="G420" s="86" t="str">
        <f t="shared" si="13"/>
        <v>#REF!</v>
      </c>
      <c r="H420" s="86" t="str">
        <f t="shared" si="14"/>
        <v>#REF!</v>
      </c>
      <c r="I420" s="86" t="str">
        <f t="shared" si="15"/>
        <v>#REF!</v>
      </c>
    </row>
    <row r="421">
      <c r="B421" s="86" t="str">
        <f t="shared" si="1"/>
        <v>#REF!</v>
      </c>
      <c r="C421" s="86" t="str">
        <f t="shared" si="9"/>
        <v>#REF!</v>
      </c>
      <c r="D421" s="86" t="str">
        <f t="shared" si="10"/>
        <v>#REF!</v>
      </c>
      <c r="E421" s="86" t="str">
        <f t="shared" si="11"/>
        <v>#REF!</v>
      </c>
      <c r="F421" s="86" t="str">
        <f t="shared" si="12"/>
        <v>#REF!</v>
      </c>
      <c r="G421" s="86" t="str">
        <f t="shared" si="13"/>
        <v>#REF!</v>
      </c>
      <c r="H421" s="86" t="str">
        <f t="shared" si="14"/>
        <v>#REF!</v>
      </c>
      <c r="I421" s="86" t="str">
        <f t="shared" si="15"/>
        <v>#REF!</v>
      </c>
    </row>
    <row r="422">
      <c r="B422" s="86" t="str">
        <f t="shared" si="1"/>
        <v>#REF!</v>
      </c>
      <c r="C422" s="86" t="str">
        <f t="shared" si="9"/>
        <v>#REF!</v>
      </c>
      <c r="D422" s="86" t="str">
        <f t="shared" si="10"/>
        <v>#REF!</v>
      </c>
      <c r="E422" s="86" t="str">
        <f t="shared" si="11"/>
        <v>#REF!</v>
      </c>
      <c r="F422" s="86" t="str">
        <f t="shared" si="12"/>
        <v>#REF!</v>
      </c>
      <c r="G422" s="86" t="str">
        <f t="shared" si="13"/>
        <v>#REF!</v>
      </c>
      <c r="H422" s="86" t="str">
        <f t="shared" si="14"/>
        <v>#REF!</v>
      </c>
      <c r="I422" s="86" t="str">
        <f t="shared" si="15"/>
        <v>#REF!</v>
      </c>
    </row>
    <row r="423">
      <c r="B423" s="86" t="str">
        <f t="shared" si="1"/>
        <v>#REF!</v>
      </c>
      <c r="C423" s="86" t="str">
        <f t="shared" si="9"/>
        <v>#REF!</v>
      </c>
      <c r="D423" s="86" t="str">
        <f t="shared" si="10"/>
        <v>#REF!</v>
      </c>
      <c r="E423" s="86" t="str">
        <f t="shared" si="11"/>
        <v>#REF!</v>
      </c>
      <c r="F423" s="86" t="str">
        <f t="shared" si="12"/>
        <v>#REF!</v>
      </c>
      <c r="G423" s="86" t="str">
        <f t="shared" si="13"/>
        <v>#REF!</v>
      </c>
      <c r="H423" s="86" t="str">
        <f t="shared" si="14"/>
        <v>#REF!</v>
      </c>
      <c r="I423" s="86" t="str">
        <f t="shared" si="15"/>
        <v>#REF!</v>
      </c>
    </row>
    <row r="424">
      <c r="B424" s="86" t="str">
        <f t="shared" si="1"/>
        <v>#REF!</v>
      </c>
      <c r="C424" s="86" t="str">
        <f t="shared" si="9"/>
        <v>#REF!</v>
      </c>
      <c r="D424" s="86" t="str">
        <f t="shared" si="10"/>
        <v>#REF!</v>
      </c>
      <c r="E424" s="86" t="str">
        <f t="shared" si="11"/>
        <v>#REF!</v>
      </c>
      <c r="F424" s="86" t="str">
        <f t="shared" si="12"/>
        <v>#REF!</v>
      </c>
      <c r="G424" s="86" t="str">
        <f t="shared" si="13"/>
        <v>#REF!</v>
      </c>
      <c r="H424" s="86" t="str">
        <f t="shared" si="14"/>
        <v>#REF!</v>
      </c>
      <c r="I424" s="86" t="str">
        <f t="shared" si="15"/>
        <v>#REF!</v>
      </c>
    </row>
    <row r="425">
      <c r="B425" s="86" t="str">
        <f t="shared" si="1"/>
        <v>#REF!</v>
      </c>
      <c r="C425" s="86" t="str">
        <f t="shared" si="9"/>
        <v>#REF!</v>
      </c>
      <c r="D425" s="86" t="str">
        <f t="shared" si="10"/>
        <v>#REF!</v>
      </c>
      <c r="E425" s="86" t="str">
        <f t="shared" si="11"/>
        <v>#REF!</v>
      </c>
      <c r="F425" s="86" t="str">
        <f t="shared" si="12"/>
        <v>#REF!</v>
      </c>
      <c r="G425" s="86" t="str">
        <f t="shared" si="13"/>
        <v>#REF!</v>
      </c>
      <c r="H425" s="86" t="str">
        <f t="shared" si="14"/>
        <v>#REF!</v>
      </c>
      <c r="I425" s="86" t="str">
        <f t="shared" si="15"/>
        <v>#REF!</v>
      </c>
    </row>
    <row r="426">
      <c r="B426" s="86" t="str">
        <f t="shared" si="1"/>
        <v>#REF!</v>
      </c>
      <c r="C426" s="86" t="str">
        <f t="shared" si="9"/>
        <v>#REF!</v>
      </c>
      <c r="D426" s="86" t="str">
        <f t="shared" si="10"/>
        <v>#REF!</v>
      </c>
      <c r="E426" s="86" t="str">
        <f t="shared" si="11"/>
        <v>#REF!</v>
      </c>
      <c r="F426" s="86" t="str">
        <f t="shared" si="12"/>
        <v>#REF!</v>
      </c>
      <c r="G426" s="86" t="str">
        <f t="shared" si="13"/>
        <v>#REF!</v>
      </c>
      <c r="H426" s="86" t="str">
        <f t="shared" si="14"/>
        <v>#REF!</v>
      </c>
      <c r="I426" s="86" t="str">
        <f t="shared" si="15"/>
        <v>#REF!</v>
      </c>
    </row>
    <row r="427">
      <c r="B427" s="86" t="str">
        <f t="shared" si="1"/>
        <v>#REF!</v>
      </c>
      <c r="C427" s="86" t="str">
        <f t="shared" si="9"/>
        <v>#REF!</v>
      </c>
      <c r="D427" s="86" t="str">
        <f t="shared" si="10"/>
        <v>#REF!</v>
      </c>
      <c r="E427" s="86" t="str">
        <f t="shared" si="11"/>
        <v>#REF!</v>
      </c>
      <c r="F427" s="86" t="str">
        <f t="shared" si="12"/>
        <v>#REF!</v>
      </c>
      <c r="G427" s="86" t="str">
        <f t="shared" si="13"/>
        <v>#REF!</v>
      </c>
      <c r="H427" s="86" t="str">
        <f t="shared" si="14"/>
        <v>#REF!</v>
      </c>
      <c r="I427" s="86" t="str">
        <f t="shared" si="15"/>
        <v>#REF!</v>
      </c>
    </row>
    <row r="428">
      <c r="B428" s="86" t="str">
        <f t="shared" si="1"/>
        <v>#REF!</v>
      </c>
      <c r="C428" s="86" t="str">
        <f t="shared" si="9"/>
        <v>#REF!</v>
      </c>
      <c r="D428" s="86" t="str">
        <f t="shared" si="10"/>
        <v>#REF!</v>
      </c>
      <c r="E428" s="86" t="str">
        <f t="shared" si="11"/>
        <v>#REF!</v>
      </c>
      <c r="F428" s="86" t="str">
        <f t="shared" si="12"/>
        <v>#REF!</v>
      </c>
      <c r="G428" s="86" t="str">
        <f t="shared" si="13"/>
        <v>#REF!</v>
      </c>
      <c r="H428" s="86" t="str">
        <f t="shared" si="14"/>
        <v>#REF!</v>
      </c>
      <c r="I428" s="86" t="str">
        <f t="shared" si="15"/>
        <v>#REF!</v>
      </c>
    </row>
    <row r="429">
      <c r="B429" s="86" t="str">
        <f t="shared" si="1"/>
        <v>#REF!</v>
      </c>
      <c r="C429" s="86" t="str">
        <f t="shared" si="9"/>
        <v>#REF!</v>
      </c>
      <c r="D429" s="86" t="str">
        <f t="shared" si="10"/>
        <v>#REF!</v>
      </c>
      <c r="E429" s="86" t="str">
        <f t="shared" si="11"/>
        <v>#REF!</v>
      </c>
      <c r="F429" s="86" t="str">
        <f t="shared" si="12"/>
        <v>#REF!</v>
      </c>
      <c r="G429" s="86" t="str">
        <f t="shared" si="13"/>
        <v>#REF!</v>
      </c>
      <c r="H429" s="86" t="str">
        <f t="shared" si="14"/>
        <v>#REF!</v>
      </c>
      <c r="I429" s="86" t="str">
        <f t="shared" si="15"/>
        <v>#REF!</v>
      </c>
    </row>
    <row r="430">
      <c r="B430" s="86" t="str">
        <f t="shared" si="1"/>
        <v>#REF!</v>
      </c>
      <c r="C430" s="86" t="str">
        <f t="shared" si="9"/>
        <v>#REF!</v>
      </c>
      <c r="D430" s="86" t="str">
        <f t="shared" si="10"/>
        <v>#REF!</v>
      </c>
      <c r="E430" s="86" t="str">
        <f t="shared" si="11"/>
        <v>#REF!</v>
      </c>
      <c r="F430" s="86" t="str">
        <f t="shared" si="12"/>
        <v>#REF!</v>
      </c>
      <c r="G430" s="86" t="str">
        <f t="shared" si="13"/>
        <v>#REF!</v>
      </c>
      <c r="H430" s="86" t="str">
        <f t="shared" si="14"/>
        <v>#REF!</v>
      </c>
      <c r="I430" s="86" t="str">
        <f t="shared" si="15"/>
        <v>#REF!</v>
      </c>
    </row>
    <row r="431">
      <c r="B431" s="86" t="str">
        <f t="shared" si="1"/>
        <v>#REF!</v>
      </c>
      <c r="C431" s="86" t="str">
        <f t="shared" si="9"/>
        <v>#REF!</v>
      </c>
      <c r="D431" s="86" t="str">
        <f t="shared" si="10"/>
        <v>#REF!</v>
      </c>
      <c r="E431" s="86" t="str">
        <f t="shared" si="11"/>
        <v>#REF!</v>
      </c>
      <c r="F431" s="86" t="str">
        <f t="shared" si="12"/>
        <v>#REF!</v>
      </c>
      <c r="G431" s="86" t="str">
        <f t="shared" si="13"/>
        <v>#REF!</v>
      </c>
      <c r="H431" s="86" t="str">
        <f t="shared" si="14"/>
        <v>#REF!</v>
      </c>
      <c r="I431" s="86" t="str">
        <f t="shared" si="15"/>
        <v>#REF!</v>
      </c>
    </row>
    <row r="432">
      <c r="B432" s="86" t="str">
        <f t="shared" si="1"/>
        <v>#REF!</v>
      </c>
      <c r="C432" s="86" t="str">
        <f t="shared" si="9"/>
        <v>#REF!</v>
      </c>
      <c r="D432" s="86" t="str">
        <f t="shared" si="10"/>
        <v>#REF!</v>
      </c>
      <c r="E432" s="86" t="str">
        <f t="shared" si="11"/>
        <v>#REF!</v>
      </c>
      <c r="F432" s="86" t="str">
        <f t="shared" si="12"/>
        <v>#REF!</v>
      </c>
      <c r="G432" s="86" t="str">
        <f t="shared" si="13"/>
        <v>#REF!</v>
      </c>
      <c r="H432" s="86" t="str">
        <f t="shared" si="14"/>
        <v>#REF!</v>
      </c>
      <c r="I432" s="86" t="str">
        <f t="shared" si="15"/>
        <v>#REF!</v>
      </c>
    </row>
    <row r="433">
      <c r="B433" s="86" t="str">
        <f t="shared" si="1"/>
        <v>#REF!</v>
      </c>
      <c r="C433" s="86" t="str">
        <f t="shared" si="9"/>
        <v>#REF!</v>
      </c>
      <c r="D433" s="86" t="str">
        <f t="shared" si="10"/>
        <v>#REF!</v>
      </c>
      <c r="E433" s="86" t="str">
        <f t="shared" si="11"/>
        <v>#REF!</v>
      </c>
      <c r="F433" s="86" t="str">
        <f t="shared" si="12"/>
        <v>#REF!</v>
      </c>
      <c r="G433" s="86" t="str">
        <f t="shared" si="13"/>
        <v>#REF!</v>
      </c>
      <c r="H433" s="86" t="str">
        <f t="shared" si="14"/>
        <v>#REF!</v>
      </c>
      <c r="I433" s="86" t="str">
        <f t="shared" si="15"/>
        <v>#REF!</v>
      </c>
    </row>
    <row r="434">
      <c r="B434" s="86" t="str">
        <f t="shared" si="1"/>
        <v>#REF!</v>
      </c>
      <c r="C434" s="86" t="str">
        <f t="shared" si="9"/>
        <v>#REF!</v>
      </c>
      <c r="D434" s="86" t="str">
        <f t="shared" si="10"/>
        <v>#REF!</v>
      </c>
      <c r="E434" s="86" t="str">
        <f t="shared" si="11"/>
        <v>#REF!</v>
      </c>
      <c r="F434" s="86" t="str">
        <f t="shared" si="12"/>
        <v>#REF!</v>
      </c>
      <c r="G434" s="86" t="str">
        <f t="shared" si="13"/>
        <v>#REF!</v>
      </c>
      <c r="H434" s="86" t="str">
        <f t="shared" si="14"/>
        <v>#REF!</v>
      </c>
      <c r="I434" s="86" t="str">
        <f t="shared" si="15"/>
        <v>#REF!</v>
      </c>
    </row>
    <row r="435">
      <c r="B435" s="86" t="str">
        <f t="shared" si="1"/>
        <v>#REF!</v>
      </c>
      <c r="C435" s="86" t="str">
        <f t="shared" si="9"/>
        <v>#REF!</v>
      </c>
      <c r="D435" s="86" t="str">
        <f t="shared" si="10"/>
        <v>#REF!</v>
      </c>
      <c r="E435" s="86" t="str">
        <f t="shared" si="11"/>
        <v>#REF!</v>
      </c>
      <c r="F435" s="86" t="str">
        <f t="shared" si="12"/>
        <v>#REF!</v>
      </c>
      <c r="G435" s="86" t="str">
        <f t="shared" si="13"/>
        <v>#REF!</v>
      </c>
      <c r="H435" s="86" t="str">
        <f t="shared" si="14"/>
        <v>#REF!</v>
      </c>
      <c r="I435" s="86" t="str">
        <f t="shared" si="15"/>
        <v>#REF!</v>
      </c>
    </row>
    <row r="436">
      <c r="B436" s="86" t="str">
        <f t="shared" si="1"/>
        <v>#REF!</v>
      </c>
      <c r="C436" s="86" t="str">
        <f t="shared" si="9"/>
        <v>#REF!</v>
      </c>
      <c r="D436" s="86" t="str">
        <f t="shared" si="10"/>
        <v>#REF!</v>
      </c>
      <c r="E436" s="86" t="str">
        <f t="shared" si="11"/>
        <v>#REF!</v>
      </c>
      <c r="F436" s="86" t="str">
        <f t="shared" si="12"/>
        <v>#REF!</v>
      </c>
      <c r="G436" s="86" t="str">
        <f t="shared" si="13"/>
        <v>#REF!</v>
      </c>
      <c r="H436" s="86" t="str">
        <f t="shared" si="14"/>
        <v>#REF!</v>
      </c>
      <c r="I436" s="86" t="str">
        <f t="shared" si="15"/>
        <v>#REF!</v>
      </c>
    </row>
    <row r="437">
      <c r="B437" s="86" t="str">
        <f t="shared" si="1"/>
        <v>#REF!</v>
      </c>
      <c r="C437" s="86" t="str">
        <f t="shared" si="9"/>
        <v>#REF!</v>
      </c>
      <c r="D437" s="86" t="str">
        <f t="shared" si="10"/>
        <v>#REF!</v>
      </c>
      <c r="E437" s="86" t="str">
        <f t="shared" si="11"/>
        <v>#REF!</v>
      </c>
      <c r="F437" s="86" t="str">
        <f t="shared" si="12"/>
        <v>#REF!</v>
      </c>
      <c r="G437" s="86" t="str">
        <f t="shared" si="13"/>
        <v>#REF!</v>
      </c>
      <c r="H437" s="86" t="str">
        <f t="shared" si="14"/>
        <v>#REF!</v>
      </c>
      <c r="I437" s="86" t="str">
        <f t="shared" si="15"/>
        <v>#REF!</v>
      </c>
    </row>
    <row r="438">
      <c r="B438" s="86" t="str">
        <f t="shared" si="1"/>
        <v>#REF!</v>
      </c>
      <c r="C438" s="86" t="str">
        <f t="shared" si="9"/>
        <v>#REF!</v>
      </c>
      <c r="D438" s="86" t="str">
        <f t="shared" si="10"/>
        <v>#REF!</v>
      </c>
      <c r="E438" s="86" t="str">
        <f t="shared" si="11"/>
        <v>#REF!</v>
      </c>
      <c r="F438" s="86" t="str">
        <f t="shared" si="12"/>
        <v>#REF!</v>
      </c>
      <c r="G438" s="86" t="str">
        <f t="shared" si="13"/>
        <v>#REF!</v>
      </c>
      <c r="H438" s="86" t="str">
        <f t="shared" si="14"/>
        <v>#REF!</v>
      </c>
      <c r="I438" s="86" t="str">
        <f t="shared" si="15"/>
        <v>#REF!</v>
      </c>
    </row>
    <row r="439">
      <c r="B439" s="86" t="str">
        <f t="shared" si="1"/>
        <v>#REF!</v>
      </c>
      <c r="C439" s="86" t="str">
        <f t="shared" si="9"/>
        <v>#REF!</v>
      </c>
      <c r="D439" s="86" t="str">
        <f t="shared" si="10"/>
        <v>#REF!</v>
      </c>
      <c r="E439" s="86" t="str">
        <f t="shared" si="11"/>
        <v>#REF!</v>
      </c>
      <c r="F439" s="86" t="str">
        <f t="shared" si="12"/>
        <v>#REF!</v>
      </c>
      <c r="G439" s="86" t="str">
        <f t="shared" si="13"/>
        <v>#REF!</v>
      </c>
      <c r="H439" s="86" t="str">
        <f t="shared" si="14"/>
        <v>#REF!</v>
      </c>
      <c r="I439" s="86" t="str">
        <f t="shared" si="15"/>
        <v>#REF!</v>
      </c>
    </row>
    <row r="440">
      <c r="B440" s="86" t="str">
        <f t="shared" si="1"/>
        <v>#REF!</v>
      </c>
      <c r="C440" s="86" t="str">
        <f t="shared" si="9"/>
        <v>#REF!</v>
      </c>
      <c r="D440" s="86" t="str">
        <f t="shared" si="10"/>
        <v>#REF!</v>
      </c>
      <c r="E440" s="86" t="str">
        <f t="shared" si="11"/>
        <v>#REF!</v>
      </c>
      <c r="F440" s="86" t="str">
        <f t="shared" si="12"/>
        <v>#REF!</v>
      </c>
      <c r="G440" s="86" t="str">
        <f t="shared" si="13"/>
        <v>#REF!</v>
      </c>
      <c r="H440" s="86" t="str">
        <f t="shared" si="14"/>
        <v>#REF!</v>
      </c>
      <c r="I440" s="86" t="str">
        <f t="shared" si="15"/>
        <v>#REF!</v>
      </c>
    </row>
    <row r="441">
      <c r="B441" s="86" t="str">
        <f t="shared" si="1"/>
        <v>#REF!</v>
      </c>
      <c r="C441" s="86" t="str">
        <f t="shared" si="9"/>
        <v>#REF!</v>
      </c>
      <c r="D441" s="86" t="str">
        <f t="shared" si="10"/>
        <v>#REF!</v>
      </c>
      <c r="E441" s="86" t="str">
        <f t="shared" si="11"/>
        <v>#REF!</v>
      </c>
      <c r="F441" s="86" t="str">
        <f t="shared" si="12"/>
        <v>#REF!</v>
      </c>
      <c r="G441" s="86" t="str">
        <f t="shared" si="13"/>
        <v>#REF!</v>
      </c>
      <c r="H441" s="86" t="str">
        <f t="shared" si="14"/>
        <v>#REF!</v>
      </c>
      <c r="I441" s="86" t="str">
        <f t="shared" si="15"/>
        <v>#REF!</v>
      </c>
    </row>
    <row r="442">
      <c r="B442" s="86" t="str">
        <f t="shared" si="1"/>
        <v>#REF!</v>
      </c>
      <c r="C442" s="86" t="str">
        <f t="shared" si="9"/>
        <v>#REF!</v>
      </c>
      <c r="D442" s="86" t="str">
        <f t="shared" si="10"/>
        <v>#REF!</v>
      </c>
      <c r="E442" s="86" t="str">
        <f t="shared" si="11"/>
        <v>#REF!</v>
      </c>
      <c r="F442" s="86" t="str">
        <f t="shared" si="12"/>
        <v>#REF!</v>
      </c>
      <c r="G442" s="86" t="str">
        <f t="shared" si="13"/>
        <v>#REF!</v>
      </c>
      <c r="H442" s="86" t="str">
        <f t="shared" si="14"/>
        <v>#REF!</v>
      </c>
      <c r="I442" s="86" t="str">
        <f t="shared" si="15"/>
        <v>#REF!</v>
      </c>
    </row>
    <row r="443">
      <c r="B443" s="86" t="str">
        <f t="shared" si="1"/>
        <v>#REF!</v>
      </c>
      <c r="C443" s="86" t="str">
        <f t="shared" si="9"/>
        <v>#REF!</v>
      </c>
      <c r="D443" s="86" t="str">
        <f t="shared" si="10"/>
        <v>#REF!</v>
      </c>
      <c r="E443" s="86" t="str">
        <f t="shared" si="11"/>
        <v>#REF!</v>
      </c>
      <c r="F443" s="86" t="str">
        <f t="shared" si="12"/>
        <v>#REF!</v>
      </c>
      <c r="G443" s="86" t="str">
        <f t="shared" si="13"/>
        <v>#REF!</v>
      </c>
      <c r="H443" s="86" t="str">
        <f t="shared" si="14"/>
        <v>#REF!</v>
      </c>
      <c r="I443" s="86" t="str">
        <f t="shared" si="15"/>
        <v>#REF!</v>
      </c>
    </row>
    <row r="444">
      <c r="B444" s="86" t="str">
        <f t="shared" si="1"/>
        <v>#REF!</v>
      </c>
      <c r="C444" s="86" t="str">
        <f t="shared" si="9"/>
        <v>#REF!</v>
      </c>
      <c r="D444" s="86" t="str">
        <f t="shared" si="10"/>
        <v>#REF!</v>
      </c>
      <c r="E444" s="86" t="str">
        <f t="shared" si="11"/>
        <v>#REF!</v>
      </c>
      <c r="F444" s="86" t="str">
        <f t="shared" si="12"/>
        <v>#REF!</v>
      </c>
      <c r="G444" s="86" t="str">
        <f t="shared" si="13"/>
        <v>#REF!</v>
      </c>
      <c r="H444" s="86" t="str">
        <f t="shared" si="14"/>
        <v>#REF!</v>
      </c>
      <c r="I444" s="86" t="str">
        <f t="shared" si="15"/>
        <v>#REF!</v>
      </c>
    </row>
    <row r="445">
      <c r="B445" s="86" t="str">
        <f t="shared" si="1"/>
        <v>#REF!</v>
      </c>
      <c r="C445" s="86" t="str">
        <f t="shared" si="9"/>
        <v>#REF!</v>
      </c>
      <c r="D445" s="86" t="str">
        <f t="shared" si="10"/>
        <v>#REF!</v>
      </c>
      <c r="E445" s="86" t="str">
        <f t="shared" si="11"/>
        <v>#REF!</v>
      </c>
      <c r="F445" s="86" t="str">
        <f t="shared" si="12"/>
        <v>#REF!</v>
      </c>
      <c r="G445" s="86" t="str">
        <f t="shared" si="13"/>
        <v>#REF!</v>
      </c>
      <c r="H445" s="86" t="str">
        <f t="shared" si="14"/>
        <v>#REF!</v>
      </c>
      <c r="I445" s="86" t="str">
        <f t="shared" si="15"/>
        <v>#REF!</v>
      </c>
    </row>
    <row r="446">
      <c r="B446" s="86" t="str">
        <f t="shared" si="1"/>
        <v>#REF!</v>
      </c>
      <c r="C446" s="86" t="str">
        <f t="shared" si="9"/>
        <v>#REF!</v>
      </c>
      <c r="D446" s="86" t="str">
        <f t="shared" si="10"/>
        <v>#REF!</v>
      </c>
      <c r="E446" s="86" t="str">
        <f t="shared" si="11"/>
        <v>#REF!</v>
      </c>
      <c r="F446" s="86" t="str">
        <f t="shared" si="12"/>
        <v>#REF!</v>
      </c>
      <c r="G446" s="86" t="str">
        <f t="shared" si="13"/>
        <v>#REF!</v>
      </c>
      <c r="H446" s="86" t="str">
        <f t="shared" si="14"/>
        <v>#REF!</v>
      </c>
      <c r="I446" s="86" t="str">
        <f t="shared" si="15"/>
        <v>#REF!</v>
      </c>
    </row>
    <row r="447">
      <c r="B447" s="86" t="str">
        <f t="shared" si="1"/>
        <v>#REF!</v>
      </c>
      <c r="C447" s="86" t="str">
        <f t="shared" si="9"/>
        <v>#REF!</v>
      </c>
      <c r="D447" s="86" t="str">
        <f t="shared" si="10"/>
        <v>#REF!</v>
      </c>
      <c r="E447" s="86" t="str">
        <f t="shared" si="11"/>
        <v>#REF!</v>
      </c>
      <c r="F447" s="86" t="str">
        <f t="shared" si="12"/>
        <v>#REF!</v>
      </c>
      <c r="G447" s="86" t="str">
        <f t="shared" si="13"/>
        <v>#REF!</v>
      </c>
      <c r="H447" s="86" t="str">
        <f t="shared" si="14"/>
        <v>#REF!</v>
      </c>
      <c r="I447" s="86" t="str">
        <f t="shared" si="15"/>
        <v>#REF!</v>
      </c>
    </row>
    <row r="448">
      <c r="B448" s="86" t="str">
        <f t="shared" si="1"/>
        <v>#REF!</v>
      </c>
      <c r="C448" s="86" t="str">
        <f t="shared" si="9"/>
        <v>#REF!</v>
      </c>
      <c r="D448" s="86" t="str">
        <f t="shared" si="10"/>
        <v>#REF!</v>
      </c>
      <c r="E448" s="86" t="str">
        <f t="shared" si="11"/>
        <v>#REF!</v>
      </c>
      <c r="F448" s="86" t="str">
        <f t="shared" si="12"/>
        <v>#REF!</v>
      </c>
      <c r="G448" s="86" t="str">
        <f t="shared" si="13"/>
        <v>#REF!</v>
      </c>
      <c r="H448" s="86" t="str">
        <f t="shared" si="14"/>
        <v>#REF!</v>
      </c>
      <c r="I448" s="86" t="str">
        <f t="shared" si="15"/>
        <v>#REF!</v>
      </c>
    </row>
    <row r="449">
      <c r="B449" s="86" t="str">
        <f t="shared" si="1"/>
        <v>#REF!</v>
      </c>
      <c r="C449" s="86" t="str">
        <f t="shared" si="9"/>
        <v>#REF!</v>
      </c>
      <c r="D449" s="86" t="str">
        <f t="shared" si="10"/>
        <v>#REF!</v>
      </c>
      <c r="E449" s="86" t="str">
        <f t="shared" si="11"/>
        <v>#REF!</v>
      </c>
      <c r="F449" s="86" t="str">
        <f t="shared" si="12"/>
        <v>#REF!</v>
      </c>
      <c r="G449" s="86" t="str">
        <f t="shared" si="13"/>
        <v>#REF!</v>
      </c>
      <c r="H449" s="86" t="str">
        <f t="shared" si="14"/>
        <v>#REF!</v>
      </c>
      <c r="I449" s="86" t="str">
        <f t="shared" si="15"/>
        <v>#REF!</v>
      </c>
    </row>
    <row r="450">
      <c r="B450" s="86" t="str">
        <f t="shared" si="1"/>
        <v>#REF!</v>
      </c>
      <c r="C450" s="86" t="str">
        <f t="shared" si="9"/>
        <v>#REF!</v>
      </c>
      <c r="D450" s="86" t="str">
        <f t="shared" si="10"/>
        <v>#REF!</v>
      </c>
      <c r="E450" s="86" t="str">
        <f t="shared" si="11"/>
        <v>#REF!</v>
      </c>
      <c r="F450" s="86" t="str">
        <f t="shared" si="12"/>
        <v>#REF!</v>
      </c>
      <c r="G450" s="86" t="str">
        <f t="shared" si="13"/>
        <v>#REF!</v>
      </c>
      <c r="H450" s="86" t="str">
        <f t="shared" si="14"/>
        <v>#REF!</v>
      </c>
      <c r="I450" s="86" t="str">
        <f t="shared" si="15"/>
        <v>#REF!</v>
      </c>
    </row>
    <row r="451">
      <c r="B451" s="86" t="str">
        <f t="shared" si="1"/>
        <v>#REF!</v>
      </c>
      <c r="C451" s="86" t="str">
        <f t="shared" si="9"/>
        <v>#REF!</v>
      </c>
      <c r="D451" s="86" t="str">
        <f t="shared" si="10"/>
        <v>#REF!</v>
      </c>
      <c r="E451" s="86" t="str">
        <f t="shared" si="11"/>
        <v>#REF!</v>
      </c>
      <c r="F451" s="86" t="str">
        <f t="shared" si="12"/>
        <v>#REF!</v>
      </c>
      <c r="G451" s="86" t="str">
        <f t="shared" si="13"/>
        <v>#REF!</v>
      </c>
      <c r="H451" s="86" t="str">
        <f t="shared" si="14"/>
        <v>#REF!</v>
      </c>
      <c r="I451" s="86" t="str">
        <f t="shared" si="15"/>
        <v>#REF!</v>
      </c>
    </row>
    <row r="452">
      <c r="B452" s="86" t="str">
        <f t="shared" si="1"/>
        <v>#REF!</v>
      </c>
      <c r="C452" s="86" t="str">
        <f t="shared" si="9"/>
        <v>#REF!</v>
      </c>
      <c r="D452" s="86" t="str">
        <f t="shared" si="10"/>
        <v>#REF!</v>
      </c>
      <c r="E452" s="86" t="str">
        <f t="shared" si="11"/>
        <v>#REF!</v>
      </c>
      <c r="F452" s="86" t="str">
        <f t="shared" si="12"/>
        <v>#REF!</v>
      </c>
      <c r="G452" s="86" t="str">
        <f t="shared" si="13"/>
        <v>#REF!</v>
      </c>
      <c r="H452" s="86" t="str">
        <f t="shared" si="14"/>
        <v>#REF!</v>
      </c>
      <c r="I452" s="86" t="str">
        <f t="shared" si="15"/>
        <v>#REF!</v>
      </c>
    </row>
    <row r="453">
      <c r="B453" s="86" t="str">
        <f t="shared" si="1"/>
        <v>#REF!</v>
      </c>
      <c r="C453" s="86" t="str">
        <f t="shared" si="9"/>
        <v>#REF!</v>
      </c>
      <c r="D453" s="86" t="str">
        <f t="shared" si="10"/>
        <v>#REF!</v>
      </c>
      <c r="E453" s="86" t="str">
        <f t="shared" si="11"/>
        <v>#REF!</v>
      </c>
      <c r="F453" s="86" t="str">
        <f t="shared" si="12"/>
        <v>#REF!</v>
      </c>
      <c r="G453" s="86" t="str">
        <f t="shared" si="13"/>
        <v>#REF!</v>
      </c>
      <c r="H453" s="86" t="str">
        <f t="shared" si="14"/>
        <v>#REF!</v>
      </c>
      <c r="I453" s="86" t="str">
        <f t="shared" si="15"/>
        <v>#REF!</v>
      </c>
    </row>
    <row r="454">
      <c r="B454" s="86" t="str">
        <f t="shared" si="1"/>
        <v>#REF!</v>
      </c>
      <c r="C454" s="86" t="str">
        <f t="shared" si="9"/>
        <v>#REF!</v>
      </c>
      <c r="D454" s="86" t="str">
        <f t="shared" si="10"/>
        <v>#REF!</v>
      </c>
      <c r="E454" s="86" t="str">
        <f t="shared" si="11"/>
        <v>#REF!</v>
      </c>
      <c r="F454" s="86" t="str">
        <f t="shared" si="12"/>
        <v>#REF!</v>
      </c>
      <c r="G454" s="86" t="str">
        <f t="shared" si="13"/>
        <v>#REF!</v>
      </c>
      <c r="H454" s="86" t="str">
        <f t="shared" si="14"/>
        <v>#REF!</v>
      </c>
      <c r="I454" s="86" t="str">
        <f t="shared" si="15"/>
        <v>#REF!</v>
      </c>
    </row>
    <row r="455">
      <c r="B455" s="86" t="str">
        <f t="shared" si="1"/>
        <v>#REF!</v>
      </c>
      <c r="C455" s="86" t="str">
        <f t="shared" si="9"/>
        <v>#REF!</v>
      </c>
      <c r="D455" s="86" t="str">
        <f t="shared" si="10"/>
        <v>#REF!</v>
      </c>
      <c r="E455" s="86" t="str">
        <f t="shared" si="11"/>
        <v>#REF!</v>
      </c>
      <c r="F455" s="86" t="str">
        <f t="shared" si="12"/>
        <v>#REF!</v>
      </c>
      <c r="G455" s="86" t="str">
        <f t="shared" si="13"/>
        <v>#REF!</v>
      </c>
      <c r="H455" s="86" t="str">
        <f t="shared" si="14"/>
        <v>#REF!</v>
      </c>
      <c r="I455" s="86" t="str">
        <f t="shared" si="15"/>
        <v>#REF!</v>
      </c>
    </row>
    <row r="456">
      <c r="B456" s="86" t="str">
        <f t="shared" si="1"/>
        <v>#REF!</v>
      </c>
      <c r="C456" s="86" t="str">
        <f t="shared" si="9"/>
        <v>#REF!</v>
      </c>
      <c r="D456" s="86" t="str">
        <f t="shared" si="10"/>
        <v>#REF!</v>
      </c>
      <c r="E456" s="86" t="str">
        <f t="shared" si="11"/>
        <v>#REF!</v>
      </c>
      <c r="F456" s="86" t="str">
        <f t="shared" si="12"/>
        <v>#REF!</v>
      </c>
      <c r="G456" s="86" t="str">
        <f t="shared" si="13"/>
        <v>#REF!</v>
      </c>
      <c r="H456" s="86" t="str">
        <f t="shared" si="14"/>
        <v>#REF!</v>
      </c>
      <c r="I456" s="86" t="str">
        <f t="shared" si="15"/>
        <v>#REF!</v>
      </c>
    </row>
    <row r="457">
      <c r="B457" s="86" t="str">
        <f t="shared" si="1"/>
        <v>#REF!</v>
      </c>
      <c r="C457" s="86" t="str">
        <f t="shared" si="9"/>
        <v>#REF!</v>
      </c>
      <c r="D457" s="86" t="str">
        <f t="shared" si="10"/>
        <v>#REF!</v>
      </c>
      <c r="E457" s="86" t="str">
        <f t="shared" si="11"/>
        <v>#REF!</v>
      </c>
      <c r="F457" s="86" t="str">
        <f t="shared" si="12"/>
        <v>#REF!</v>
      </c>
      <c r="G457" s="86" t="str">
        <f t="shared" si="13"/>
        <v>#REF!</v>
      </c>
      <c r="H457" s="86" t="str">
        <f t="shared" si="14"/>
        <v>#REF!</v>
      </c>
      <c r="I457" s="86" t="str">
        <f t="shared" si="15"/>
        <v>#REF!</v>
      </c>
    </row>
    <row r="458">
      <c r="B458" s="86" t="str">
        <f t="shared" si="1"/>
        <v>#REF!</v>
      </c>
      <c r="C458" s="86" t="str">
        <f t="shared" si="9"/>
        <v>#REF!</v>
      </c>
      <c r="D458" s="86" t="str">
        <f t="shared" si="10"/>
        <v>#REF!</v>
      </c>
      <c r="E458" s="86" t="str">
        <f t="shared" si="11"/>
        <v>#REF!</v>
      </c>
      <c r="F458" s="86" t="str">
        <f t="shared" si="12"/>
        <v>#REF!</v>
      </c>
      <c r="G458" s="86" t="str">
        <f t="shared" si="13"/>
        <v>#REF!</v>
      </c>
      <c r="H458" s="86" t="str">
        <f t="shared" si="14"/>
        <v>#REF!</v>
      </c>
      <c r="I458" s="86" t="str">
        <f t="shared" si="15"/>
        <v>#REF!</v>
      </c>
    </row>
    <row r="459">
      <c r="B459" s="86" t="str">
        <f t="shared" si="1"/>
        <v>#REF!</v>
      </c>
      <c r="C459" s="86" t="str">
        <f t="shared" si="9"/>
        <v>#REF!</v>
      </c>
      <c r="D459" s="86" t="str">
        <f t="shared" si="10"/>
        <v>#REF!</v>
      </c>
      <c r="E459" s="86" t="str">
        <f t="shared" si="11"/>
        <v>#REF!</v>
      </c>
      <c r="F459" s="86" t="str">
        <f t="shared" si="12"/>
        <v>#REF!</v>
      </c>
      <c r="G459" s="86" t="str">
        <f t="shared" si="13"/>
        <v>#REF!</v>
      </c>
      <c r="H459" s="86" t="str">
        <f t="shared" si="14"/>
        <v>#REF!</v>
      </c>
      <c r="I459" s="86" t="str">
        <f t="shared" si="15"/>
        <v>#REF!</v>
      </c>
    </row>
    <row r="460">
      <c r="B460" s="86" t="str">
        <f t="shared" si="1"/>
        <v>#REF!</v>
      </c>
      <c r="C460" s="86" t="str">
        <f t="shared" si="9"/>
        <v>#REF!</v>
      </c>
      <c r="D460" s="86" t="str">
        <f t="shared" si="10"/>
        <v>#REF!</v>
      </c>
      <c r="E460" s="86" t="str">
        <f t="shared" si="11"/>
        <v>#REF!</v>
      </c>
      <c r="F460" s="86" t="str">
        <f t="shared" si="12"/>
        <v>#REF!</v>
      </c>
      <c r="G460" s="86" t="str">
        <f t="shared" si="13"/>
        <v>#REF!</v>
      </c>
      <c r="H460" s="86" t="str">
        <f t="shared" si="14"/>
        <v>#REF!</v>
      </c>
      <c r="I460" s="86" t="str">
        <f t="shared" si="15"/>
        <v>#REF!</v>
      </c>
    </row>
    <row r="461">
      <c r="B461" s="86" t="str">
        <f t="shared" si="1"/>
        <v>#REF!</v>
      </c>
      <c r="C461" s="86" t="str">
        <f t="shared" si="9"/>
        <v>#REF!</v>
      </c>
      <c r="D461" s="86" t="str">
        <f t="shared" si="10"/>
        <v>#REF!</v>
      </c>
      <c r="E461" s="86" t="str">
        <f t="shared" si="11"/>
        <v>#REF!</v>
      </c>
      <c r="F461" s="86" t="str">
        <f t="shared" si="12"/>
        <v>#REF!</v>
      </c>
      <c r="G461" s="86" t="str">
        <f t="shared" si="13"/>
        <v>#REF!</v>
      </c>
      <c r="H461" s="86" t="str">
        <f t="shared" si="14"/>
        <v>#REF!</v>
      </c>
      <c r="I461" s="86" t="str">
        <f t="shared" si="15"/>
        <v>#REF!</v>
      </c>
    </row>
    <row r="462">
      <c r="B462" s="86" t="str">
        <f t="shared" si="1"/>
        <v>#REF!</v>
      </c>
      <c r="C462" s="86" t="str">
        <f t="shared" si="9"/>
        <v>#REF!</v>
      </c>
      <c r="D462" s="86" t="str">
        <f t="shared" si="10"/>
        <v>#REF!</v>
      </c>
      <c r="E462" s="86" t="str">
        <f t="shared" si="11"/>
        <v>#REF!</v>
      </c>
      <c r="F462" s="86" t="str">
        <f t="shared" si="12"/>
        <v>#REF!</v>
      </c>
      <c r="G462" s="86" t="str">
        <f t="shared" si="13"/>
        <v>#REF!</v>
      </c>
      <c r="H462" s="86" t="str">
        <f t="shared" si="14"/>
        <v>#REF!</v>
      </c>
      <c r="I462" s="86" t="str">
        <f t="shared" si="15"/>
        <v>#REF!</v>
      </c>
    </row>
    <row r="463">
      <c r="B463" s="86" t="str">
        <f t="shared" si="1"/>
        <v>#REF!</v>
      </c>
      <c r="C463" s="86" t="str">
        <f t="shared" si="9"/>
        <v>#REF!</v>
      </c>
      <c r="D463" s="86" t="str">
        <f t="shared" si="10"/>
        <v>#REF!</v>
      </c>
      <c r="E463" s="86" t="str">
        <f t="shared" si="11"/>
        <v>#REF!</v>
      </c>
      <c r="F463" s="86" t="str">
        <f t="shared" si="12"/>
        <v>#REF!</v>
      </c>
      <c r="G463" s="86" t="str">
        <f t="shared" si="13"/>
        <v>#REF!</v>
      </c>
      <c r="H463" s="86" t="str">
        <f t="shared" si="14"/>
        <v>#REF!</v>
      </c>
      <c r="I463" s="86" t="str">
        <f t="shared" si="15"/>
        <v>#REF!</v>
      </c>
    </row>
    <row r="464">
      <c r="B464" s="86" t="str">
        <f t="shared" si="1"/>
        <v>#REF!</v>
      </c>
      <c r="C464" s="86" t="str">
        <f t="shared" si="9"/>
        <v>#REF!</v>
      </c>
      <c r="D464" s="86" t="str">
        <f t="shared" si="10"/>
        <v>#REF!</v>
      </c>
      <c r="E464" s="86" t="str">
        <f t="shared" si="11"/>
        <v>#REF!</v>
      </c>
      <c r="F464" s="86" t="str">
        <f t="shared" si="12"/>
        <v>#REF!</v>
      </c>
      <c r="G464" s="86" t="str">
        <f t="shared" si="13"/>
        <v>#REF!</v>
      </c>
      <c r="H464" s="86" t="str">
        <f t="shared" si="14"/>
        <v>#REF!</v>
      </c>
      <c r="I464" s="86" t="str">
        <f t="shared" si="15"/>
        <v>#REF!</v>
      </c>
    </row>
    <row r="465">
      <c r="B465" s="86" t="str">
        <f t="shared" si="1"/>
        <v>#REF!</v>
      </c>
      <c r="C465" s="86" t="str">
        <f t="shared" si="9"/>
        <v>#REF!</v>
      </c>
      <c r="D465" s="86" t="str">
        <f t="shared" si="10"/>
        <v>#REF!</v>
      </c>
      <c r="E465" s="86" t="str">
        <f t="shared" si="11"/>
        <v>#REF!</v>
      </c>
      <c r="F465" s="86" t="str">
        <f t="shared" si="12"/>
        <v>#REF!</v>
      </c>
      <c r="G465" s="86" t="str">
        <f t="shared" si="13"/>
        <v>#REF!</v>
      </c>
      <c r="H465" s="86" t="str">
        <f t="shared" si="14"/>
        <v>#REF!</v>
      </c>
      <c r="I465" s="86" t="str">
        <f t="shared" si="15"/>
        <v>#REF!</v>
      </c>
    </row>
    <row r="466">
      <c r="B466" s="86" t="str">
        <f t="shared" si="1"/>
        <v>#REF!</v>
      </c>
      <c r="C466" s="86" t="str">
        <f t="shared" si="9"/>
        <v>#REF!</v>
      </c>
      <c r="D466" s="86" t="str">
        <f t="shared" si="10"/>
        <v>#REF!</v>
      </c>
      <c r="E466" s="86" t="str">
        <f t="shared" si="11"/>
        <v>#REF!</v>
      </c>
      <c r="F466" s="86" t="str">
        <f t="shared" si="12"/>
        <v>#REF!</v>
      </c>
      <c r="G466" s="86" t="str">
        <f t="shared" si="13"/>
        <v>#REF!</v>
      </c>
      <c r="H466" s="86" t="str">
        <f t="shared" si="14"/>
        <v>#REF!</v>
      </c>
      <c r="I466" s="86" t="str">
        <f t="shared" si="15"/>
        <v>#REF!</v>
      </c>
    </row>
    <row r="467">
      <c r="B467" s="86" t="str">
        <f t="shared" si="1"/>
        <v>#REF!</v>
      </c>
      <c r="C467" s="86" t="str">
        <f t="shared" si="9"/>
        <v>#REF!</v>
      </c>
      <c r="D467" s="86" t="str">
        <f t="shared" si="10"/>
        <v>#REF!</v>
      </c>
      <c r="E467" s="86" t="str">
        <f t="shared" si="11"/>
        <v>#REF!</v>
      </c>
      <c r="F467" s="86" t="str">
        <f t="shared" si="12"/>
        <v>#REF!</v>
      </c>
      <c r="G467" s="86" t="str">
        <f t="shared" si="13"/>
        <v>#REF!</v>
      </c>
      <c r="H467" s="86" t="str">
        <f t="shared" si="14"/>
        <v>#REF!</v>
      </c>
      <c r="I467" s="86" t="str">
        <f t="shared" si="15"/>
        <v>#REF!</v>
      </c>
    </row>
    <row r="468">
      <c r="B468" s="86" t="str">
        <f t="shared" si="1"/>
        <v>#REF!</v>
      </c>
      <c r="C468" s="86" t="str">
        <f t="shared" si="9"/>
        <v>#REF!</v>
      </c>
      <c r="D468" s="86" t="str">
        <f t="shared" si="10"/>
        <v>#REF!</v>
      </c>
      <c r="E468" s="86" t="str">
        <f t="shared" si="11"/>
        <v>#REF!</v>
      </c>
      <c r="F468" s="86" t="str">
        <f t="shared" si="12"/>
        <v>#REF!</v>
      </c>
      <c r="G468" s="86" t="str">
        <f t="shared" si="13"/>
        <v>#REF!</v>
      </c>
      <c r="H468" s="86" t="str">
        <f t="shared" si="14"/>
        <v>#REF!</v>
      </c>
      <c r="I468" s="86" t="str">
        <f t="shared" si="15"/>
        <v>#REF!</v>
      </c>
    </row>
    <row r="469">
      <c r="B469" s="86" t="str">
        <f t="shared" si="1"/>
        <v>#REF!</v>
      </c>
      <c r="C469" s="86" t="str">
        <f t="shared" si="9"/>
        <v>#REF!</v>
      </c>
      <c r="D469" s="86" t="str">
        <f t="shared" si="10"/>
        <v>#REF!</v>
      </c>
      <c r="E469" s="86" t="str">
        <f t="shared" si="11"/>
        <v>#REF!</v>
      </c>
      <c r="F469" s="86" t="str">
        <f t="shared" si="12"/>
        <v>#REF!</v>
      </c>
      <c r="G469" s="86" t="str">
        <f t="shared" si="13"/>
        <v>#REF!</v>
      </c>
      <c r="H469" s="86" t="str">
        <f t="shared" si="14"/>
        <v>#REF!</v>
      </c>
      <c r="I469" s="86" t="str">
        <f t="shared" si="15"/>
        <v>#REF!</v>
      </c>
    </row>
    <row r="470">
      <c r="B470" s="86" t="str">
        <f t="shared" si="1"/>
        <v>#REF!</v>
      </c>
      <c r="C470" s="86" t="str">
        <f t="shared" si="9"/>
        <v>#REF!</v>
      </c>
      <c r="D470" s="86" t="str">
        <f t="shared" si="10"/>
        <v>#REF!</v>
      </c>
      <c r="E470" s="86" t="str">
        <f t="shared" si="11"/>
        <v>#REF!</v>
      </c>
      <c r="F470" s="86" t="str">
        <f t="shared" si="12"/>
        <v>#REF!</v>
      </c>
      <c r="G470" s="86" t="str">
        <f t="shared" si="13"/>
        <v>#REF!</v>
      </c>
      <c r="H470" s="86" t="str">
        <f t="shared" si="14"/>
        <v>#REF!</v>
      </c>
      <c r="I470" s="86" t="str">
        <f t="shared" si="15"/>
        <v>#REF!</v>
      </c>
    </row>
    <row r="471">
      <c r="B471" s="86" t="str">
        <f t="shared" si="1"/>
        <v>#REF!</v>
      </c>
      <c r="C471" s="86" t="str">
        <f t="shared" si="9"/>
        <v>#REF!</v>
      </c>
      <c r="D471" s="86" t="str">
        <f t="shared" si="10"/>
        <v>#REF!</v>
      </c>
      <c r="E471" s="86" t="str">
        <f t="shared" si="11"/>
        <v>#REF!</v>
      </c>
      <c r="F471" s="86" t="str">
        <f t="shared" si="12"/>
        <v>#REF!</v>
      </c>
      <c r="G471" s="86" t="str">
        <f t="shared" si="13"/>
        <v>#REF!</v>
      </c>
      <c r="H471" s="86" t="str">
        <f t="shared" si="14"/>
        <v>#REF!</v>
      </c>
      <c r="I471" s="86" t="str">
        <f t="shared" si="15"/>
        <v>#REF!</v>
      </c>
    </row>
    <row r="472">
      <c r="B472" s="86" t="str">
        <f t="shared" si="1"/>
        <v>#REF!</v>
      </c>
      <c r="C472" s="86" t="str">
        <f t="shared" si="9"/>
        <v>#REF!</v>
      </c>
      <c r="D472" s="86" t="str">
        <f t="shared" si="10"/>
        <v>#REF!</v>
      </c>
      <c r="E472" s="86" t="str">
        <f t="shared" si="11"/>
        <v>#REF!</v>
      </c>
      <c r="F472" s="86" t="str">
        <f t="shared" si="12"/>
        <v>#REF!</v>
      </c>
      <c r="G472" s="86" t="str">
        <f t="shared" si="13"/>
        <v>#REF!</v>
      </c>
      <c r="H472" s="86" t="str">
        <f t="shared" si="14"/>
        <v>#REF!</v>
      </c>
      <c r="I472" s="86" t="str">
        <f t="shared" si="15"/>
        <v>#REF!</v>
      </c>
    </row>
    <row r="473">
      <c r="B473" s="86" t="str">
        <f t="shared" si="1"/>
        <v>#REF!</v>
      </c>
      <c r="C473" s="86" t="str">
        <f t="shared" si="9"/>
        <v>#REF!</v>
      </c>
      <c r="D473" s="86" t="str">
        <f t="shared" si="10"/>
        <v>#REF!</v>
      </c>
      <c r="E473" s="86" t="str">
        <f t="shared" si="11"/>
        <v>#REF!</v>
      </c>
      <c r="F473" s="86" t="str">
        <f t="shared" si="12"/>
        <v>#REF!</v>
      </c>
      <c r="G473" s="86" t="str">
        <f t="shared" si="13"/>
        <v>#REF!</v>
      </c>
      <c r="H473" s="86" t="str">
        <f t="shared" si="14"/>
        <v>#REF!</v>
      </c>
      <c r="I473" s="86" t="str">
        <f t="shared" si="15"/>
        <v>#REF!</v>
      </c>
    </row>
    <row r="474">
      <c r="B474" s="86" t="str">
        <f t="shared" si="1"/>
        <v>#REF!</v>
      </c>
      <c r="C474" s="86" t="str">
        <f t="shared" si="9"/>
        <v>#REF!</v>
      </c>
      <c r="D474" s="86" t="str">
        <f t="shared" si="10"/>
        <v>#REF!</v>
      </c>
      <c r="E474" s="86" t="str">
        <f t="shared" si="11"/>
        <v>#REF!</v>
      </c>
      <c r="F474" s="86" t="str">
        <f t="shared" si="12"/>
        <v>#REF!</v>
      </c>
      <c r="G474" s="86" t="str">
        <f t="shared" si="13"/>
        <v>#REF!</v>
      </c>
      <c r="H474" s="86" t="str">
        <f t="shared" si="14"/>
        <v>#REF!</v>
      </c>
      <c r="I474" s="86" t="str">
        <f t="shared" si="15"/>
        <v>#REF!</v>
      </c>
    </row>
    <row r="475">
      <c r="B475" s="86" t="str">
        <f t="shared" si="1"/>
        <v>#REF!</v>
      </c>
      <c r="C475" s="86" t="str">
        <f t="shared" si="9"/>
        <v>#REF!</v>
      </c>
      <c r="D475" s="86" t="str">
        <f t="shared" si="10"/>
        <v>#REF!</v>
      </c>
      <c r="E475" s="86" t="str">
        <f t="shared" si="11"/>
        <v>#REF!</v>
      </c>
      <c r="F475" s="86" t="str">
        <f t="shared" si="12"/>
        <v>#REF!</v>
      </c>
      <c r="G475" s="86" t="str">
        <f t="shared" si="13"/>
        <v>#REF!</v>
      </c>
      <c r="H475" s="86" t="str">
        <f t="shared" si="14"/>
        <v>#REF!</v>
      </c>
      <c r="I475" s="86" t="str">
        <f t="shared" si="15"/>
        <v>#REF!</v>
      </c>
    </row>
    <row r="476">
      <c r="B476" s="86" t="str">
        <f t="shared" si="1"/>
        <v>#REF!</v>
      </c>
      <c r="C476" s="86" t="str">
        <f t="shared" si="9"/>
        <v>#REF!</v>
      </c>
      <c r="D476" s="86" t="str">
        <f t="shared" si="10"/>
        <v>#REF!</v>
      </c>
      <c r="E476" s="86" t="str">
        <f t="shared" si="11"/>
        <v>#REF!</v>
      </c>
      <c r="F476" s="86" t="str">
        <f t="shared" si="12"/>
        <v>#REF!</v>
      </c>
      <c r="G476" s="86" t="str">
        <f t="shared" si="13"/>
        <v>#REF!</v>
      </c>
      <c r="H476" s="86" t="str">
        <f t="shared" si="14"/>
        <v>#REF!</v>
      </c>
      <c r="I476" s="86" t="str">
        <f t="shared" si="15"/>
        <v>#REF!</v>
      </c>
    </row>
    <row r="477">
      <c r="B477" s="86" t="str">
        <f t="shared" si="1"/>
        <v>#REF!</v>
      </c>
      <c r="C477" s="86" t="str">
        <f t="shared" si="9"/>
        <v>#REF!</v>
      </c>
      <c r="D477" s="86" t="str">
        <f t="shared" si="10"/>
        <v>#REF!</v>
      </c>
      <c r="E477" s="86" t="str">
        <f t="shared" si="11"/>
        <v>#REF!</v>
      </c>
      <c r="F477" s="86" t="str">
        <f t="shared" si="12"/>
        <v>#REF!</v>
      </c>
      <c r="G477" s="86" t="str">
        <f t="shared" si="13"/>
        <v>#REF!</v>
      </c>
      <c r="H477" s="86" t="str">
        <f t="shared" si="14"/>
        <v>#REF!</v>
      </c>
      <c r="I477" s="86" t="str">
        <f t="shared" si="15"/>
        <v>#REF!</v>
      </c>
    </row>
    <row r="478">
      <c r="B478" s="86" t="str">
        <f t="shared" si="1"/>
        <v>#REF!</v>
      </c>
      <c r="C478" s="86" t="str">
        <f t="shared" si="9"/>
        <v>#REF!</v>
      </c>
      <c r="D478" s="86" t="str">
        <f t="shared" si="10"/>
        <v>#REF!</v>
      </c>
      <c r="E478" s="86" t="str">
        <f t="shared" si="11"/>
        <v>#REF!</v>
      </c>
      <c r="F478" s="86" t="str">
        <f t="shared" si="12"/>
        <v>#REF!</v>
      </c>
      <c r="G478" s="86" t="str">
        <f t="shared" si="13"/>
        <v>#REF!</v>
      </c>
      <c r="H478" s="86" t="str">
        <f t="shared" si="14"/>
        <v>#REF!</v>
      </c>
      <c r="I478" s="86" t="str">
        <f t="shared" si="15"/>
        <v>#REF!</v>
      </c>
    </row>
    <row r="479">
      <c r="B479" s="86" t="str">
        <f t="shared" si="1"/>
        <v>#REF!</v>
      </c>
      <c r="C479" s="86" t="str">
        <f t="shared" si="9"/>
        <v>#REF!</v>
      </c>
      <c r="D479" s="86" t="str">
        <f t="shared" si="10"/>
        <v>#REF!</v>
      </c>
      <c r="E479" s="86" t="str">
        <f t="shared" si="11"/>
        <v>#REF!</v>
      </c>
      <c r="F479" s="86" t="str">
        <f t="shared" si="12"/>
        <v>#REF!</v>
      </c>
      <c r="G479" s="86" t="str">
        <f t="shared" si="13"/>
        <v>#REF!</v>
      </c>
      <c r="H479" s="86" t="str">
        <f t="shared" si="14"/>
        <v>#REF!</v>
      </c>
      <c r="I479" s="86" t="str">
        <f t="shared" si="15"/>
        <v>#REF!</v>
      </c>
    </row>
    <row r="480">
      <c r="B480" s="86" t="str">
        <f t="shared" si="1"/>
        <v>#REF!</v>
      </c>
      <c r="C480" s="86" t="str">
        <f t="shared" si="9"/>
        <v>#REF!</v>
      </c>
      <c r="D480" s="86" t="str">
        <f t="shared" si="10"/>
        <v>#REF!</v>
      </c>
      <c r="E480" s="86" t="str">
        <f t="shared" si="11"/>
        <v>#REF!</v>
      </c>
      <c r="F480" s="86" t="str">
        <f t="shared" si="12"/>
        <v>#REF!</v>
      </c>
      <c r="G480" s="86" t="str">
        <f t="shared" si="13"/>
        <v>#REF!</v>
      </c>
      <c r="H480" s="86" t="str">
        <f t="shared" si="14"/>
        <v>#REF!</v>
      </c>
      <c r="I480" s="86" t="str">
        <f t="shared" si="15"/>
        <v>#REF!</v>
      </c>
    </row>
    <row r="481">
      <c r="B481" s="86" t="str">
        <f t="shared" si="1"/>
        <v>#REF!</v>
      </c>
      <c r="C481" s="86" t="str">
        <f t="shared" si="9"/>
        <v>#REF!</v>
      </c>
      <c r="D481" s="86" t="str">
        <f t="shared" si="10"/>
        <v>#REF!</v>
      </c>
      <c r="E481" s="86" t="str">
        <f t="shared" si="11"/>
        <v>#REF!</v>
      </c>
      <c r="F481" s="86" t="str">
        <f t="shared" si="12"/>
        <v>#REF!</v>
      </c>
      <c r="G481" s="86" t="str">
        <f t="shared" si="13"/>
        <v>#REF!</v>
      </c>
      <c r="H481" s="86" t="str">
        <f t="shared" si="14"/>
        <v>#REF!</v>
      </c>
      <c r="I481" s="86" t="str">
        <f t="shared" si="15"/>
        <v>#REF!</v>
      </c>
    </row>
    <row r="482">
      <c r="B482" s="86" t="str">
        <f t="shared" si="1"/>
        <v>#REF!</v>
      </c>
      <c r="C482" s="86" t="str">
        <f t="shared" si="9"/>
        <v>#REF!</v>
      </c>
      <c r="D482" s="86" t="str">
        <f t="shared" si="10"/>
        <v>#REF!</v>
      </c>
      <c r="E482" s="86" t="str">
        <f t="shared" si="11"/>
        <v>#REF!</v>
      </c>
      <c r="F482" s="86" t="str">
        <f t="shared" si="12"/>
        <v>#REF!</v>
      </c>
      <c r="G482" s="86" t="str">
        <f t="shared" si="13"/>
        <v>#REF!</v>
      </c>
      <c r="H482" s="86" t="str">
        <f t="shared" si="14"/>
        <v>#REF!</v>
      </c>
      <c r="I482" s="86" t="str">
        <f t="shared" si="15"/>
        <v>#REF!</v>
      </c>
    </row>
    <row r="483">
      <c r="B483" s="86" t="str">
        <f t="shared" si="1"/>
        <v>#REF!</v>
      </c>
      <c r="C483" s="86" t="str">
        <f t="shared" si="9"/>
        <v>#REF!</v>
      </c>
      <c r="D483" s="86" t="str">
        <f t="shared" si="10"/>
        <v>#REF!</v>
      </c>
      <c r="E483" s="86" t="str">
        <f t="shared" si="11"/>
        <v>#REF!</v>
      </c>
      <c r="F483" s="86" t="str">
        <f t="shared" si="12"/>
        <v>#REF!</v>
      </c>
      <c r="G483" s="86" t="str">
        <f t="shared" si="13"/>
        <v>#REF!</v>
      </c>
      <c r="H483" s="86" t="str">
        <f t="shared" si="14"/>
        <v>#REF!</v>
      </c>
      <c r="I483" s="86" t="str">
        <f t="shared" si="15"/>
        <v>#REF!</v>
      </c>
    </row>
    <row r="484">
      <c r="B484" s="86" t="str">
        <f t="shared" si="1"/>
        <v>#REF!</v>
      </c>
      <c r="C484" s="86" t="str">
        <f t="shared" si="9"/>
        <v>#REF!</v>
      </c>
      <c r="D484" s="86" t="str">
        <f t="shared" si="10"/>
        <v>#REF!</v>
      </c>
      <c r="E484" s="86" t="str">
        <f t="shared" si="11"/>
        <v>#REF!</v>
      </c>
      <c r="F484" s="86" t="str">
        <f t="shared" si="12"/>
        <v>#REF!</v>
      </c>
      <c r="G484" s="86" t="str">
        <f t="shared" si="13"/>
        <v>#REF!</v>
      </c>
      <c r="H484" s="86" t="str">
        <f t="shared" si="14"/>
        <v>#REF!</v>
      </c>
      <c r="I484" s="86" t="str">
        <f t="shared" si="15"/>
        <v>#REF!</v>
      </c>
    </row>
    <row r="485">
      <c r="B485" s="86" t="str">
        <f t="shared" si="1"/>
        <v>#REF!</v>
      </c>
      <c r="C485" s="86" t="str">
        <f t="shared" si="9"/>
        <v>#REF!</v>
      </c>
      <c r="D485" s="86" t="str">
        <f t="shared" si="10"/>
        <v>#REF!</v>
      </c>
      <c r="E485" s="86" t="str">
        <f t="shared" si="11"/>
        <v>#REF!</v>
      </c>
      <c r="F485" s="86" t="str">
        <f t="shared" si="12"/>
        <v>#REF!</v>
      </c>
      <c r="G485" s="86" t="str">
        <f t="shared" si="13"/>
        <v>#REF!</v>
      </c>
      <c r="H485" s="86" t="str">
        <f t="shared" si="14"/>
        <v>#REF!</v>
      </c>
      <c r="I485" s="86" t="str">
        <f t="shared" si="15"/>
        <v>#REF!</v>
      </c>
    </row>
    <row r="486">
      <c r="B486" s="86" t="str">
        <f t="shared" si="1"/>
        <v>#REF!</v>
      </c>
      <c r="C486" s="86" t="str">
        <f t="shared" si="9"/>
        <v>#REF!</v>
      </c>
      <c r="D486" s="86" t="str">
        <f t="shared" si="10"/>
        <v>#REF!</v>
      </c>
      <c r="E486" s="86" t="str">
        <f t="shared" si="11"/>
        <v>#REF!</v>
      </c>
      <c r="F486" s="86" t="str">
        <f t="shared" si="12"/>
        <v>#REF!</v>
      </c>
      <c r="G486" s="86" t="str">
        <f t="shared" si="13"/>
        <v>#REF!</v>
      </c>
      <c r="H486" s="86" t="str">
        <f t="shared" si="14"/>
        <v>#REF!</v>
      </c>
      <c r="I486" s="86" t="str">
        <f t="shared" si="15"/>
        <v>#REF!</v>
      </c>
    </row>
    <row r="487">
      <c r="B487" s="86" t="str">
        <f t="shared" si="1"/>
        <v>#REF!</v>
      </c>
      <c r="C487" s="86" t="str">
        <f t="shared" si="9"/>
        <v>#REF!</v>
      </c>
      <c r="D487" s="86" t="str">
        <f t="shared" si="10"/>
        <v>#REF!</v>
      </c>
      <c r="E487" s="86" t="str">
        <f t="shared" si="11"/>
        <v>#REF!</v>
      </c>
      <c r="F487" s="86" t="str">
        <f t="shared" si="12"/>
        <v>#REF!</v>
      </c>
      <c r="G487" s="86" t="str">
        <f t="shared" si="13"/>
        <v>#REF!</v>
      </c>
      <c r="H487" s="86" t="str">
        <f t="shared" si="14"/>
        <v>#REF!</v>
      </c>
      <c r="I487" s="86" t="str">
        <f t="shared" si="15"/>
        <v>#REF!</v>
      </c>
    </row>
    <row r="488">
      <c r="B488" s="86" t="str">
        <f t="shared" si="1"/>
        <v>#REF!</v>
      </c>
      <c r="C488" s="86" t="str">
        <f t="shared" si="9"/>
        <v>#REF!</v>
      </c>
      <c r="D488" s="86" t="str">
        <f t="shared" si="10"/>
        <v>#REF!</v>
      </c>
      <c r="E488" s="86" t="str">
        <f t="shared" si="11"/>
        <v>#REF!</v>
      </c>
      <c r="F488" s="86" t="str">
        <f t="shared" si="12"/>
        <v>#REF!</v>
      </c>
      <c r="G488" s="86" t="str">
        <f t="shared" si="13"/>
        <v>#REF!</v>
      </c>
      <c r="H488" s="86" t="str">
        <f t="shared" si="14"/>
        <v>#REF!</v>
      </c>
      <c r="I488" s="86" t="str">
        <f t="shared" si="15"/>
        <v>#REF!</v>
      </c>
    </row>
    <row r="489">
      <c r="B489" s="86" t="str">
        <f t="shared" si="1"/>
        <v>#REF!</v>
      </c>
      <c r="C489" s="86" t="str">
        <f t="shared" si="9"/>
        <v>#REF!</v>
      </c>
      <c r="D489" s="86" t="str">
        <f t="shared" si="10"/>
        <v>#REF!</v>
      </c>
      <c r="E489" s="86" t="str">
        <f t="shared" si="11"/>
        <v>#REF!</v>
      </c>
      <c r="F489" s="86" t="str">
        <f t="shared" si="12"/>
        <v>#REF!</v>
      </c>
      <c r="G489" s="86" t="str">
        <f t="shared" si="13"/>
        <v>#REF!</v>
      </c>
      <c r="H489" s="86" t="str">
        <f t="shared" si="14"/>
        <v>#REF!</v>
      </c>
      <c r="I489" s="86" t="str">
        <f t="shared" si="15"/>
        <v>#REF!</v>
      </c>
    </row>
    <row r="490">
      <c r="B490" s="86" t="str">
        <f t="shared" si="1"/>
        <v>#REF!</v>
      </c>
      <c r="C490" s="86" t="str">
        <f t="shared" si="9"/>
        <v>#REF!</v>
      </c>
      <c r="D490" s="86" t="str">
        <f t="shared" si="10"/>
        <v>#REF!</v>
      </c>
      <c r="E490" s="86" t="str">
        <f t="shared" si="11"/>
        <v>#REF!</v>
      </c>
      <c r="F490" s="86" t="str">
        <f t="shared" si="12"/>
        <v>#REF!</v>
      </c>
      <c r="G490" s="86" t="str">
        <f t="shared" si="13"/>
        <v>#REF!</v>
      </c>
      <c r="H490" s="86" t="str">
        <f t="shared" si="14"/>
        <v>#REF!</v>
      </c>
      <c r="I490" s="86" t="str">
        <f t="shared" si="15"/>
        <v>#REF!</v>
      </c>
    </row>
    <row r="491">
      <c r="B491" s="86" t="str">
        <f t="shared" si="1"/>
        <v>#REF!</v>
      </c>
      <c r="C491" s="86" t="str">
        <f t="shared" si="9"/>
        <v>#REF!</v>
      </c>
      <c r="D491" s="86" t="str">
        <f t="shared" si="10"/>
        <v>#REF!</v>
      </c>
      <c r="E491" s="86" t="str">
        <f t="shared" si="11"/>
        <v>#REF!</v>
      </c>
      <c r="F491" s="86" t="str">
        <f t="shared" si="12"/>
        <v>#REF!</v>
      </c>
      <c r="G491" s="86" t="str">
        <f t="shared" si="13"/>
        <v>#REF!</v>
      </c>
      <c r="H491" s="86" t="str">
        <f t="shared" si="14"/>
        <v>#REF!</v>
      </c>
      <c r="I491" s="86" t="str">
        <f t="shared" si="15"/>
        <v>#REF!</v>
      </c>
    </row>
    <row r="492">
      <c r="B492" s="86" t="str">
        <f t="shared" si="1"/>
        <v>#REF!</v>
      </c>
      <c r="C492" s="86" t="str">
        <f t="shared" si="9"/>
        <v>#REF!</v>
      </c>
      <c r="D492" s="86" t="str">
        <f t="shared" si="10"/>
        <v>#REF!</v>
      </c>
      <c r="E492" s="86" t="str">
        <f t="shared" si="11"/>
        <v>#REF!</v>
      </c>
      <c r="F492" s="86" t="str">
        <f t="shared" si="12"/>
        <v>#REF!</v>
      </c>
      <c r="G492" s="86" t="str">
        <f t="shared" si="13"/>
        <v>#REF!</v>
      </c>
      <c r="H492" s="86" t="str">
        <f t="shared" si="14"/>
        <v>#REF!</v>
      </c>
      <c r="I492" s="86" t="str">
        <f t="shared" si="15"/>
        <v>#REF!</v>
      </c>
    </row>
    <row r="493">
      <c r="B493" s="86" t="str">
        <f t="shared" si="1"/>
        <v>#REF!</v>
      </c>
      <c r="C493" s="86" t="str">
        <f t="shared" si="9"/>
        <v>#REF!</v>
      </c>
      <c r="D493" s="86" t="str">
        <f t="shared" si="10"/>
        <v>#REF!</v>
      </c>
      <c r="E493" s="86" t="str">
        <f t="shared" si="11"/>
        <v>#REF!</v>
      </c>
      <c r="F493" s="86" t="str">
        <f t="shared" si="12"/>
        <v>#REF!</v>
      </c>
      <c r="G493" s="86" t="str">
        <f t="shared" si="13"/>
        <v>#REF!</v>
      </c>
      <c r="H493" s="86" t="str">
        <f t="shared" si="14"/>
        <v>#REF!</v>
      </c>
      <c r="I493" s="86" t="str">
        <f t="shared" si="15"/>
        <v>#REF!</v>
      </c>
    </row>
    <row r="494">
      <c r="B494" s="86" t="str">
        <f t="shared" si="1"/>
        <v>#REF!</v>
      </c>
      <c r="C494" s="86" t="str">
        <f t="shared" si="9"/>
        <v>#REF!</v>
      </c>
      <c r="D494" s="86" t="str">
        <f t="shared" si="10"/>
        <v>#REF!</v>
      </c>
      <c r="E494" s="86" t="str">
        <f t="shared" si="11"/>
        <v>#REF!</v>
      </c>
      <c r="F494" s="86" t="str">
        <f t="shared" si="12"/>
        <v>#REF!</v>
      </c>
      <c r="G494" s="86" t="str">
        <f t="shared" si="13"/>
        <v>#REF!</v>
      </c>
      <c r="H494" s="86" t="str">
        <f t="shared" si="14"/>
        <v>#REF!</v>
      </c>
      <c r="I494" s="86" t="str">
        <f t="shared" si="15"/>
        <v>#REF!</v>
      </c>
    </row>
    <row r="495">
      <c r="B495" s="86" t="str">
        <f t="shared" si="1"/>
        <v>#REF!</v>
      </c>
      <c r="C495" s="86" t="str">
        <f t="shared" si="9"/>
        <v>#REF!</v>
      </c>
      <c r="D495" s="86" t="str">
        <f t="shared" si="10"/>
        <v>#REF!</v>
      </c>
      <c r="E495" s="86" t="str">
        <f t="shared" si="11"/>
        <v>#REF!</v>
      </c>
      <c r="F495" s="86" t="str">
        <f t="shared" si="12"/>
        <v>#REF!</v>
      </c>
      <c r="G495" s="86" t="str">
        <f t="shared" si="13"/>
        <v>#REF!</v>
      </c>
      <c r="H495" s="86" t="str">
        <f t="shared" si="14"/>
        <v>#REF!</v>
      </c>
      <c r="I495" s="86" t="str">
        <f t="shared" si="15"/>
        <v>#REF!</v>
      </c>
    </row>
    <row r="496">
      <c r="B496" s="86" t="str">
        <f t="shared" si="1"/>
        <v>#REF!</v>
      </c>
      <c r="C496" s="86" t="str">
        <f t="shared" si="9"/>
        <v>#REF!</v>
      </c>
      <c r="D496" s="86" t="str">
        <f t="shared" si="10"/>
        <v>#REF!</v>
      </c>
      <c r="E496" s="86" t="str">
        <f t="shared" si="11"/>
        <v>#REF!</v>
      </c>
      <c r="F496" s="86" t="str">
        <f t="shared" si="12"/>
        <v>#REF!</v>
      </c>
      <c r="G496" s="86" t="str">
        <f t="shared" si="13"/>
        <v>#REF!</v>
      </c>
      <c r="H496" s="86" t="str">
        <f t="shared" si="14"/>
        <v>#REF!</v>
      </c>
      <c r="I496" s="86" t="str">
        <f t="shared" si="15"/>
        <v>#REF!</v>
      </c>
    </row>
    <row r="497">
      <c r="B497" s="86" t="str">
        <f t="shared" si="1"/>
        <v>#REF!</v>
      </c>
      <c r="C497" s="86" t="str">
        <f t="shared" si="9"/>
        <v>#REF!</v>
      </c>
      <c r="D497" s="86" t="str">
        <f t="shared" si="10"/>
        <v>#REF!</v>
      </c>
      <c r="E497" s="86" t="str">
        <f t="shared" si="11"/>
        <v>#REF!</v>
      </c>
      <c r="F497" s="86" t="str">
        <f t="shared" si="12"/>
        <v>#REF!</v>
      </c>
      <c r="G497" s="86" t="str">
        <f t="shared" si="13"/>
        <v>#REF!</v>
      </c>
      <c r="H497" s="86" t="str">
        <f t="shared" si="14"/>
        <v>#REF!</v>
      </c>
      <c r="I497" s="86" t="str">
        <f t="shared" si="15"/>
        <v>#REF!</v>
      </c>
    </row>
    <row r="498">
      <c r="B498" s="86" t="str">
        <f t="shared" si="1"/>
        <v>#REF!</v>
      </c>
      <c r="C498" s="86" t="str">
        <f t="shared" si="9"/>
        <v>#REF!</v>
      </c>
      <c r="D498" s="86" t="str">
        <f t="shared" si="10"/>
        <v>#REF!</v>
      </c>
      <c r="E498" s="86" t="str">
        <f t="shared" si="11"/>
        <v>#REF!</v>
      </c>
      <c r="F498" s="86" t="str">
        <f t="shared" si="12"/>
        <v>#REF!</v>
      </c>
      <c r="G498" s="86" t="str">
        <f t="shared" si="13"/>
        <v>#REF!</v>
      </c>
      <c r="H498" s="86" t="str">
        <f t="shared" si="14"/>
        <v>#REF!</v>
      </c>
      <c r="I498" s="86" t="str">
        <f t="shared" si="15"/>
        <v>#REF!</v>
      </c>
    </row>
    <row r="499">
      <c r="B499" s="86" t="str">
        <f t="shared" si="1"/>
        <v>#REF!</v>
      </c>
      <c r="C499" s="86" t="str">
        <f t="shared" si="9"/>
        <v>#REF!</v>
      </c>
      <c r="D499" s="86" t="str">
        <f t="shared" si="10"/>
        <v>#REF!</v>
      </c>
      <c r="E499" s="86" t="str">
        <f t="shared" si="11"/>
        <v>#REF!</v>
      </c>
      <c r="F499" s="86" t="str">
        <f t="shared" si="12"/>
        <v>#REF!</v>
      </c>
      <c r="G499" s="86" t="str">
        <f t="shared" si="13"/>
        <v>#REF!</v>
      </c>
      <c r="H499" s="86" t="str">
        <f t="shared" si="14"/>
        <v>#REF!</v>
      </c>
      <c r="I499" s="86" t="str">
        <f t="shared" si="15"/>
        <v>#REF!</v>
      </c>
    </row>
    <row r="500">
      <c r="B500" s="86" t="str">
        <f t="shared" si="1"/>
        <v>#REF!</v>
      </c>
      <c r="C500" s="86" t="str">
        <f t="shared" si="9"/>
        <v>#REF!</v>
      </c>
      <c r="D500" s="86" t="str">
        <f t="shared" si="10"/>
        <v>#REF!</v>
      </c>
      <c r="E500" s="86" t="str">
        <f t="shared" si="11"/>
        <v>#REF!</v>
      </c>
      <c r="F500" s="86" t="str">
        <f t="shared" si="12"/>
        <v>#REF!</v>
      </c>
      <c r="G500" s="86" t="str">
        <f t="shared" si="13"/>
        <v>#REF!</v>
      </c>
      <c r="H500" s="86" t="str">
        <f t="shared" si="14"/>
        <v>#REF!</v>
      </c>
      <c r="I500" s="86" t="str">
        <f t="shared" si="15"/>
        <v>#REF!</v>
      </c>
    </row>
    <row r="501">
      <c r="B501" s="86" t="str">
        <f t="shared" si="1"/>
        <v>#REF!</v>
      </c>
      <c r="C501" s="86" t="str">
        <f t="shared" si="9"/>
        <v>#REF!</v>
      </c>
      <c r="D501" s="86" t="str">
        <f t="shared" si="10"/>
        <v>#REF!</v>
      </c>
      <c r="E501" s="86" t="str">
        <f t="shared" si="11"/>
        <v>#REF!</v>
      </c>
      <c r="F501" s="86" t="str">
        <f t="shared" si="12"/>
        <v>#REF!</v>
      </c>
      <c r="G501" s="86" t="str">
        <f t="shared" si="13"/>
        <v>#REF!</v>
      </c>
      <c r="H501" s="86" t="str">
        <f t="shared" si="14"/>
        <v>#REF!</v>
      </c>
      <c r="I501" s="86" t="str">
        <f t="shared" si="15"/>
        <v>#REF!</v>
      </c>
    </row>
    <row r="502">
      <c r="B502" s="86" t="str">
        <f t="shared" si="1"/>
        <v>#REF!</v>
      </c>
      <c r="C502" s="86" t="str">
        <f t="shared" si="9"/>
        <v>#REF!</v>
      </c>
      <c r="D502" s="86" t="str">
        <f t="shared" si="10"/>
        <v>#REF!</v>
      </c>
      <c r="E502" s="86" t="str">
        <f t="shared" si="11"/>
        <v>#REF!</v>
      </c>
      <c r="F502" s="86" t="str">
        <f t="shared" si="12"/>
        <v>#REF!</v>
      </c>
      <c r="G502" s="86" t="str">
        <f t="shared" si="13"/>
        <v>#REF!</v>
      </c>
      <c r="H502" s="86" t="str">
        <f t="shared" si="14"/>
        <v>#REF!</v>
      </c>
      <c r="I502" s="86" t="str">
        <f t="shared" si="15"/>
        <v>#REF!</v>
      </c>
    </row>
    <row r="503">
      <c r="B503" s="86" t="str">
        <f t="shared" si="1"/>
        <v>#REF!</v>
      </c>
      <c r="C503" s="86" t="str">
        <f t="shared" si="9"/>
        <v>#REF!</v>
      </c>
      <c r="D503" s="86" t="str">
        <f t="shared" si="10"/>
        <v>#REF!</v>
      </c>
      <c r="E503" s="86" t="str">
        <f t="shared" si="11"/>
        <v>#REF!</v>
      </c>
      <c r="F503" s="86" t="str">
        <f t="shared" si="12"/>
        <v>#REF!</v>
      </c>
      <c r="G503" s="86" t="str">
        <f t="shared" si="13"/>
        <v>#REF!</v>
      </c>
      <c r="H503" s="86" t="str">
        <f t="shared" si="14"/>
        <v>#REF!</v>
      </c>
      <c r="I503" s="86" t="str">
        <f t="shared" si="15"/>
        <v>#REF!</v>
      </c>
    </row>
    <row r="504">
      <c r="B504" s="86" t="str">
        <f t="shared" si="1"/>
        <v>#REF!</v>
      </c>
      <c r="C504" s="86" t="str">
        <f t="shared" si="9"/>
        <v>#REF!</v>
      </c>
      <c r="D504" s="86" t="str">
        <f t="shared" si="10"/>
        <v>#REF!</v>
      </c>
      <c r="E504" s="86" t="str">
        <f t="shared" si="11"/>
        <v>#REF!</v>
      </c>
      <c r="F504" s="86" t="str">
        <f t="shared" si="12"/>
        <v>#REF!</v>
      </c>
      <c r="G504" s="86" t="str">
        <f t="shared" si="13"/>
        <v>#REF!</v>
      </c>
      <c r="H504" s="86" t="str">
        <f t="shared" si="14"/>
        <v>#REF!</v>
      </c>
      <c r="I504" s="86" t="str">
        <f t="shared" si="15"/>
        <v>#REF!</v>
      </c>
    </row>
    <row r="505">
      <c r="B505" s="86" t="str">
        <f t="shared" si="1"/>
        <v>#REF!</v>
      </c>
      <c r="C505" s="86" t="str">
        <f t="shared" si="9"/>
        <v>#REF!</v>
      </c>
      <c r="D505" s="86" t="str">
        <f t="shared" si="10"/>
        <v>#REF!</v>
      </c>
      <c r="E505" s="86" t="str">
        <f t="shared" si="11"/>
        <v>#REF!</v>
      </c>
      <c r="F505" s="86" t="str">
        <f t="shared" si="12"/>
        <v>#REF!</v>
      </c>
      <c r="G505" s="86" t="str">
        <f t="shared" si="13"/>
        <v>#REF!</v>
      </c>
      <c r="H505" s="86" t="str">
        <f t="shared" si="14"/>
        <v>#REF!</v>
      </c>
      <c r="I505" s="86" t="str">
        <f t="shared" si="15"/>
        <v>#REF!</v>
      </c>
    </row>
    <row r="506">
      <c r="B506" s="86" t="str">
        <f t="shared" si="1"/>
        <v>#REF!</v>
      </c>
      <c r="C506" s="86" t="str">
        <f t="shared" si="9"/>
        <v>#REF!</v>
      </c>
      <c r="D506" s="86" t="str">
        <f t="shared" si="10"/>
        <v>#REF!</v>
      </c>
      <c r="E506" s="86" t="str">
        <f t="shared" si="11"/>
        <v>#REF!</v>
      </c>
      <c r="F506" s="86" t="str">
        <f t="shared" si="12"/>
        <v>#REF!</v>
      </c>
      <c r="G506" s="86" t="str">
        <f t="shared" si="13"/>
        <v>#REF!</v>
      </c>
      <c r="H506" s="86" t="str">
        <f t="shared" si="14"/>
        <v>#REF!</v>
      </c>
      <c r="I506" s="86" t="str">
        <f t="shared" si="15"/>
        <v>#REF!</v>
      </c>
    </row>
    <row r="507">
      <c r="B507" s="86" t="str">
        <f t="shared" si="1"/>
        <v>#REF!</v>
      </c>
      <c r="C507" s="86" t="str">
        <f t="shared" si="9"/>
        <v>#REF!</v>
      </c>
      <c r="D507" s="86" t="str">
        <f t="shared" si="10"/>
        <v>#REF!</v>
      </c>
      <c r="E507" s="86" t="str">
        <f t="shared" si="11"/>
        <v>#REF!</v>
      </c>
      <c r="F507" s="86" t="str">
        <f t="shared" si="12"/>
        <v>#REF!</v>
      </c>
      <c r="G507" s="86" t="str">
        <f t="shared" si="13"/>
        <v>#REF!</v>
      </c>
      <c r="H507" s="86" t="str">
        <f t="shared" si="14"/>
        <v>#REF!</v>
      </c>
      <c r="I507" s="86" t="str">
        <f t="shared" si="15"/>
        <v>#REF!</v>
      </c>
    </row>
    <row r="508">
      <c r="B508" s="86" t="str">
        <f t="shared" si="1"/>
        <v>#REF!</v>
      </c>
      <c r="C508" s="86" t="str">
        <f t="shared" si="9"/>
        <v>#REF!</v>
      </c>
      <c r="D508" s="86" t="str">
        <f t="shared" si="10"/>
        <v>#REF!</v>
      </c>
      <c r="E508" s="86" t="str">
        <f t="shared" si="11"/>
        <v>#REF!</v>
      </c>
      <c r="F508" s="86" t="str">
        <f t="shared" si="12"/>
        <v>#REF!</v>
      </c>
      <c r="G508" s="86" t="str">
        <f t="shared" si="13"/>
        <v>#REF!</v>
      </c>
      <c r="H508" s="86" t="str">
        <f t="shared" si="14"/>
        <v>#REF!</v>
      </c>
      <c r="I508" s="86" t="str">
        <f t="shared" si="15"/>
        <v>#REF!</v>
      </c>
    </row>
    <row r="509">
      <c r="B509" s="86" t="str">
        <f t="shared" si="1"/>
        <v>#REF!</v>
      </c>
      <c r="C509" s="86" t="str">
        <f t="shared" si="9"/>
        <v>#REF!</v>
      </c>
      <c r="D509" s="86" t="str">
        <f t="shared" si="10"/>
        <v>#REF!</v>
      </c>
      <c r="E509" s="86" t="str">
        <f t="shared" si="11"/>
        <v>#REF!</v>
      </c>
      <c r="F509" s="86" t="str">
        <f t="shared" si="12"/>
        <v>#REF!</v>
      </c>
      <c r="G509" s="86" t="str">
        <f t="shared" si="13"/>
        <v>#REF!</v>
      </c>
      <c r="H509" s="86" t="str">
        <f t="shared" si="14"/>
        <v>#REF!</v>
      </c>
      <c r="I509" s="86" t="str">
        <f t="shared" si="15"/>
        <v>#REF!</v>
      </c>
    </row>
    <row r="510">
      <c r="B510" s="86" t="str">
        <f t="shared" si="1"/>
        <v>#REF!</v>
      </c>
      <c r="C510" s="86" t="str">
        <f t="shared" si="9"/>
        <v>#REF!</v>
      </c>
      <c r="D510" s="86" t="str">
        <f t="shared" si="10"/>
        <v>#REF!</v>
      </c>
      <c r="E510" s="86" t="str">
        <f t="shared" si="11"/>
        <v>#REF!</v>
      </c>
      <c r="F510" s="86" t="str">
        <f t="shared" si="12"/>
        <v>#REF!</v>
      </c>
      <c r="G510" s="86" t="str">
        <f t="shared" si="13"/>
        <v>#REF!</v>
      </c>
      <c r="H510" s="86" t="str">
        <f t="shared" si="14"/>
        <v>#REF!</v>
      </c>
      <c r="I510" s="86" t="str">
        <f t="shared" si="15"/>
        <v>#REF!</v>
      </c>
    </row>
    <row r="511">
      <c r="B511" s="86" t="str">
        <f t="shared" si="1"/>
        <v>#REF!</v>
      </c>
      <c r="C511" s="86" t="str">
        <f t="shared" si="9"/>
        <v>#REF!</v>
      </c>
      <c r="D511" s="86" t="str">
        <f t="shared" si="10"/>
        <v>#REF!</v>
      </c>
      <c r="E511" s="86" t="str">
        <f t="shared" si="11"/>
        <v>#REF!</v>
      </c>
      <c r="F511" s="86" t="str">
        <f t="shared" si="12"/>
        <v>#REF!</v>
      </c>
      <c r="G511" s="86" t="str">
        <f t="shared" si="13"/>
        <v>#REF!</v>
      </c>
      <c r="H511" s="86" t="str">
        <f t="shared" si="14"/>
        <v>#REF!</v>
      </c>
      <c r="I511" s="86" t="str">
        <f t="shared" si="15"/>
        <v>#REF!</v>
      </c>
    </row>
    <row r="512">
      <c r="B512" s="86" t="str">
        <f t="shared" si="1"/>
        <v>#REF!</v>
      </c>
      <c r="C512" s="86" t="str">
        <f t="shared" si="9"/>
        <v>#REF!</v>
      </c>
      <c r="D512" s="86" t="str">
        <f t="shared" si="10"/>
        <v>#REF!</v>
      </c>
      <c r="E512" s="86" t="str">
        <f t="shared" si="11"/>
        <v>#REF!</v>
      </c>
      <c r="F512" s="86" t="str">
        <f t="shared" si="12"/>
        <v>#REF!</v>
      </c>
      <c r="G512" s="86" t="str">
        <f t="shared" si="13"/>
        <v>#REF!</v>
      </c>
      <c r="H512" s="86" t="str">
        <f t="shared" si="14"/>
        <v>#REF!</v>
      </c>
      <c r="I512" s="86" t="str">
        <f t="shared" si="15"/>
        <v>#REF!</v>
      </c>
    </row>
    <row r="513">
      <c r="B513" s="86" t="str">
        <f t="shared" si="1"/>
        <v>#REF!</v>
      </c>
      <c r="C513" s="86" t="str">
        <f t="shared" si="9"/>
        <v>#REF!</v>
      </c>
      <c r="D513" s="86" t="str">
        <f t="shared" si="10"/>
        <v>#REF!</v>
      </c>
      <c r="E513" s="86" t="str">
        <f t="shared" si="11"/>
        <v>#REF!</v>
      </c>
      <c r="F513" s="86" t="str">
        <f t="shared" si="12"/>
        <v>#REF!</v>
      </c>
      <c r="G513" s="86" t="str">
        <f t="shared" si="13"/>
        <v>#REF!</v>
      </c>
      <c r="H513" s="86" t="str">
        <f t="shared" si="14"/>
        <v>#REF!</v>
      </c>
      <c r="I513" s="86" t="str">
        <f t="shared" si="15"/>
        <v>#REF!</v>
      </c>
    </row>
    <row r="514">
      <c r="B514" s="86" t="str">
        <f t="shared" si="1"/>
        <v>#REF!</v>
      </c>
      <c r="C514" s="86" t="str">
        <f t="shared" si="9"/>
        <v>#REF!</v>
      </c>
      <c r="D514" s="86" t="str">
        <f t="shared" si="10"/>
        <v>#REF!</v>
      </c>
      <c r="E514" s="86" t="str">
        <f t="shared" si="11"/>
        <v>#REF!</v>
      </c>
      <c r="F514" s="86" t="str">
        <f t="shared" si="12"/>
        <v>#REF!</v>
      </c>
      <c r="G514" s="86" t="str">
        <f t="shared" si="13"/>
        <v>#REF!</v>
      </c>
      <c r="H514" s="86" t="str">
        <f t="shared" si="14"/>
        <v>#REF!</v>
      </c>
      <c r="I514" s="86" t="str">
        <f t="shared" si="15"/>
        <v>#REF!</v>
      </c>
    </row>
    <row r="515">
      <c r="B515" s="86" t="str">
        <f t="shared" si="1"/>
        <v>#REF!</v>
      </c>
      <c r="C515" s="86" t="str">
        <f t="shared" si="9"/>
        <v>#REF!</v>
      </c>
      <c r="D515" s="86" t="str">
        <f t="shared" si="10"/>
        <v>#REF!</v>
      </c>
      <c r="E515" s="86" t="str">
        <f t="shared" si="11"/>
        <v>#REF!</v>
      </c>
      <c r="F515" s="86" t="str">
        <f t="shared" si="12"/>
        <v>#REF!</v>
      </c>
      <c r="G515" s="86" t="str">
        <f t="shared" si="13"/>
        <v>#REF!</v>
      </c>
      <c r="H515" s="86" t="str">
        <f t="shared" si="14"/>
        <v>#REF!</v>
      </c>
      <c r="I515" s="86" t="str">
        <f t="shared" si="15"/>
        <v>#REF!</v>
      </c>
    </row>
    <row r="516">
      <c r="B516" s="86" t="str">
        <f t="shared" si="1"/>
        <v>#REF!</v>
      </c>
      <c r="C516" s="86" t="str">
        <f t="shared" si="9"/>
        <v>#REF!</v>
      </c>
      <c r="D516" s="86" t="str">
        <f t="shared" si="10"/>
        <v>#REF!</v>
      </c>
      <c r="E516" s="86" t="str">
        <f t="shared" si="11"/>
        <v>#REF!</v>
      </c>
      <c r="F516" s="86" t="str">
        <f t="shared" si="12"/>
        <v>#REF!</v>
      </c>
      <c r="G516" s="86" t="str">
        <f t="shared" si="13"/>
        <v>#REF!</v>
      </c>
      <c r="H516" s="86" t="str">
        <f t="shared" si="14"/>
        <v>#REF!</v>
      </c>
      <c r="I516" s="86" t="str">
        <f t="shared" si="15"/>
        <v>#REF!</v>
      </c>
    </row>
    <row r="517">
      <c r="B517" s="86" t="str">
        <f t="shared" si="1"/>
        <v>#REF!</v>
      </c>
      <c r="C517" s="86" t="str">
        <f t="shared" si="9"/>
        <v>#REF!</v>
      </c>
      <c r="D517" s="86" t="str">
        <f t="shared" si="10"/>
        <v>#REF!</v>
      </c>
      <c r="E517" s="86" t="str">
        <f t="shared" si="11"/>
        <v>#REF!</v>
      </c>
      <c r="F517" s="86" t="str">
        <f t="shared" si="12"/>
        <v>#REF!</v>
      </c>
      <c r="G517" s="86" t="str">
        <f t="shared" si="13"/>
        <v>#REF!</v>
      </c>
      <c r="H517" s="86" t="str">
        <f t="shared" si="14"/>
        <v>#REF!</v>
      </c>
      <c r="I517" s="86" t="str">
        <f t="shared" si="15"/>
        <v>#REF!</v>
      </c>
    </row>
    <row r="518">
      <c r="B518" s="86" t="str">
        <f t="shared" si="1"/>
        <v>#REF!</v>
      </c>
      <c r="C518" s="86" t="str">
        <f t="shared" si="9"/>
        <v>#REF!</v>
      </c>
      <c r="D518" s="86" t="str">
        <f t="shared" si="10"/>
        <v>#REF!</v>
      </c>
      <c r="E518" s="86" t="str">
        <f t="shared" si="11"/>
        <v>#REF!</v>
      </c>
      <c r="F518" s="86" t="str">
        <f t="shared" si="12"/>
        <v>#REF!</v>
      </c>
      <c r="G518" s="86" t="str">
        <f t="shared" si="13"/>
        <v>#REF!</v>
      </c>
      <c r="H518" s="86" t="str">
        <f t="shared" si="14"/>
        <v>#REF!</v>
      </c>
      <c r="I518" s="86" t="str">
        <f t="shared" si="15"/>
        <v>#REF!</v>
      </c>
    </row>
    <row r="519">
      <c r="B519" s="86" t="str">
        <f t="shared" si="1"/>
        <v>#REF!</v>
      </c>
      <c r="C519" s="86" t="str">
        <f t="shared" si="9"/>
        <v>#REF!</v>
      </c>
      <c r="D519" s="86" t="str">
        <f t="shared" si="10"/>
        <v>#REF!</v>
      </c>
      <c r="E519" s="86" t="str">
        <f t="shared" si="11"/>
        <v>#REF!</v>
      </c>
      <c r="F519" s="86" t="str">
        <f t="shared" si="12"/>
        <v>#REF!</v>
      </c>
      <c r="G519" s="86" t="str">
        <f t="shared" si="13"/>
        <v>#REF!</v>
      </c>
      <c r="H519" s="86" t="str">
        <f t="shared" si="14"/>
        <v>#REF!</v>
      </c>
      <c r="I519" s="86" t="str">
        <f t="shared" si="15"/>
        <v>#REF!</v>
      </c>
    </row>
    <row r="520">
      <c r="B520" s="86" t="str">
        <f t="shared" si="1"/>
        <v>#REF!</v>
      </c>
      <c r="C520" s="86" t="str">
        <f t="shared" si="9"/>
        <v>#REF!</v>
      </c>
      <c r="D520" s="86" t="str">
        <f t="shared" si="10"/>
        <v>#REF!</v>
      </c>
      <c r="E520" s="86" t="str">
        <f t="shared" si="11"/>
        <v>#REF!</v>
      </c>
      <c r="F520" s="86" t="str">
        <f t="shared" si="12"/>
        <v>#REF!</v>
      </c>
      <c r="G520" s="86" t="str">
        <f t="shared" si="13"/>
        <v>#REF!</v>
      </c>
      <c r="H520" s="86" t="str">
        <f t="shared" si="14"/>
        <v>#REF!</v>
      </c>
      <c r="I520" s="86" t="str">
        <f t="shared" si="15"/>
        <v>#REF!</v>
      </c>
    </row>
    <row r="521">
      <c r="B521" s="86" t="str">
        <f t="shared" si="1"/>
        <v>#REF!</v>
      </c>
      <c r="C521" s="86" t="str">
        <f t="shared" si="9"/>
        <v>#REF!</v>
      </c>
      <c r="D521" s="86" t="str">
        <f t="shared" si="10"/>
        <v>#REF!</v>
      </c>
      <c r="E521" s="86" t="str">
        <f t="shared" si="11"/>
        <v>#REF!</v>
      </c>
      <c r="F521" s="86" t="str">
        <f t="shared" si="12"/>
        <v>#REF!</v>
      </c>
      <c r="G521" s="86" t="str">
        <f t="shared" si="13"/>
        <v>#REF!</v>
      </c>
      <c r="H521" s="86" t="str">
        <f t="shared" si="14"/>
        <v>#REF!</v>
      </c>
      <c r="I521" s="86" t="str">
        <f t="shared" si="15"/>
        <v>#REF!</v>
      </c>
    </row>
    <row r="522">
      <c r="B522" s="86" t="str">
        <f t="shared" si="1"/>
        <v>#REF!</v>
      </c>
      <c r="C522" s="86" t="str">
        <f t="shared" si="9"/>
        <v>#REF!</v>
      </c>
      <c r="D522" s="86" t="str">
        <f t="shared" si="10"/>
        <v>#REF!</v>
      </c>
      <c r="E522" s="86" t="str">
        <f t="shared" si="11"/>
        <v>#REF!</v>
      </c>
      <c r="F522" s="86" t="str">
        <f t="shared" si="12"/>
        <v>#REF!</v>
      </c>
      <c r="G522" s="86" t="str">
        <f t="shared" si="13"/>
        <v>#REF!</v>
      </c>
      <c r="H522" s="86" t="str">
        <f t="shared" si="14"/>
        <v>#REF!</v>
      </c>
      <c r="I522" s="86" t="str">
        <f t="shared" si="15"/>
        <v>#REF!</v>
      </c>
    </row>
    <row r="523">
      <c r="B523" s="86" t="str">
        <f t="shared" si="1"/>
        <v>#REF!</v>
      </c>
      <c r="C523" s="86" t="str">
        <f t="shared" si="9"/>
        <v>#REF!</v>
      </c>
      <c r="D523" s="86" t="str">
        <f t="shared" si="10"/>
        <v>#REF!</v>
      </c>
      <c r="E523" s="86" t="str">
        <f t="shared" si="11"/>
        <v>#REF!</v>
      </c>
      <c r="F523" s="86" t="str">
        <f t="shared" si="12"/>
        <v>#REF!</v>
      </c>
      <c r="G523" s="86" t="str">
        <f t="shared" si="13"/>
        <v>#REF!</v>
      </c>
      <c r="H523" s="86" t="str">
        <f t="shared" si="14"/>
        <v>#REF!</v>
      </c>
      <c r="I523" s="86" t="str">
        <f t="shared" si="15"/>
        <v>#REF!</v>
      </c>
    </row>
    <row r="524">
      <c r="B524" s="86" t="str">
        <f t="shared" si="1"/>
        <v>#REF!</v>
      </c>
      <c r="C524" s="86" t="str">
        <f t="shared" si="9"/>
        <v>#REF!</v>
      </c>
      <c r="D524" s="86" t="str">
        <f t="shared" si="10"/>
        <v>#REF!</v>
      </c>
      <c r="E524" s="86" t="str">
        <f t="shared" si="11"/>
        <v>#REF!</v>
      </c>
      <c r="F524" s="86" t="str">
        <f t="shared" si="12"/>
        <v>#REF!</v>
      </c>
      <c r="G524" s="86" t="str">
        <f t="shared" si="13"/>
        <v>#REF!</v>
      </c>
      <c r="H524" s="86" t="str">
        <f t="shared" si="14"/>
        <v>#REF!</v>
      </c>
      <c r="I524" s="86" t="str">
        <f t="shared" si="15"/>
        <v>#REF!</v>
      </c>
    </row>
    <row r="525">
      <c r="B525" s="86" t="str">
        <f t="shared" si="1"/>
        <v>#REF!</v>
      </c>
      <c r="C525" s="86" t="str">
        <f t="shared" si="9"/>
        <v>#REF!</v>
      </c>
      <c r="D525" s="86" t="str">
        <f t="shared" si="10"/>
        <v>#REF!</v>
      </c>
      <c r="E525" s="86" t="str">
        <f t="shared" si="11"/>
        <v>#REF!</v>
      </c>
      <c r="F525" s="86" t="str">
        <f t="shared" si="12"/>
        <v>#REF!</v>
      </c>
      <c r="G525" s="86" t="str">
        <f t="shared" si="13"/>
        <v>#REF!</v>
      </c>
      <c r="H525" s="86" t="str">
        <f t="shared" si="14"/>
        <v>#REF!</v>
      </c>
      <c r="I525" s="86" t="str">
        <f t="shared" si="15"/>
        <v>#REF!</v>
      </c>
    </row>
    <row r="526">
      <c r="B526" s="86" t="str">
        <f t="shared" si="1"/>
        <v>#REF!</v>
      </c>
      <c r="C526" s="86" t="str">
        <f t="shared" si="9"/>
        <v>#REF!</v>
      </c>
      <c r="D526" s="86" t="str">
        <f t="shared" si="10"/>
        <v>#REF!</v>
      </c>
      <c r="E526" s="86" t="str">
        <f t="shared" si="11"/>
        <v>#REF!</v>
      </c>
      <c r="F526" s="86" t="str">
        <f t="shared" si="12"/>
        <v>#REF!</v>
      </c>
      <c r="G526" s="86" t="str">
        <f t="shared" si="13"/>
        <v>#REF!</v>
      </c>
      <c r="H526" s="86" t="str">
        <f t="shared" si="14"/>
        <v>#REF!</v>
      </c>
      <c r="I526" s="86" t="str">
        <f t="shared" si="15"/>
        <v>#REF!</v>
      </c>
    </row>
    <row r="527">
      <c r="B527" s="86" t="str">
        <f t="shared" si="1"/>
        <v>#REF!</v>
      </c>
      <c r="C527" s="86" t="str">
        <f t="shared" si="9"/>
        <v>#REF!</v>
      </c>
      <c r="D527" s="86" t="str">
        <f t="shared" si="10"/>
        <v>#REF!</v>
      </c>
      <c r="E527" s="86" t="str">
        <f t="shared" si="11"/>
        <v>#REF!</v>
      </c>
      <c r="F527" s="86" t="str">
        <f t="shared" si="12"/>
        <v>#REF!</v>
      </c>
      <c r="G527" s="86" t="str">
        <f t="shared" si="13"/>
        <v>#REF!</v>
      </c>
      <c r="H527" s="86" t="str">
        <f t="shared" si="14"/>
        <v>#REF!</v>
      </c>
      <c r="I527" s="86" t="str">
        <f t="shared" si="15"/>
        <v>#REF!</v>
      </c>
    </row>
    <row r="528">
      <c r="B528" s="86" t="str">
        <f t="shared" si="1"/>
        <v>#REF!</v>
      </c>
      <c r="C528" s="86" t="str">
        <f t="shared" si="9"/>
        <v>#REF!</v>
      </c>
      <c r="D528" s="86" t="str">
        <f t="shared" si="10"/>
        <v>#REF!</v>
      </c>
      <c r="E528" s="86" t="str">
        <f t="shared" si="11"/>
        <v>#REF!</v>
      </c>
      <c r="F528" s="86" t="str">
        <f t="shared" si="12"/>
        <v>#REF!</v>
      </c>
      <c r="G528" s="86" t="str">
        <f t="shared" si="13"/>
        <v>#REF!</v>
      </c>
      <c r="H528" s="86" t="str">
        <f t="shared" si="14"/>
        <v>#REF!</v>
      </c>
      <c r="I528" s="86" t="str">
        <f t="shared" si="15"/>
        <v>#REF!</v>
      </c>
    </row>
    <row r="529">
      <c r="B529" s="86" t="str">
        <f t="shared" si="1"/>
        <v>#REF!</v>
      </c>
      <c r="C529" s="86" t="str">
        <f t="shared" si="9"/>
        <v>#REF!</v>
      </c>
      <c r="D529" s="86" t="str">
        <f t="shared" si="10"/>
        <v>#REF!</v>
      </c>
      <c r="E529" s="86" t="str">
        <f t="shared" si="11"/>
        <v>#REF!</v>
      </c>
      <c r="F529" s="86" t="str">
        <f t="shared" si="12"/>
        <v>#REF!</v>
      </c>
      <c r="G529" s="86" t="str">
        <f t="shared" si="13"/>
        <v>#REF!</v>
      </c>
      <c r="H529" s="86" t="str">
        <f t="shared" si="14"/>
        <v>#REF!</v>
      </c>
      <c r="I529" s="86" t="str">
        <f t="shared" si="15"/>
        <v>#REF!</v>
      </c>
    </row>
    <row r="530">
      <c r="B530" s="86" t="str">
        <f t="shared" si="1"/>
        <v>#REF!</v>
      </c>
      <c r="C530" s="86" t="str">
        <f t="shared" si="9"/>
        <v>#REF!</v>
      </c>
      <c r="D530" s="86" t="str">
        <f t="shared" si="10"/>
        <v>#REF!</v>
      </c>
      <c r="E530" s="86" t="str">
        <f t="shared" si="11"/>
        <v>#REF!</v>
      </c>
      <c r="F530" s="86" t="str">
        <f t="shared" si="12"/>
        <v>#REF!</v>
      </c>
      <c r="G530" s="86" t="str">
        <f t="shared" si="13"/>
        <v>#REF!</v>
      </c>
      <c r="H530" s="86" t="str">
        <f t="shared" si="14"/>
        <v>#REF!</v>
      </c>
      <c r="I530" s="86" t="str">
        <f t="shared" si="15"/>
        <v>#REF!</v>
      </c>
    </row>
    <row r="531">
      <c r="B531" s="86" t="str">
        <f t="shared" si="1"/>
        <v>#REF!</v>
      </c>
      <c r="C531" s="86" t="str">
        <f t="shared" si="9"/>
        <v>#REF!</v>
      </c>
      <c r="D531" s="86" t="str">
        <f t="shared" si="10"/>
        <v>#REF!</v>
      </c>
      <c r="E531" s="86" t="str">
        <f t="shared" si="11"/>
        <v>#REF!</v>
      </c>
      <c r="F531" s="86" t="str">
        <f t="shared" si="12"/>
        <v>#REF!</v>
      </c>
      <c r="G531" s="86" t="str">
        <f t="shared" si="13"/>
        <v>#REF!</v>
      </c>
      <c r="H531" s="86" t="str">
        <f t="shared" si="14"/>
        <v>#REF!</v>
      </c>
      <c r="I531" s="86" t="str">
        <f t="shared" si="15"/>
        <v>#REF!</v>
      </c>
    </row>
    <row r="532">
      <c r="B532" s="86" t="str">
        <f t="shared" si="1"/>
        <v>#REF!</v>
      </c>
      <c r="C532" s="86" t="str">
        <f t="shared" si="9"/>
        <v>#REF!</v>
      </c>
      <c r="D532" s="86" t="str">
        <f t="shared" si="10"/>
        <v>#REF!</v>
      </c>
      <c r="E532" s="86" t="str">
        <f t="shared" si="11"/>
        <v>#REF!</v>
      </c>
      <c r="F532" s="86" t="str">
        <f t="shared" si="12"/>
        <v>#REF!</v>
      </c>
      <c r="G532" s="86" t="str">
        <f t="shared" si="13"/>
        <v>#REF!</v>
      </c>
      <c r="H532" s="86" t="str">
        <f t="shared" si="14"/>
        <v>#REF!</v>
      </c>
      <c r="I532" s="86" t="str">
        <f t="shared" si="15"/>
        <v>#REF!</v>
      </c>
    </row>
    <row r="533">
      <c r="B533" s="86" t="str">
        <f t="shared" si="1"/>
        <v>#REF!</v>
      </c>
      <c r="C533" s="86" t="str">
        <f t="shared" si="9"/>
        <v>#REF!</v>
      </c>
      <c r="D533" s="86" t="str">
        <f t="shared" si="10"/>
        <v>#REF!</v>
      </c>
      <c r="E533" s="86" t="str">
        <f t="shared" si="11"/>
        <v>#REF!</v>
      </c>
      <c r="F533" s="86" t="str">
        <f t="shared" si="12"/>
        <v>#REF!</v>
      </c>
      <c r="G533" s="86" t="str">
        <f t="shared" si="13"/>
        <v>#REF!</v>
      </c>
      <c r="H533" s="86" t="str">
        <f t="shared" si="14"/>
        <v>#REF!</v>
      </c>
      <c r="I533" s="86" t="str">
        <f t="shared" si="15"/>
        <v>#REF!</v>
      </c>
    </row>
    <row r="534">
      <c r="B534" s="86" t="str">
        <f t="shared" si="1"/>
        <v>#REF!</v>
      </c>
      <c r="C534" s="86" t="str">
        <f t="shared" si="9"/>
        <v>#REF!</v>
      </c>
      <c r="D534" s="86" t="str">
        <f t="shared" si="10"/>
        <v>#REF!</v>
      </c>
      <c r="E534" s="86" t="str">
        <f t="shared" si="11"/>
        <v>#REF!</v>
      </c>
      <c r="F534" s="86" t="str">
        <f t="shared" si="12"/>
        <v>#REF!</v>
      </c>
      <c r="G534" s="86" t="str">
        <f t="shared" si="13"/>
        <v>#REF!</v>
      </c>
      <c r="H534" s="86" t="str">
        <f t="shared" si="14"/>
        <v>#REF!</v>
      </c>
      <c r="I534" s="86" t="str">
        <f t="shared" si="15"/>
        <v>#REF!</v>
      </c>
    </row>
    <row r="535">
      <c r="B535" s="86" t="str">
        <f t="shared" si="1"/>
        <v>#REF!</v>
      </c>
      <c r="C535" s="86" t="str">
        <f t="shared" si="9"/>
        <v>#REF!</v>
      </c>
      <c r="D535" s="86" t="str">
        <f t="shared" si="10"/>
        <v>#REF!</v>
      </c>
      <c r="E535" s="86" t="str">
        <f t="shared" si="11"/>
        <v>#REF!</v>
      </c>
      <c r="F535" s="86" t="str">
        <f t="shared" si="12"/>
        <v>#REF!</v>
      </c>
      <c r="G535" s="86" t="str">
        <f t="shared" si="13"/>
        <v>#REF!</v>
      </c>
      <c r="H535" s="86" t="str">
        <f t="shared" si="14"/>
        <v>#REF!</v>
      </c>
      <c r="I535" s="86" t="str">
        <f t="shared" si="15"/>
        <v>#REF!</v>
      </c>
    </row>
    <row r="536">
      <c r="B536" s="86" t="str">
        <f t="shared" si="1"/>
        <v>#REF!</v>
      </c>
      <c r="C536" s="86" t="str">
        <f t="shared" si="9"/>
        <v>#REF!</v>
      </c>
      <c r="D536" s="86" t="str">
        <f t="shared" si="10"/>
        <v>#REF!</v>
      </c>
      <c r="E536" s="86" t="str">
        <f t="shared" si="11"/>
        <v>#REF!</v>
      </c>
      <c r="F536" s="86" t="str">
        <f t="shared" si="12"/>
        <v>#REF!</v>
      </c>
      <c r="G536" s="86" t="str">
        <f t="shared" si="13"/>
        <v>#REF!</v>
      </c>
      <c r="H536" s="86" t="str">
        <f t="shared" si="14"/>
        <v>#REF!</v>
      </c>
      <c r="I536" s="86" t="str">
        <f t="shared" si="15"/>
        <v>#REF!</v>
      </c>
    </row>
    <row r="537">
      <c r="B537" s="86" t="str">
        <f t="shared" si="1"/>
        <v>#REF!</v>
      </c>
      <c r="C537" s="86" t="str">
        <f t="shared" si="9"/>
        <v>#REF!</v>
      </c>
      <c r="D537" s="86" t="str">
        <f t="shared" si="10"/>
        <v>#REF!</v>
      </c>
      <c r="E537" s="86" t="str">
        <f t="shared" si="11"/>
        <v>#REF!</v>
      </c>
      <c r="F537" s="86" t="str">
        <f t="shared" si="12"/>
        <v>#REF!</v>
      </c>
      <c r="G537" s="86" t="str">
        <f t="shared" si="13"/>
        <v>#REF!</v>
      </c>
      <c r="H537" s="86" t="str">
        <f t="shared" si="14"/>
        <v>#REF!</v>
      </c>
      <c r="I537" s="86" t="str">
        <f t="shared" si="15"/>
        <v>#REF!</v>
      </c>
    </row>
    <row r="538">
      <c r="B538" s="86" t="str">
        <f t="shared" si="1"/>
        <v>#REF!</v>
      </c>
      <c r="C538" s="86" t="str">
        <f t="shared" si="9"/>
        <v>#REF!</v>
      </c>
      <c r="D538" s="86" t="str">
        <f t="shared" si="10"/>
        <v>#REF!</v>
      </c>
      <c r="E538" s="86" t="str">
        <f t="shared" si="11"/>
        <v>#REF!</v>
      </c>
      <c r="F538" s="86" t="str">
        <f t="shared" si="12"/>
        <v>#REF!</v>
      </c>
      <c r="G538" s="86" t="str">
        <f t="shared" si="13"/>
        <v>#REF!</v>
      </c>
      <c r="H538" s="86" t="str">
        <f t="shared" si="14"/>
        <v>#REF!</v>
      </c>
      <c r="I538" s="86" t="str">
        <f t="shared" si="15"/>
        <v>#REF!</v>
      </c>
    </row>
    <row r="539">
      <c r="B539" s="86" t="str">
        <f t="shared" si="1"/>
        <v>#REF!</v>
      </c>
      <c r="C539" s="86" t="str">
        <f t="shared" si="9"/>
        <v>#REF!</v>
      </c>
      <c r="D539" s="86" t="str">
        <f t="shared" si="10"/>
        <v>#REF!</v>
      </c>
      <c r="E539" s="86" t="str">
        <f t="shared" si="11"/>
        <v>#REF!</v>
      </c>
      <c r="F539" s="86" t="str">
        <f t="shared" si="12"/>
        <v>#REF!</v>
      </c>
      <c r="G539" s="86" t="str">
        <f t="shared" si="13"/>
        <v>#REF!</v>
      </c>
      <c r="H539" s="86" t="str">
        <f t="shared" si="14"/>
        <v>#REF!</v>
      </c>
      <c r="I539" s="86" t="str">
        <f t="shared" si="15"/>
        <v>#REF!</v>
      </c>
    </row>
    <row r="540">
      <c r="B540" s="86" t="str">
        <f t="shared" si="1"/>
        <v>#REF!</v>
      </c>
      <c r="C540" s="86" t="str">
        <f t="shared" si="9"/>
        <v>#REF!</v>
      </c>
      <c r="D540" s="86" t="str">
        <f t="shared" si="10"/>
        <v>#REF!</v>
      </c>
      <c r="E540" s="86" t="str">
        <f t="shared" si="11"/>
        <v>#REF!</v>
      </c>
      <c r="F540" s="86" t="str">
        <f t="shared" si="12"/>
        <v>#REF!</v>
      </c>
      <c r="G540" s="86" t="str">
        <f t="shared" si="13"/>
        <v>#REF!</v>
      </c>
      <c r="H540" s="86" t="str">
        <f t="shared" si="14"/>
        <v>#REF!</v>
      </c>
      <c r="I540" s="86" t="str">
        <f t="shared" si="15"/>
        <v>#REF!</v>
      </c>
    </row>
    <row r="541">
      <c r="B541" s="86" t="str">
        <f t="shared" si="1"/>
        <v>#REF!</v>
      </c>
      <c r="C541" s="86" t="str">
        <f t="shared" si="9"/>
        <v>#REF!</v>
      </c>
      <c r="D541" s="86" t="str">
        <f t="shared" si="10"/>
        <v>#REF!</v>
      </c>
      <c r="E541" s="86" t="str">
        <f t="shared" si="11"/>
        <v>#REF!</v>
      </c>
      <c r="F541" s="86" t="str">
        <f t="shared" si="12"/>
        <v>#REF!</v>
      </c>
      <c r="G541" s="86" t="str">
        <f t="shared" si="13"/>
        <v>#REF!</v>
      </c>
      <c r="H541" s="86" t="str">
        <f t="shared" si="14"/>
        <v>#REF!</v>
      </c>
      <c r="I541" s="86" t="str">
        <f t="shared" si="15"/>
        <v>#REF!</v>
      </c>
    </row>
    <row r="542">
      <c r="B542" s="86" t="str">
        <f t="shared" si="1"/>
        <v>#REF!</v>
      </c>
      <c r="C542" s="86" t="str">
        <f t="shared" si="9"/>
        <v>#REF!</v>
      </c>
      <c r="D542" s="86" t="str">
        <f t="shared" si="10"/>
        <v>#REF!</v>
      </c>
      <c r="E542" s="86" t="str">
        <f t="shared" si="11"/>
        <v>#REF!</v>
      </c>
      <c r="F542" s="86" t="str">
        <f t="shared" si="12"/>
        <v>#REF!</v>
      </c>
      <c r="G542" s="86" t="str">
        <f t="shared" si="13"/>
        <v>#REF!</v>
      </c>
      <c r="H542" s="86" t="str">
        <f t="shared" si="14"/>
        <v>#REF!</v>
      </c>
      <c r="I542" s="86" t="str">
        <f t="shared" si="15"/>
        <v>#REF!</v>
      </c>
    </row>
    <row r="543">
      <c r="B543" s="86" t="str">
        <f t="shared" si="1"/>
        <v>#REF!</v>
      </c>
      <c r="C543" s="86" t="str">
        <f t="shared" si="9"/>
        <v>#REF!</v>
      </c>
      <c r="D543" s="86" t="str">
        <f t="shared" si="10"/>
        <v>#REF!</v>
      </c>
      <c r="E543" s="86" t="str">
        <f t="shared" si="11"/>
        <v>#REF!</v>
      </c>
      <c r="F543" s="86" t="str">
        <f t="shared" si="12"/>
        <v>#REF!</v>
      </c>
      <c r="G543" s="86" t="str">
        <f t="shared" si="13"/>
        <v>#REF!</v>
      </c>
      <c r="H543" s="86" t="str">
        <f t="shared" si="14"/>
        <v>#REF!</v>
      </c>
      <c r="I543" s="86" t="str">
        <f t="shared" si="15"/>
        <v>#REF!</v>
      </c>
    </row>
    <row r="544">
      <c r="B544" s="86" t="str">
        <f t="shared" si="1"/>
        <v>#REF!</v>
      </c>
      <c r="C544" s="86" t="str">
        <f t="shared" si="9"/>
        <v>#REF!</v>
      </c>
      <c r="D544" s="86" t="str">
        <f t="shared" si="10"/>
        <v>#REF!</v>
      </c>
      <c r="E544" s="86" t="str">
        <f t="shared" si="11"/>
        <v>#REF!</v>
      </c>
      <c r="F544" s="86" t="str">
        <f t="shared" si="12"/>
        <v>#REF!</v>
      </c>
      <c r="G544" s="86" t="str">
        <f t="shared" si="13"/>
        <v>#REF!</v>
      </c>
      <c r="H544" s="86" t="str">
        <f t="shared" si="14"/>
        <v>#REF!</v>
      </c>
      <c r="I544" s="86" t="str">
        <f t="shared" si="15"/>
        <v>#REF!</v>
      </c>
    </row>
    <row r="545">
      <c r="B545" s="86" t="str">
        <f t="shared" si="1"/>
        <v>#REF!</v>
      </c>
      <c r="C545" s="86" t="str">
        <f t="shared" si="9"/>
        <v>#REF!</v>
      </c>
      <c r="D545" s="86" t="str">
        <f t="shared" si="10"/>
        <v>#REF!</v>
      </c>
      <c r="E545" s="86" t="str">
        <f t="shared" si="11"/>
        <v>#REF!</v>
      </c>
      <c r="F545" s="86" t="str">
        <f t="shared" si="12"/>
        <v>#REF!</v>
      </c>
      <c r="G545" s="86" t="str">
        <f t="shared" si="13"/>
        <v>#REF!</v>
      </c>
      <c r="H545" s="86" t="str">
        <f t="shared" si="14"/>
        <v>#REF!</v>
      </c>
      <c r="I545" s="86" t="str">
        <f t="shared" si="15"/>
        <v>#REF!</v>
      </c>
    </row>
    <row r="546">
      <c r="B546" s="86" t="str">
        <f t="shared" si="1"/>
        <v>#REF!</v>
      </c>
      <c r="C546" s="86" t="str">
        <f t="shared" si="9"/>
        <v>#REF!</v>
      </c>
      <c r="D546" s="86" t="str">
        <f t="shared" si="10"/>
        <v>#REF!</v>
      </c>
      <c r="E546" s="86" t="str">
        <f t="shared" si="11"/>
        <v>#REF!</v>
      </c>
      <c r="F546" s="86" t="str">
        <f t="shared" si="12"/>
        <v>#REF!</v>
      </c>
      <c r="G546" s="86" t="str">
        <f t="shared" si="13"/>
        <v>#REF!</v>
      </c>
      <c r="H546" s="86" t="str">
        <f t="shared" si="14"/>
        <v>#REF!</v>
      </c>
      <c r="I546" s="86" t="str">
        <f t="shared" si="15"/>
        <v>#REF!</v>
      </c>
    </row>
    <row r="547">
      <c r="B547" s="86" t="str">
        <f t="shared" si="1"/>
        <v>#REF!</v>
      </c>
      <c r="C547" s="86" t="str">
        <f t="shared" si="9"/>
        <v>#REF!</v>
      </c>
      <c r="D547" s="86" t="str">
        <f t="shared" si="10"/>
        <v>#REF!</v>
      </c>
      <c r="E547" s="86" t="str">
        <f t="shared" si="11"/>
        <v>#REF!</v>
      </c>
      <c r="F547" s="86" t="str">
        <f t="shared" si="12"/>
        <v>#REF!</v>
      </c>
      <c r="G547" s="86" t="str">
        <f t="shared" si="13"/>
        <v>#REF!</v>
      </c>
      <c r="H547" s="86" t="str">
        <f t="shared" si="14"/>
        <v>#REF!</v>
      </c>
      <c r="I547" s="86" t="str">
        <f t="shared" si="15"/>
        <v>#REF!</v>
      </c>
    </row>
    <row r="548">
      <c r="B548" s="86" t="str">
        <f t="shared" si="1"/>
        <v>#REF!</v>
      </c>
      <c r="C548" s="86" t="str">
        <f t="shared" si="9"/>
        <v>#REF!</v>
      </c>
      <c r="D548" s="86" t="str">
        <f t="shared" si="10"/>
        <v>#REF!</v>
      </c>
      <c r="E548" s="86" t="str">
        <f t="shared" si="11"/>
        <v>#REF!</v>
      </c>
      <c r="F548" s="86" t="str">
        <f t="shared" si="12"/>
        <v>#REF!</v>
      </c>
      <c r="G548" s="86" t="str">
        <f t="shared" si="13"/>
        <v>#REF!</v>
      </c>
      <c r="H548" s="86" t="str">
        <f t="shared" si="14"/>
        <v>#REF!</v>
      </c>
      <c r="I548" s="86" t="str">
        <f t="shared" si="15"/>
        <v>#REF!</v>
      </c>
    </row>
    <row r="549">
      <c r="B549" s="86" t="str">
        <f t="shared" si="1"/>
        <v>#REF!</v>
      </c>
      <c r="C549" s="86" t="str">
        <f t="shared" si="9"/>
        <v>#REF!</v>
      </c>
      <c r="D549" s="86" t="str">
        <f t="shared" si="10"/>
        <v>#REF!</v>
      </c>
      <c r="E549" s="86" t="str">
        <f t="shared" si="11"/>
        <v>#REF!</v>
      </c>
      <c r="F549" s="86" t="str">
        <f t="shared" si="12"/>
        <v>#REF!</v>
      </c>
      <c r="G549" s="86" t="str">
        <f t="shared" si="13"/>
        <v>#REF!</v>
      </c>
      <c r="H549" s="86" t="str">
        <f t="shared" si="14"/>
        <v>#REF!</v>
      </c>
      <c r="I549" s="86" t="str">
        <f t="shared" si="15"/>
        <v>#REF!</v>
      </c>
    </row>
    <row r="550">
      <c r="B550" s="86" t="str">
        <f t="shared" si="1"/>
        <v>#REF!</v>
      </c>
      <c r="C550" s="86" t="str">
        <f t="shared" si="9"/>
        <v>#REF!</v>
      </c>
      <c r="D550" s="86" t="str">
        <f t="shared" si="10"/>
        <v>#REF!</v>
      </c>
      <c r="E550" s="86" t="str">
        <f t="shared" si="11"/>
        <v>#REF!</v>
      </c>
      <c r="F550" s="86" t="str">
        <f t="shared" si="12"/>
        <v>#REF!</v>
      </c>
      <c r="G550" s="86" t="str">
        <f t="shared" si="13"/>
        <v>#REF!</v>
      </c>
      <c r="H550" s="86" t="str">
        <f t="shared" si="14"/>
        <v>#REF!</v>
      </c>
      <c r="I550" s="86" t="str">
        <f t="shared" si="15"/>
        <v>#REF!</v>
      </c>
    </row>
    <row r="551">
      <c r="B551" s="86" t="str">
        <f t="shared" si="1"/>
        <v>#REF!</v>
      </c>
      <c r="C551" s="86" t="str">
        <f t="shared" si="9"/>
        <v>#REF!</v>
      </c>
      <c r="D551" s="86" t="str">
        <f t="shared" si="10"/>
        <v>#REF!</v>
      </c>
      <c r="E551" s="86" t="str">
        <f t="shared" si="11"/>
        <v>#REF!</v>
      </c>
      <c r="F551" s="86" t="str">
        <f t="shared" si="12"/>
        <v>#REF!</v>
      </c>
      <c r="G551" s="86" t="str">
        <f t="shared" si="13"/>
        <v>#REF!</v>
      </c>
      <c r="H551" s="86" t="str">
        <f t="shared" si="14"/>
        <v>#REF!</v>
      </c>
      <c r="I551" s="86" t="str">
        <f t="shared" si="15"/>
        <v>#REF!</v>
      </c>
    </row>
    <row r="552">
      <c r="B552" s="86" t="str">
        <f t="shared" si="1"/>
        <v>#REF!</v>
      </c>
      <c r="C552" s="86" t="str">
        <f t="shared" si="9"/>
        <v>#REF!</v>
      </c>
      <c r="D552" s="86" t="str">
        <f t="shared" si="10"/>
        <v>#REF!</v>
      </c>
      <c r="E552" s="86" t="str">
        <f t="shared" si="11"/>
        <v>#REF!</v>
      </c>
      <c r="F552" s="86" t="str">
        <f t="shared" si="12"/>
        <v>#REF!</v>
      </c>
      <c r="G552" s="86" t="str">
        <f t="shared" si="13"/>
        <v>#REF!</v>
      </c>
      <c r="H552" s="86" t="str">
        <f t="shared" si="14"/>
        <v>#REF!</v>
      </c>
      <c r="I552" s="86" t="str">
        <f t="shared" si="15"/>
        <v>#REF!</v>
      </c>
    </row>
    <row r="553">
      <c r="B553" s="86" t="str">
        <f t="shared" si="1"/>
        <v>#REF!</v>
      </c>
      <c r="C553" s="86" t="str">
        <f t="shared" si="9"/>
        <v>#REF!</v>
      </c>
      <c r="D553" s="86" t="str">
        <f t="shared" si="10"/>
        <v>#REF!</v>
      </c>
      <c r="E553" s="86" t="str">
        <f t="shared" si="11"/>
        <v>#REF!</v>
      </c>
      <c r="F553" s="86" t="str">
        <f t="shared" si="12"/>
        <v>#REF!</v>
      </c>
      <c r="G553" s="86" t="str">
        <f t="shared" si="13"/>
        <v>#REF!</v>
      </c>
      <c r="H553" s="86" t="str">
        <f t="shared" si="14"/>
        <v>#REF!</v>
      </c>
      <c r="I553" s="86" t="str">
        <f t="shared" si="15"/>
        <v>#REF!</v>
      </c>
    </row>
    <row r="554">
      <c r="B554" s="86" t="str">
        <f t="shared" si="1"/>
        <v>#REF!</v>
      </c>
      <c r="C554" s="86" t="str">
        <f t="shared" si="9"/>
        <v>#REF!</v>
      </c>
      <c r="D554" s="86" t="str">
        <f t="shared" si="10"/>
        <v>#REF!</v>
      </c>
      <c r="E554" s="86" t="str">
        <f t="shared" si="11"/>
        <v>#REF!</v>
      </c>
      <c r="F554" s="86" t="str">
        <f t="shared" si="12"/>
        <v>#REF!</v>
      </c>
      <c r="G554" s="86" t="str">
        <f t="shared" si="13"/>
        <v>#REF!</v>
      </c>
      <c r="H554" s="86" t="str">
        <f t="shared" si="14"/>
        <v>#REF!</v>
      </c>
      <c r="I554" s="86" t="str">
        <f t="shared" si="15"/>
        <v>#REF!</v>
      </c>
    </row>
    <row r="555">
      <c r="B555" s="86" t="str">
        <f t="shared" si="1"/>
        <v>#REF!</v>
      </c>
      <c r="C555" s="86" t="str">
        <f t="shared" si="9"/>
        <v>#REF!</v>
      </c>
      <c r="D555" s="86" t="str">
        <f t="shared" si="10"/>
        <v>#REF!</v>
      </c>
      <c r="E555" s="86" t="str">
        <f t="shared" si="11"/>
        <v>#REF!</v>
      </c>
      <c r="F555" s="86" t="str">
        <f t="shared" si="12"/>
        <v>#REF!</v>
      </c>
      <c r="G555" s="86" t="str">
        <f t="shared" si="13"/>
        <v>#REF!</v>
      </c>
      <c r="H555" s="86" t="str">
        <f t="shared" si="14"/>
        <v>#REF!</v>
      </c>
      <c r="I555" s="86" t="str">
        <f t="shared" si="15"/>
        <v>#REF!</v>
      </c>
    </row>
    <row r="556">
      <c r="B556" s="86" t="str">
        <f t="shared" si="1"/>
        <v>#REF!</v>
      </c>
      <c r="C556" s="86" t="str">
        <f t="shared" si="9"/>
        <v>#REF!</v>
      </c>
      <c r="D556" s="86" t="str">
        <f t="shared" si="10"/>
        <v>#REF!</v>
      </c>
      <c r="E556" s="86" t="str">
        <f t="shared" si="11"/>
        <v>#REF!</v>
      </c>
      <c r="F556" s="86" t="str">
        <f t="shared" si="12"/>
        <v>#REF!</v>
      </c>
      <c r="G556" s="86" t="str">
        <f t="shared" si="13"/>
        <v>#REF!</v>
      </c>
      <c r="H556" s="86" t="str">
        <f t="shared" si="14"/>
        <v>#REF!</v>
      </c>
      <c r="I556" s="86" t="str">
        <f t="shared" si="15"/>
        <v>#REF!</v>
      </c>
    </row>
    <row r="557">
      <c r="B557" s="86" t="str">
        <f t="shared" si="1"/>
        <v>#REF!</v>
      </c>
      <c r="C557" s="86" t="str">
        <f t="shared" si="9"/>
        <v>#REF!</v>
      </c>
      <c r="D557" s="86" t="str">
        <f t="shared" si="10"/>
        <v>#REF!</v>
      </c>
      <c r="E557" s="86" t="str">
        <f t="shared" si="11"/>
        <v>#REF!</v>
      </c>
      <c r="F557" s="86" t="str">
        <f t="shared" si="12"/>
        <v>#REF!</v>
      </c>
      <c r="G557" s="86" t="str">
        <f t="shared" si="13"/>
        <v>#REF!</v>
      </c>
      <c r="H557" s="86" t="str">
        <f t="shared" si="14"/>
        <v>#REF!</v>
      </c>
      <c r="I557" s="86" t="str">
        <f t="shared" si="15"/>
        <v>#REF!</v>
      </c>
    </row>
    <row r="558">
      <c r="B558" s="86" t="str">
        <f t="shared" si="1"/>
        <v>#REF!</v>
      </c>
      <c r="C558" s="86" t="str">
        <f t="shared" si="9"/>
        <v>#REF!</v>
      </c>
      <c r="D558" s="86" t="str">
        <f t="shared" si="10"/>
        <v>#REF!</v>
      </c>
      <c r="E558" s="86" t="str">
        <f t="shared" si="11"/>
        <v>#REF!</v>
      </c>
      <c r="F558" s="86" t="str">
        <f t="shared" si="12"/>
        <v>#REF!</v>
      </c>
      <c r="G558" s="86" t="str">
        <f t="shared" si="13"/>
        <v>#REF!</v>
      </c>
      <c r="H558" s="86" t="str">
        <f t="shared" si="14"/>
        <v>#REF!</v>
      </c>
      <c r="I558" s="86" t="str">
        <f t="shared" si="15"/>
        <v>#REF!</v>
      </c>
    </row>
    <row r="559">
      <c r="B559" s="86" t="str">
        <f t="shared" si="1"/>
        <v>#REF!</v>
      </c>
      <c r="C559" s="86" t="str">
        <f t="shared" si="9"/>
        <v>#REF!</v>
      </c>
      <c r="D559" s="86" t="str">
        <f t="shared" si="10"/>
        <v>#REF!</v>
      </c>
      <c r="E559" s="86" t="str">
        <f t="shared" si="11"/>
        <v>#REF!</v>
      </c>
      <c r="F559" s="86" t="str">
        <f t="shared" si="12"/>
        <v>#REF!</v>
      </c>
      <c r="G559" s="86" t="str">
        <f t="shared" si="13"/>
        <v>#REF!</v>
      </c>
      <c r="H559" s="86" t="str">
        <f t="shared" si="14"/>
        <v>#REF!</v>
      </c>
      <c r="I559" s="86" t="str">
        <f t="shared" si="15"/>
        <v>#REF!</v>
      </c>
    </row>
    <row r="560">
      <c r="B560" s="86" t="str">
        <f t="shared" si="1"/>
        <v>#REF!</v>
      </c>
      <c r="C560" s="86" t="str">
        <f t="shared" si="9"/>
        <v>#REF!</v>
      </c>
      <c r="D560" s="86" t="str">
        <f t="shared" si="10"/>
        <v>#REF!</v>
      </c>
      <c r="E560" s="86" t="str">
        <f t="shared" si="11"/>
        <v>#REF!</v>
      </c>
      <c r="F560" s="86" t="str">
        <f t="shared" si="12"/>
        <v>#REF!</v>
      </c>
      <c r="G560" s="86" t="str">
        <f t="shared" si="13"/>
        <v>#REF!</v>
      </c>
      <c r="H560" s="86" t="str">
        <f t="shared" si="14"/>
        <v>#REF!</v>
      </c>
      <c r="I560" s="86" t="str">
        <f t="shared" si="15"/>
        <v>#REF!</v>
      </c>
    </row>
    <row r="561">
      <c r="B561" s="86" t="str">
        <f t="shared" si="1"/>
        <v>#REF!</v>
      </c>
      <c r="C561" s="86" t="str">
        <f t="shared" si="9"/>
        <v>#REF!</v>
      </c>
      <c r="D561" s="86" t="str">
        <f t="shared" si="10"/>
        <v>#REF!</v>
      </c>
      <c r="E561" s="86" t="str">
        <f t="shared" si="11"/>
        <v>#REF!</v>
      </c>
      <c r="F561" s="86" t="str">
        <f t="shared" si="12"/>
        <v>#REF!</v>
      </c>
      <c r="G561" s="86" t="str">
        <f t="shared" si="13"/>
        <v>#REF!</v>
      </c>
      <c r="H561" s="86" t="str">
        <f t="shared" si="14"/>
        <v>#REF!</v>
      </c>
      <c r="I561" s="86" t="str">
        <f t="shared" si="15"/>
        <v>#REF!</v>
      </c>
    </row>
    <row r="562">
      <c r="B562" s="86" t="str">
        <f t="shared" si="1"/>
        <v>#REF!</v>
      </c>
      <c r="C562" s="86" t="str">
        <f t="shared" si="9"/>
        <v>#REF!</v>
      </c>
      <c r="D562" s="86" t="str">
        <f t="shared" si="10"/>
        <v>#REF!</v>
      </c>
      <c r="E562" s="86" t="str">
        <f t="shared" si="11"/>
        <v>#REF!</v>
      </c>
      <c r="F562" s="86" t="str">
        <f t="shared" si="12"/>
        <v>#REF!</v>
      </c>
      <c r="G562" s="86" t="str">
        <f t="shared" si="13"/>
        <v>#REF!</v>
      </c>
      <c r="H562" s="86" t="str">
        <f t="shared" si="14"/>
        <v>#REF!</v>
      </c>
      <c r="I562" s="86" t="str">
        <f t="shared" si="15"/>
        <v>#REF!</v>
      </c>
    </row>
    <row r="563">
      <c r="B563" s="86" t="str">
        <f t="shared" si="1"/>
        <v>#REF!</v>
      </c>
      <c r="C563" s="86" t="str">
        <f t="shared" si="9"/>
        <v>#REF!</v>
      </c>
      <c r="D563" s="86" t="str">
        <f t="shared" si="10"/>
        <v>#REF!</v>
      </c>
      <c r="E563" s="86" t="str">
        <f t="shared" si="11"/>
        <v>#REF!</v>
      </c>
      <c r="F563" s="86" t="str">
        <f t="shared" si="12"/>
        <v>#REF!</v>
      </c>
      <c r="G563" s="86" t="str">
        <f t="shared" si="13"/>
        <v>#REF!</v>
      </c>
      <c r="H563" s="86" t="str">
        <f t="shared" si="14"/>
        <v>#REF!</v>
      </c>
      <c r="I563" s="86" t="str">
        <f t="shared" si="15"/>
        <v>#REF!</v>
      </c>
    </row>
    <row r="564">
      <c r="B564" s="86" t="str">
        <f t="shared" si="1"/>
        <v>#REF!</v>
      </c>
      <c r="C564" s="86" t="str">
        <f t="shared" si="9"/>
        <v>#REF!</v>
      </c>
      <c r="D564" s="86" t="str">
        <f t="shared" si="10"/>
        <v>#REF!</v>
      </c>
      <c r="E564" s="86" t="str">
        <f t="shared" si="11"/>
        <v>#REF!</v>
      </c>
      <c r="F564" s="86" t="str">
        <f t="shared" si="12"/>
        <v>#REF!</v>
      </c>
      <c r="G564" s="86" t="str">
        <f t="shared" si="13"/>
        <v>#REF!</v>
      </c>
      <c r="H564" s="86" t="str">
        <f t="shared" si="14"/>
        <v>#REF!</v>
      </c>
      <c r="I564" s="86" t="str">
        <f t="shared" si="15"/>
        <v>#REF!</v>
      </c>
    </row>
    <row r="565">
      <c r="B565" s="86" t="str">
        <f t="shared" si="1"/>
        <v>#REF!</v>
      </c>
      <c r="C565" s="86" t="str">
        <f t="shared" si="9"/>
        <v>#REF!</v>
      </c>
      <c r="D565" s="86" t="str">
        <f t="shared" si="10"/>
        <v>#REF!</v>
      </c>
      <c r="E565" s="86" t="str">
        <f t="shared" si="11"/>
        <v>#REF!</v>
      </c>
      <c r="F565" s="86" t="str">
        <f t="shared" si="12"/>
        <v>#REF!</v>
      </c>
      <c r="G565" s="86" t="str">
        <f t="shared" si="13"/>
        <v>#REF!</v>
      </c>
      <c r="H565" s="86" t="str">
        <f t="shared" si="14"/>
        <v>#REF!</v>
      </c>
      <c r="I565" s="86" t="str">
        <f t="shared" si="15"/>
        <v>#REF!</v>
      </c>
    </row>
    <row r="566">
      <c r="B566" s="86" t="str">
        <f t="shared" si="1"/>
        <v>#REF!</v>
      </c>
      <c r="C566" s="86" t="str">
        <f t="shared" si="9"/>
        <v>#REF!</v>
      </c>
      <c r="D566" s="86" t="str">
        <f t="shared" si="10"/>
        <v>#REF!</v>
      </c>
      <c r="E566" s="86" t="str">
        <f t="shared" si="11"/>
        <v>#REF!</v>
      </c>
      <c r="F566" s="86" t="str">
        <f t="shared" si="12"/>
        <v>#REF!</v>
      </c>
      <c r="G566" s="86" t="str">
        <f t="shared" si="13"/>
        <v>#REF!</v>
      </c>
      <c r="H566" s="86" t="str">
        <f t="shared" si="14"/>
        <v>#REF!</v>
      </c>
      <c r="I566" s="86" t="str">
        <f t="shared" si="15"/>
        <v>#REF!</v>
      </c>
    </row>
    <row r="567">
      <c r="B567" s="86" t="str">
        <f t="shared" si="1"/>
        <v>#REF!</v>
      </c>
      <c r="C567" s="86" t="str">
        <f t="shared" si="9"/>
        <v>#REF!</v>
      </c>
      <c r="D567" s="86" t="str">
        <f t="shared" si="10"/>
        <v>#REF!</v>
      </c>
      <c r="E567" s="86" t="str">
        <f t="shared" si="11"/>
        <v>#REF!</v>
      </c>
      <c r="F567" s="86" t="str">
        <f t="shared" si="12"/>
        <v>#REF!</v>
      </c>
      <c r="G567" s="86" t="str">
        <f t="shared" si="13"/>
        <v>#REF!</v>
      </c>
      <c r="H567" s="86" t="str">
        <f t="shared" si="14"/>
        <v>#REF!</v>
      </c>
      <c r="I567" s="86" t="str">
        <f t="shared" si="15"/>
        <v>#REF!</v>
      </c>
    </row>
    <row r="568">
      <c r="B568" s="86" t="str">
        <f t="shared" si="1"/>
        <v>#REF!</v>
      </c>
      <c r="C568" s="86" t="str">
        <f t="shared" si="9"/>
        <v>#REF!</v>
      </c>
      <c r="D568" s="86" t="str">
        <f t="shared" si="10"/>
        <v>#REF!</v>
      </c>
      <c r="E568" s="86" t="str">
        <f t="shared" si="11"/>
        <v>#REF!</v>
      </c>
      <c r="F568" s="86" t="str">
        <f t="shared" si="12"/>
        <v>#REF!</v>
      </c>
      <c r="G568" s="86" t="str">
        <f t="shared" si="13"/>
        <v>#REF!</v>
      </c>
      <c r="H568" s="86" t="str">
        <f t="shared" si="14"/>
        <v>#REF!</v>
      </c>
      <c r="I568" s="86" t="str">
        <f t="shared" si="15"/>
        <v>#REF!</v>
      </c>
    </row>
    <row r="569">
      <c r="B569" s="86" t="str">
        <f t="shared" si="1"/>
        <v>#REF!</v>
      </c>
      <c r="C569" s="86" t="str">
        <f t="shared" si="9"/>
        <v>#REF!</v>
      </c>
      <c r="D569" s="86" t="str">
        <f t="shared" si="10"/>
        <v>#REF!</v>
      </c>
      <c r="E569" s="86" t="str">
        <f t="shared" si="11"/>
        <v>#REF!</v>
      </c>
      <c r="F569" s="86" t="str">
        <f t="shared" si="12"/>
        <v>#REF!</v>
      </c>
      <c r="G569" s="86" t="str">
        <f t="shared" si="13"/>
        <v>#REF!</v>
      </c>
      <c r="H569" s="86" t="str">
        <f t="shared" si="14"/>
        <v>#REF!</v>
      </c>
      <c r="I569" s="86" t="str">
        <f t="shared" si="15"/>
        <v>#REF!</v>
      </c>
    </row>
    <row r="570">
      <c r="B570" s="86" t="str">
        <f t="shared" si="1"/>
        <v>#REF!</v>
      </c>
      <c r="C570" s="86" t="str">
        <f t="shared" si="9"/>
        <v>#REF!</v>
      </c>
      <c r="D570" s="86" t="str">
        <f t="shared" si="10"/>
        <v>#REF!</v>
      </c>
      <c r="E570" s="86" t="str">
        <f t="shared" si="11"/>
        <v>#REF!</v>
      </c>
      <c r="F570" s="86" t="str">
        <f t="shared" si="12"/>
        <v>#REF!</v>
      </c>
      <c r="G570" s="86" t="str">
        <f t="shared" si="13"/>
        <v>#REF!</v>
      </c>
      <c r="H570" s="86" t="str">
        <f t="shared" si="14"/>
        <v>#REF!</v>
      </c>
      <c r="I570" s="86" t="str">
        <f t="shared" si="15"/>
        <v>#REF!</v>
      </c>
    </row>
    <row r="571">
      <c r="B571" s="86" t="str">
        <f t="shared" si="1"/>
        <v>#REF!</v>
      </c>
      <c r="C571" s="86" t="str">
        <f t="shared" si="9"/>
        <v>#REF!</v>
      </c>
      <c r="D571" s="86" t="str">
        <f t="shared" si="10"/>
        <v>#REF!</v>
      </c>
      <c r="E571" s="86" t="str">
        <f t="shared" si="11"/>
        <v>#REF!</v>
      </c>
      <c r="F571" s="86" t="str">
        <f t="shared" si="12"/>
        <v>#REF!</v>
      </c>
      <c r="G571" s="86" t="str">
        <f t="shared" si="13"/>
        <v>#REF!</v>
      </c>
      <c r="H571" s="86" t="str">
        <f t="shared" si="14"/>
        <v>#REF!</v>
      </c>
      <c r="I571" s="86" t="str">
        <f t="shared" si="15"/>
        <v>#REF!</v>
      </c>
    </row>
    <row r="572">
      <c r="B572" s="86" t="str">
        <f t="shared" si="1"/>
        <v>#REF!</v>
      </c>
      <c r="C572" s="86" t="str">
        <f t="shared" si="9"/>
        <v>#REF!</v>
      </c>
      <c r="D572" s="86" t="str">
        <f t="shared" si="10"/>
        <v>#REF!</v>
      </c>
      <c r="E572" s="86" t="str">
        <f t="shared" si="11"/>
        <v>#REF!</v>
      </c>
      <c r="F572" s="86" t="str">
        <f t="shared" si="12"/>
        <v>#REF!</v>
      </c>
      <c r="G572" s="86" t="str">
        <f t="shared" si="13"/>
        <v>#REF!</v>
      </c>
      <c r="H572" s="86" t="str">
        <f t="shared" si="14"/>
        <v>#REF!</v>
      </c>
      <c r="I572" s="86" t="str">
        <f t="shared" si="15"/>
        <v>#REF!</v>
      </c>
    </row>
    <row r="573">
      <c r="B573" s="86" t="str">
        <f t="shared" si="1"/>
        <v>#REF!</v>
      </c>
      <c r="C573" s="86" t="str">
        <f t="shared" si="9"/>
        <v>#REF!</v>
      </c>
      <c r="D573" s="86" t="str">
        <f t="shared" si="10"/>
        <v>#REF!</v>
      </c>
      <c r="E573" s="86" t="str">
        <f t="shared" si="11"/>
        <v>#REF!</v>
      </c>
      <c r="F573" s="86" t="str">
        <f t="shared" si="12"/>
        <v>#REF!</v>
      </c>
      <c r="G573" s="86" t="str">
        <f t="shared" si="13"/>
        <v>#REF!</v>
      </c>
      <c r="H573" s="86" t="str">
        <f t="shared" si="14"/>
        <v>#REF!</v>
      </c>
      <c r="I573" s="86" t="str">
        <f t="shared" si="15"/>
        <v>#REF!</v>
      </c>
    </row>
    <row r="574">
      <c r="B574" s="86" t="str">
        <f t="shared" si="1"/>
        <v>#REF!</v>
      </c>
      <c r="C574" s="86" t="str">
        <f t="shared" si="9"/>
        <v>#REF!</v>
      </c>
      <c r="D574" s="86" t="str">
        <f t="shared" si="10"/>
        <v>#REF!</v>
      </c>
      <c r="E574" s="86" t="str">
        <f t="shared" si="11"/>
        <v>#REF!</v>
      </c>
      <c r="F574" s="86" t="str">
        <f t="shared" si="12"/>
        <v>#REF!</v>
      </c>
      <c r="G574" s="86" t="str">
        <f t="shared" si="13"/>
        <v>#REF!</v>
      </c>
      <c r="H574" s="86" t="str">
        <f t="shared" si="14"/>
        <v>#REF!</v>
      </c>
      <c r="I574" s="86" t="str">
        <f t="shared" si="15"/>
        <v>#REF!</v>
      </c>
    </row>
    <row r="575">
      <c r="B575" s="86" t="str">
        <f t="shared" si="1"/>
        <v>#REF!</v>
      </c>
      <c r="C575" s="86" t="str">
        <f t="shared" si="9"/>
        <v>#REF!</v>
      </c>
      <c r="D575" s="86" t="str">
        <f t="shared" si="10"/>
        <v>#REF!</v>
      </c>
      <c r="E575" s="86" t="str">
        <f t="shared" si="11"/>
        <v>#REF!</v>
      </c>
      <c r="F575" s="86" t="str">
        <f t="shared" si="12"/>
        <v>#REF!</v>
      </c>
      <c r="G575" s="86" t="str">
        <f t="shared" si="13"/>
        <v>#REF!</v>
      </c>
      <c r="H575" s="86" t="str">
        <f t="shared" si="14"/>
        <v>#REF!</v>
      </c>
      <c r="I575" s="86" t="str">
        <f t="shared" si="15"/>
        <v>#REF!</v>
      </c>
    </row>
    <row r="576">
      <c r="B576" s="86" t="str">
        <f t="shared" si="1"/>
        <v>#REF!</v>
      </c>
      <c r="C576" s="86" t="str">
        <f t="shared" si="9"/>
        <v>#REF!</v>
      </c>
      <c r="D576" s="86" t="str">
        <f t="shared" si="10"/>
        <v>#REF!</v>
      </c>
      <c r="E576" s="86" t="str">
        <f t="shared" si="11"/>
        <v>#REF!</v>
      </c>
      <c r="F576" s="86" t="str">
        <f t="shared" si="12"/>
        <v>#REF!</v>
      </c>
      <c r="G576" s="86" t="str">
        <f t="shared" si="13"/>
        <v>#REF!</v>
      </c>
      <c r="H576" s="86" t="str">
        <f t="shared" si="14"/>
        <v>#REF!</v>
      </c>
      <c r="I576" s="86" t="str">
        <f t="shared" si="15"/>
        <v>#REF!</v>
      </c>
    </row>
    <row r="577">
      <c r="B577" s="86" t="str">
        <f t="shared" si="1"/>
        <v>#REF!</v>
      </c>
      <c r="C577" s="86" t="str">
        <f t="shared" si="9"/>
        <v>#REF!</v>
      </c>
      <c r="D577" s="86" t="str">
        <f t="shared" si="10"/>
        <v>#REF!</v>
      </c>
      <c r="E577" s="86" t="str">
        <f t="shared" si="11"/>
        <v>#REF!</v>
      </c>
      <c r="F577" s="86" t="str">
        <f t="shared" si="12"/>
        <v>#REF!</v>
      </c>
      <c r="G577" s="86" t="str">
        <f t="shared" si="13"/>
        <v>#REF!</v>
      </c>
      <c r="H577" s="86" t="str">
        <f t="shared" si="14"/>
        <v>#REF!</v>
      </c>
      <c r="I577" s="86" t="str">
        <f t="shared" si="15"/>
        <v>#REF!</v>
      </c>
    </row>
    <row r="578">
      <c r="B578" s="86" t="str">
        <f t="shared" si="1"/>
        <v>#REF!</v>
      </c>
      <c r="C578" s="86" t="str">
        <f t="shared" si="9"/>
        <v>#REF!</v>
      </c>
      <c r="D578" s="86" t="str">
        <f t="shared" si="10"/>
        <v>#REF!</v>
      </c>
      <c r="E578" s="86" t="str">
        <f t="shared" si="11"/>
        <v>#REF!</v>
      </c>
      <c r="F578" s="86" t="str">
        <f t="shared" si="12"/>
        <v>#REF!</v>
      </c>
      <c r="G578" s="86" t="str">
        <f t="shared" si="13"/>
        <v>#REF!</v>
      </c>
      <c r="H578" s="86" t="str">
        <f t="shared" si="14"/>
        <v>#REF!</v>
      </c>
      <c r="I578" s="86" t="str">
        <f t="shared" si="15"/>
        <v>#REF!</v>
      </c>
    </row>
    <row r="579">
      <c r="B579" s="86" t="str">
        <f t="shared" si="1"/>
        <v>#REF!</v>
      </c>
      <c r="C579" s="86" t="str">
        <f t="shared" si="9"/>
        <v>#REF!</v>
      </c>
      <c r="D579" s="86" t="str">
        <f t="shared" si="10"/>
        <v>#REF!</v>
      </c>
      <c r="E579" s="86" t="str">
        <f t="shared" si="11"/>
        <v>#REF!</v>
      </c>
      <c r="F579" s="86" t="str">
        <f t="shared" si="12"/>
        <v>#REF!</v>
      </c>
      <c r="G579" s="86" t="str">
        <f t="shared" si="13"/>
        <v>#REF!</v>
      </c>
      <c r="H579" s="86" t="str">
        <f t="shared" si="14"/>
        <v>#REF!</v>
      </c>
      <c r="I579" s="86" t="str">
        <f t="shared" si="15"/>
        <v>#REF!</v>
      </c>
    </row>
    <row r="580">
      <c r="B580" s="86" t="str">
        <f t="shared" si="1"/>
        <v>#REF!</v>
      </c>
      <c r="C580" s="86" t="str">
        <f t="shared" si="9"/>
        <v>#REF!</v>
      </c>
      <c r="D580" s="86" t="str">
        <f t="shared" si="10"/>
        <v>#REF!</v>
      </c>
      <c r="E580" s="86" t="str">
        <f t="shared" si="11"/>
        <v>#REF!</v>
      </c>
      <c r="F580" s="86" t="str">
        <f t="shared" si="12"/>
        <v>#REF!</v>
      </c>
      <c r="G580" s="86" t="str">
        <f t="shared" si="13"/>
        <v>#REF!</v>
      </c>
      <c r="H580" s="86" t="str">
        <f t="shared" si="14"/>
        <v>#REF!</v>
      </c>
      <c r="I580" s="86" t="str">
        <f t="shared" si="15"/>
        <v>#REF!</v>
      </c>
    </row>
    <row r="581">
      <c r="B581" s="86" t="str">
        <f t="shared" si="1"/>
        <v>#REF!</v>
      </c>
      <c r="C581" s="86" t="str">
        <f t="shared" si="9"/>
        <v>#REF!</v>
      </c>
      <c r="D581" s="86" t="str">
        <f t="shared" si="10"/>
        <v>#REF!</v>
      </c>
      <c r="E581" s="86" t="str">
        <f t="shared" si="11"/>
        <v>#REF!</v>
      </c>
      <c r="F581" s="86" t="str">
        <f t="shared" si="12"/>
        <v>#REF!</v>
      </c>
      <c r="G581" s="86" t="str">
        <f t="shared" si="13"/>
        <v>#REF!</v>
      </c>
      <c r="H581" s="86" t="str">
        <f t="shared" si="14"/>
        <v>#REF!</v>
      </c>
      <c r="I581" s="86" t="str">
        <f t="shared" si="15"/>
        <v>#REF!</v>
      </c>
    </row>
    <row r="582">
      <c r="B582" s="86" t="str">
        <f t="shared" si="1"/>
        <v>#REF!</v>
      </c>
      <c r="C582" s="86" t="str">
        <f t="shared" si="9"/>
        <v>#REF!</v>
      </c>
      <c r="D582" s="86" t="str">
        <f t="shared" si="10"/>
        <v>#REF!</v>
      </c>
      <c r="E582" s="86" t="str">
        <f t="shared" si="11"/>
        <v>#REF!</v>
      </c>
      <c r="F582" s="86" t="str">
        <f t="shared" si="12"/>
        <v>#REF!</v>
      </c>
      <c r="G582" s="86" t="str">
        <f t="shared" si="13"/>
        <v>#REF!</v>
      </c>
      <c r="H582" s="86" t="str">
        <f t="shared" si="14"/>
        <v>#REF!</v>
      </c>
      <c r="I582" s="86" t="str">
        <f t="shared" si="15"/>
        <v>#REF!</v>
      </c>
    </row>
    <row r="583">
      <c r="B583" s="86" t="str">
        <f t="shared" si="1"/>
        <v>#REF!</v>
      </c>
      <c r="C583" s="86" t="str">
        <f t="shared" si="9"/>
        <v>#REF!</v>
      </c>
      <c r="D583" s="86" t="str">
        <f t="shared" si="10"/>
        <v>#REF!</v>
      </c>
      <c r="E583" s="86" t="str">
        <f t="shared" si="11"/>
        <v>#REF!</v>
      </c>
      <c r="F583" s="86" t="str">
        <f t="shared" si="12"/>
        <v>#REF!</v>
      </c>
      <c r="G583" s="86" t="str">
        <f t="shared" si="13"/>
        <v>#REF!</v>
      </c>
      <c r="H583" s="86" t="str">
        <f t="shared" si="14"/>
        <v>#REF!</v>
      </c>
      <c r="I583" s="86" t="str">
        <f t="shared" si="15"/>
        <v>#REF!</v>
      </c>
    </row>
    <row r="584">
      <c r="B584" s="86" t="str">
        <f t="shared" si="1"/>
        <v>#REF!</v>
      </c>
      <c r="C584" s="86" t="str">
        <f t="shared" si="9"/>
        <v>#REF!</v>
      </c>
      <c r="D584" s="86" t="str">
        <f t="shared" si="10"/>
        <v>#REF!</v>
      </c>
      <c r="E584" s="86" t="str">
        <f t="shared" si="11"/>
        <v>#REF!</v>
      </c>
      <c r="F584" s="86" t="str">
        <f t="shared" si="12"/>
        <v>#REF!</v>
      </c>
      <c r="G584" s="86" t="str">
        <f t="shared" si="13"/>
        <v>#REF!</v>
      </c>
      <c r="H584" s="86" t="str">
        <f t="shared" si="14"/>
        <v>#REF!</v>
      </c>
      <c r="I584" s="86" t="str">
        <f t="shared" si="15"/>
        <v>#REF!</v>
      </c>
    </row>
    <row r="585">
      <c r="B585" s="86" t="str">
        <f t="shared" si="1"/>
        <v>#REF!</v>
      </c>
      <c r="C585" s="86" t="str">
        <f t="shared" si="9"/>
        <v>#REF!</v>
      </c>
      <c r="D585" s="86" t="str">
        <f t="shared" si="10"/>
        <v>#REF!</v>
      </c>
      <c r="E585" s="86" t="str">
        <f t="shared" si="11"/>
        <v>#REF!</v>
      </c>
      <c r="F585" s="86" t="str">
        <f t="shared" si="12"/>
        <v>#REF!</v>
      </c>
      <c r="G585" s="86" t="str">
        <f t="shared" si="13"/>
        <v>#REF!</v>
      </c>
      <c r="H585" s="86" t="str">
        <f t="shared" si="14"/>
        <v>#REF!</v>
      </c>
      <c r="I585" s="86" t="str">
        <f t="shared" si="15"/>
        <v>#REF!</v>
      </c>
    </row>
    <row r="586">
      <c r="B586" s="86" t="str">
        <f t="shared" si="1"/>
        <v>#REF!</v>
      </c>
      <c r="C586" s="86" t="str">
        <f t="shared" si="9"/>
        <v>#REF!</v>
      </c>
      <c r="D586" s="86" t="str">
        <f t="shared" si="10"/>
        <v>#REF!</v>
      </c>
      <c r="E586" s="86" t="str">
        <f t="shared" si="11"/>
        <v>#REF!</v>
      </c>
      <c r="F586" s="86" t="str">
        <f t="shared" si="12"/>
        <v>#REF!</v>
      </c>
      <c r="G586" s="86" t="str">
        <f t="shared" si="13"/>
        <v>#REF!</v>
      </c>
      <c r="H586" s="86" t="str">
        <f t="shared" si="14"/>
        <v>#REF!</v>
      </c>
      <c r="I586" s="86" t="str">
        <f t="shared" si="15"/>
        <v>#REF!</v>
      </c>
    </row>
    <row r="587">
      <c r="B587" s="86" t="str">
        <f t="shared" si="1"/>
        <v>#REF!</v>
      </c>
      <c r="C587" s="86" t="str">
        <f t="shared" si="9"/>
        <v>#REF!</v>
      </c>
      <c r="D587" s="86" t="str">
        <f t="shared" si="10"/>
        <v>#REF!</v>
      </c>
      <c r="E587" s="86" t="str">
        <f t="shared" si="11"/>
        <v>#REF!</v>
      </c>
      <c r="F587" s="86" t="str">
        <f t="shared" si="12"/>
        <v>#REF!</v>
      </c>
      <c r="G587" s="86" t="str">
        <f t="shared" si="13"/>
        <v>#REF!</v>
      </c>
      <c r="H587" s="86" t="str">
        <f t="shared" si="14"/>
        <v>#REF!</v>
      </c>
      <c r="I587" s="86" t="str">
        <f t="shared" si="15"/>
        <v>#REF!</v>
      </c>
    </row>
    <row r="588">
      <c r="B588" s="86" t="str">
        <f t="shared" si="1"/>
        <v>#REF!</v>
      </c>
      <c r="C588" s="86" t="str">
        <f t="shared" si="9"/>
        <v>#REF!</v>
      </c>
      <c r="D588" s="86" t="str">
        <f t="shared" si="10"/>
        <v>#REF!</v>
      </c>
      <c r="E588" s="86" t="str">
        <f t="shared" si="11"/>
        <v>#REF!</v>
      </c>
      <c r="F588" s="86" t="str">
        <f t="shared" si="12"/>
        <v>#REF!</v>
      </c>
      <c r="G588" s="86" t="str">
        <f t="shared" si="13"/>
        <v>#REF!</v>
      </c>
      <c r="H588" s="86" t="str">
        <f t="shared" si="14"/>
        <v>#REF!</v>
      </c>
      <c r="I588" s="86" t="str">
        <f t="shared" si="15"/>
        <v>#REF!</v>
      </c>
    </row>
    <row r="589">
      <c r="B589" s="86" t="str">
        <f t="shared" si="1"/>
        <v>#REF!</v>
      </c>
      <c r="C589" s="86" t="str">
        <f t="shared" si="9"/>
        <v>#REF!</v>
      </c>
      <c r="D589" s="86" t="str">
        <f t="shared" si="10"/>
        <v>#REF!</v>
      </c>
      <c r="E589" s="86" t="str">
        <f t="shared" si="11"/>
        <v>#REF!</v>
      </c>
      <c r="F589" s="86" t="str">
        <f t="shared" si="12"/>
        <v>#REF!</v>
      </c>
      <c r="G589" s="86" t="str">
        <f t="shared" si="13"/>
        <v>#REF!</v>
      </c>
      <c r="H589" s="86" t="str">
        <f t="shared" si="14"/>
        <v>#REF!</v>
      </c>
      <c r="I589" s="86" t="str">
        <f t="shared" si="15"/>
        <v>#REF!</v>
      </c>
    </row>
    <row r="590">
      <c r="B590" s="86" t="str">
        <f t="shared" si="1"/>
        <v>#REF!</v>
      </c>
      <c r="C590" s="86" t="str">
        <f t="shared" si="9"/>
        <v>#REF!</v>
      </c>
      <c r="D590" s="86" t="str">
        <f t="shared" si="10"/>
        <v>#REF!</v>
      </c>
      <c r="E590" s="86" t="str">
        <f t="shared" si="11"/>
        <v>#REF!</v>
      </c>
      <c r="F590" s="86" t="str">
        <f t="shared" si="12"/>
        <v>#REF!</v>
      </c>
      <c r="G590" s="86" t="str">
        <f t="shared" si="13"/>
        <v>#REF!</v>
      </c>
      <c r="H590" s="86" t="str">
        <f t="shared" si="14"/>
        <v>#REF!</v>
      </c>
      <c r="I590" s="86" t="str">
        <f t="shared" si="15"/>
        <v>#REF!</v>
      </c>
    </row>
    <row r="591">
      <c r="B591" s="86" t="str">
        <f t="shared" si="1"/>
        <v>#REF!</v>
      </c>
      <c r="C591" s="86" t="str">
        <f t="shared" si="9"/>
        <v>#REF!</v>
      </c>
      <c r="D591" s="86" t="str">
        <f t="shared" si="10"/>
        <v>#REF!</v>
      </c>
      <c r="E591" s="86" t="str">
        <f t="shared" si="11"/>
        <v>#REF!</v>
      </c>
      <c r="F591" s="86" t="str">
        <f t="shared" si="12"/>
        <v>#REF!</v>
      </c>
      <c r="G591" s="86" t="str">
        <f t="shared" si="13"/>
        <v>#REF!</v>
      </c>
      <c r="H591" s="86" t="str">
        <f t="shared" si="14"/>
        <v>#REF!</v>
      </c>
      <c r="I591" s="86" t="str">
        <f t="shared" si="15"/>
        <v>#REF!</v>
      </c>
    </row>
    <row r="592">
      <c r="B592" s="86" t="str">
        <f t="shared" si="1"/>
        <v>#REF!</v>
      </c>
      <c r="C592" s="86" t="str">
        <f t="shared" si="9"/>
        <v>#REF!</v>
      </c>
      <c r="D592" s="86" t="str">
        <f t="shared" si="10"/>
        <v>#REF!</v>
      </c>
      <c r="E592" s="86" t="str">
        <f t="shared" si="11"/>
        <v>#REF!</v>
      </c>
      <c r="F592" s="86" t="str">
        <f t="shared" si="12"/>
        <v>#REF!</v>
      </c>
      <c r="G592" s="86" t="str">
        <f t="shared" si="13"/>
        <v>#REF!</v>
      </c>
      <c r="H592" s="86" t="str">
        <f t="shared" si="14"/>
        <v>#REF!</v>
      </c>
      <c r="I592" s="86" t="str">
        <f t="shared" si="15"/>
        <v>#REF!</v>
      </c>
    </row>
    <row r="593">
      <c r="B593" s="86" t="str">
        <f t="shared" si="1"/>
        <v>#REF!</v>
      </c>
      <c r="C593" s="86" t="str">
        <f t="shared" si="9"/>
        <v>#REF!</v>
      </c>
      <c r="D593" s="86" t="str">
        <f t="shared" si="10"/>
        <v>#REF!</v>
      </c>
      <c r="E593" s="86" t="str">
        <f t="shared" si="11"/>
        <v>#REF!</v>
      </c>
      <c r="F593" s="86" t="str">
        <f t="shared" si="12"/>
        <v>#REF!</v>
      </c>
      <c r="G593" s="86" t="str">
        <f t="shared" si="13"/>
        <v>#REF!</v>
      </c>
      <c r="H593" s="86" t="str">
        <f t="shared" si="14"/>
        <v>#REF!</v>
      </c>
      <c r="I593" s="86" t="str">
        <f t="shared" si="15"/>
        <v>#REF!</v>
      </c>
    </row>
    <row r="594">
      <c r="B594" s="86" t="str">
        <f t="shared" si="1"/>
        <v>#REF!</v>
      </c>
      <c r="C594" s="86" t="str">
        <f t="shared" si="9"/>
        <v>#REF!</v>
      </c>
      <c r="D594" s="86" t="str">
        <f t="shared" si="10"/>
        <v>#REF!</v>
      </c>
      <c r="E594" s="86" t="str">
        <f t="shared" si="11"/>
        <v>#REF!</v>
      </c>
      <c r="F594" s="86" t="str">
        <f t="shared" si="12"/>
        <v>#REF!</v>
      </c>
      <c r="G594" s="86" t="str">
        <f t="shared" si="13"/>
        <v>#REF!</v>
      </c>
      <c r="H594" s="86" t="str">
        <f t="shared" si="14"/>
        <v>#REF!</v>
      </c>
      <c r="I594" s="86" t="str">
        <f t="shared" si="15"/>
        <v>#REF!</v>
      </c>
    </row>
    <row r="595">
      <c r="B595" s="86" t="str">
        <f t="shared" si="1"/>
        <v>#REF!</v>
      </c>
      <c r="C595" s="86" t="str">
        <f t="shared" si="9"/>
        <v>#REF!</v>
      </c>
      <c r="D595" s="86" t="str">
        <f t="shared" si="10"/>
        <v>#REF!</v>
      </c>
      <c r="E595" s="86" t="str">
        <f t="shared" si="11"/>
        <v>#REF!</v>
      </c>
      <c r="F595" s="86" t="str">
        <f t="shared" si="12"/>
        <v>#REF!</v>
      </c>
      <c r="G595" s="86" t="str">
        <f t="shared" si="13"/>
        <v>#REF!</v>
      </c>
      <c r="H595" s="86" t="str">
        <f t="shared" si="14"/>
        <v>#REF!</v>
      </c>
      <c r="I595" s="86" t="str">
        <f t="shared" si="15"/>
        <v>#REF!</v>
      </c>
    </row>
    <row r="596">
      <c r="B596" s="86" t="str">
        <f t="shared" si="1"/>
        <v>#REF!</v>
      </c>
      <c r="C596" s="86" t="str">
        <f t="shared" si="9"/>
        <v>#REF!</v>
      </c>
      <c r="D596" s="86" t="str">
        <f t="shared" si="10"/>
        <v>#REF!</v>
      </c>
      <c r="E596" s="86" t="str">
        <f t="shared" si="11"/>
        <v>#REF!</v>
      </c>
      <c r="F596" s="86" t="str">
        <f t="shared" si="12"/>
        <v>#REF!</v>
      </c>
      <c r="G596" s="86" t="str">
        <f t="shared" si="13"/>
        <v>#REF!</v>
      </c>
      <c r="H596" s="86" t="str">
        <f t="shared" si="14"/>
        <v>#REF!</v>
      </c>
      <c r="I596" s="86" t="str">
        <f t="shared" si="15"/>
        <v>#REF!</v>
      </c>
    </row>
    <row r="597">
      <c r="B597" s="86" t="str">
        <f t="shared" si="1"/>
        <v>#REF!</v>
      </c>
      <c r="C597" s="86" t="str">
        <f t="shared" si="9"/>
        <v>#REF!</v>
      </c>
      <c r="D597" s="86" t="str">
        <f t="shared" si="10"/>
        <v>#REF!</v>
      </c>
      <c r="E597" s="86" t="str">
        <f t="shared" si="11"/>
        <v>#REF!</v>
      </c>
      <c r="F597" s="86" t="str">
        <f t="shared" si="12"/>
        <v>#REF!</v>
      </c>
      <c r="G597" s="86" t="str">
        <f t="shared" si="13"/>
        <v>#REF!</v>
      </c>
      <c r="H597" s="86" t="str">
        <f t="shared" si="14"/>
        <v>#REF!</v>
      </c>
      <c r="I597" s="86" t="str">
        <f t="shared" si="15"/>
        <v>#REF!</v>
      </c>
    </row>
    <row r="598">
      <c r="B598" s="86" t="str">
        <f t="shared" si="1"/>
        <v>#REF!</v>
      </c>
      <c r="C598" s="86" t="str">
        <f t="shared" si="9"/>
        <v>#REF!</v>
      </c>
      <c r="D598" s="86" t="str">
        <f t="shared" si="10"/>
        <v>#REF!</v>
      </c>
      <c r="E598" s="86" t="str">
        <f t="shared" si="11"/>
        <v>#REF!</v>
      </c>
      <c r="F598" s="86" t="str">
        <f t="shared" si="12"/>
        <v>#REF!</v>
      </c>
      <c r="G598" s="86" t="str">
        <f t="shared" si="13"/>
        <v>#REF!</v>
      </c>
      <c r="H598" s="86" t="str">
        <f t="shared" si="14"/>
        <v>#REF!</v>
      </c>
      <c r="I598" s="86" t="str">
        <f t="shared" si="15"/>
        <v>#REF!</v>
      </c>
    </row>
    <row r="599">
      <c r="B599" s="86" t="str">
        <f t="shared" si="1"/>
        <v>#REF!</v>
      </c>
      <c r="C599" s="86" t="str">
        <f t="shared" si="9"/>
        <v>#REF!</v>
      </c>
      <c r="D599" s="86" t="str">
        <f t="shared" si="10"/>
        <v>#REF!</v>
      </c>
      <c r="E599" s="86" t="str">
        <f t="shared" si="11"/>
        <v>#REF!</v>
      </c>
      <c r="F599" s="86" t="str">
        <f t="shared" si="12"/>
        <v>#REF!</v>
      </c>
      <c r="G599" s="86" t="str">
        <f t="shared" si="13"/>
        <v>#REF!</v>
      </c>
      <c r="H599" s="86" t="str">
        <f t="shared" si="14"/>
        <v>#REF!</v>
      </c>
      <c r="I599" s="86" t="str">
        <f t="shared" si="15"/>
        <v>#REF!</v>
      </c>
    </row>
    <row r="600">
      <c r="B600" s="86" t="str">
        <f t="shared" si="1"/>
        <v>#REF!</v>
      </c>
      <c r="C600" s="86" t="str">
        <f t="shared" si="9"/>
        <v>#REF!</v>
      </c>
      <c r="D600" s="86" t="str">
        <f t="shared" si="10"/>
        <v>#REF!</v>
      </c>
      <c r="E600" s="86" t="str">
        <f t="shared" si="11"/>
        <v>#REF!</v>
      </c>
      <c r="F600" s="86" t="str">
        <f t="shared" si="12"/>
        <v>#REF!</v>
      </c>
      <c r="G600" s="86" t="str">
        <f t="shared" si="13"/>
        <v>#REF!</v>
      </c>
      <c r="H600" s="86" t="str">
        <f t="shared" si="14"/>
        <v>#REF!</v>
      </c>
      <c r="I600" s="86" t="str">
        <f t="shared" si="15"/>
        <v>#REF!</v>
      </c>
    </row>
    <row r="601">
      <c r="B601" s="86" t="str">
        <f t="shared" si="1"/>
        <v>#REF!</v>
      </c>
      <c r="C601" s="86" t="str">
        <f t="shared" si="9"/>
        <v>#REF!</v>
      </c>
      <c r="D601" s="86" t="str">
        <f t="shared" si="10"/>
        <v>#REF!</v>
      </c>
      <c r="E601" s="86" t="str">
        <f t="shared" si="11"/>
        <v>#REF!</v>
      </c>
      <c r="F601" s="86" t="str">
        <f t="shared" si="12"/>
        <v>#REF!</v>
      </c>
      <c r="G601" s="86" t="str">
        <f t="shared" si="13"/>
        <v>#REF!</v>
      </c>
      <c r="H601" s="86" t="str">
        <f t="shared" si="14"/>
        <v>#REF!</v>
      </c>
      <c r="I601" s="86" t="str">
        <f t="shared" si="15"/>
        <v>#REF!</v>
      </c>
    </row>
    <row r="602">
      <c r="B602" s="86" t="str">
        <f t="shared" si="1"/>
        <v>#REF!</v>
      </c>
      <c r="C602" s="86" t="str">
        <f t="shared" si="9"/>
        <v>#REF!</v>
      </c>
      <c r="D602" s="86" t="str">
        <f t="shared" si="10"/>
        <v>#REF!</v>
      </c>
      <c r="E602" s="86" t="str">
        <f t="shared" si="11"/>
        <v>#REF!</v>
      </c>
      <c r="F602" s="86" t="str">
        <f t="shared" si="12"/>
        <v>#REF!</v>
      </c>
      <c r="G602" s="86" t="str">
        <f t="shared" si="13"/>
        <v>#REF!</v>
      </c>
      <c r="H602" s="86" t="str">
        <f t="shared" si="14"/>
        <v>#REF!</v>
      </c>
      <c r="I602" s="86" t="str">
        <f t="shared" si="15"/>
        <v>#REF!</v>
      </c>
    </row>
    <row r="603">
      <c r="B603" s="86" t="str">
        <f t="shared" si="1"/>
        <v>#REF!</v>
      </c>
      <c r="C603" s="86" t="str">
        <f t="shared" si="9"/>
        <v>#REF!</v>
      </c>
      <c r="D603" s="86" t="str">
        <f t="shared" si="10"/>
        <v>#REF!</v>
      </c>
      <c r="E603" s="86" t="str">
        <f t="shared" si="11"/>
        <v>#REF!</v>
      </c>
      <c r="F603" s="86" t="str">
        <f t="shared" si="12"/>
        <v>#REF!</v>
      </c>
      <c r="G603" s="86" t="str">
        <f t="shared" si="13"/>
        <v>#REF!</v>
      </c>
      <c r="H603" s="86" t="str">
        <f t="shared" si="14"/>
        <v>#REF!</v>
      </c>
      <c r="I603" s="86" t="str">
        <f t="shared" si="15"/>
        <v>#REF!</v>
      </c>
    </row>
    <row r="604">
      <c r="B604" s="86" t="str">
        <f t="shared" si="1"/>
        <v>#REF!</v>
      </c>
      <c r="C604" s="86" t="str">
        <f t="shared" si="9"/>
        <v>#REF!</v>
      </c>
      <c r="D604" s="86" t="str">
        <f t="shared" si="10"/>
        <v>#REF!</v>
      </c>
      <c r="E604" s="86" t="str">
        <f t="shared" si="11"/>
        <v>#REF!</v>
      </c>
      <c r="F604" s="86" t="str">
        <f t="shared" si="12"/>
        <v>#REF!</v>
      </c>
      <c r="G604" s="86" t="str">
        <f t="shared" si="13"/>
        <v>#REF!</v>
      </c>
      <c r="H604" s="86" t="str">
        <f t="shared" si="14"/>
        <v>#REF!</v>
      </c>
      <c r="I604" s="86" t="str">
        <f t="shared" si="15"/>
        <v>#REF!</v>
      </c>
    </row>
    <row r="605">
      <c r="B605" s="86" t="str">
        <f t="shared" si="1"/>
        <v>#REF!</v>
      </c>
      <c r="C605" s="86" t="str">
        <f t="shared" si="9"/>
        <v>#REF!</v>
      </c>
      <c r="D605" s="86" t="str">
        <f t="shared" si="10"/>
        <v>#REF!</v>
      </c>
      <c r="E605" s="86" t="str">
        <f t="shared" si="11"/>
        <v>#REF!</v>
      </c>
      <c r="F605" s="86" t="str">
        <f t="shared" si="12"/>
        <v>#REF!</v>
      </c>
      <c r="G605" s="86" t="str">
        <f t="shared" si="13"/>
        <v>#REF!</v>
      </c>
      <c r="H605" s="86" t="str">
        <f t="shared" si="14"/>
        <v>#REF!</v>
      </c>
      <c r="I605" s="86" t="str">
        <f t="shared" si="15"/>
        <v>#REF!</v>
      </c>
    </row>
    <row r="606">
      <c r="B606" s="86" t="str">
        <f t="shared" si="1"/>
        <v>#REF!</v>
      </c>
      <c r="C606" s="86" t="str">
        <f t="shared" si="9"/>
        <v>#REF!</v>
      </c>
      <c r="D606" s="86" t="str">
        <f t="shared" si="10"/>
        <v>#REF!</v>
      </c>
      <c r="E606" s="86" t="str">
        <f t="shared" si="11"/>
        <v>#REF!</v>
      </c>
      <c r="F606" s="86" t="str">
        <f t="shared" si="12"/>
        <v>#REF!</v>
      </c>
      <c r="G606" s="86" t="str">
        <f t="shared" si="13"/>
        <v>#REF!</v>
      </c>
      <c r="H606" s="86" t="str">
        <f t="shared" si="14"/>
        <v>#REF!</v>
      </c>
      <c r="I606" s="86" t="str">
        <f t="shared" si="15"/>
        <v>#REF!</v>
      </c>
    </row>
    <row r="607">
      <c r="B607" s="86" t="str">
        <f t="shared" si="1"/>
        <v>#REF!</v>
      </c>
      <c r="C607" s="86" t="str">
        <f t="shared" si="9"/>
        <v>#REF!</v>
      </c>
      <c r="D607" s="86" t="str">
        <f t="shared" si="10"/>
        <v>#REF!</v>
      </c>
      <c r="E607" s="86" t="str">
        <f t="shared" si="11"/>
        <v>#REF!</v>
      </c>
      <c r="F607" s="86" t="str">
        <f t="shared" si="12"/>
        <v>#REF!</v>
      </c>
      <c r="G607" s="86" t="str">
        <f t="shared" si="13"/>
        <v>#REF!</v>
      </c>
      <c r="H607" s="86" t="str">
        <f t="shared" si="14"/>
        <v>#REF!</v>
      </c>
      <c r="I607" s="86" t="str">
        <f t="shared" si="15"/>
        <v>#REF!</v>
      </c>
    </row>
    <row r="608">
      <c r="B608" s="86" t="str">
        <f t="shared" si="1"/>
        <v>#REF!</v>
      </c>
      <c r="C608" s="86" t="str">
        <f t="shared" si="9"/>
        <v>#REF!</v>
      </c>
      <c r="D608" s="86" t="str">
        <f t="shared" si="10"/>
        <v>#REF!</v>
      </c>
      <c r="E608" s="86" t="str">
        <f t="shared" si="11"/>
        <v>#REF!</v>
      </c>
      <c r="F608" s="86" t="str">
        <f t="shared" si="12"/>
        <v>#REF!</v>
      </c>
      <c r="G608" s="86" t="str">
        <f t="shared" si="13"/>
        <v>#REF!</v>
      </c>
      <c r="H608" s="86" t="str">
        <f t="shared" si="14"/>
        <v>#REF!</v>
      </c>
      <c r="I608" s="86" t="str">
        <f t="shared" si="15"/>
        <v>#REF!</v>
      </c>
    </row>
    <row r="609">
      <c r="B609" s="86" t="str">
        <f t="shared" si="1"/>
        <v>#REF!</v>
      </c>
      <c r="C609" s="86" t="str">
        <f t="shared" si="9"/>
        <v>#REF!</v>
      </c>
      <c r="D609" s="86" t="str">
        <f t="shared" si="10"/>
        <v>#REF!</v>
      </c>
      <c r="E609" s="86" t="str">
        <f t="shared" si="11"/>
        <v>#REF!</v>
      </c>
      <c r="F609" s="86" t="str">
        <f t="shared" si="12"/>
        <v>#REF!</v>
      </c>
      <c r="G609" s="86" t="str">
        <f t="shared" si="13"/>
        <v>#REF!</v>
      </c>
      <c r="H609" s="86" t="str">
        <f t="shared" si="14"/>
        <v>#REF!</v>
      </c>
      <c r="I609" s="86" t="str">
        <f t="shared" si="15"/>
        <v>#REF!</v>
      </c>
    </row>
    <row r="610">
      <c r="B610" s="86" t="str">
        <f t="shared" si="1"/>
        <v>#REF!</v>
      </c>
      <c r="C610" s="86" t="str">
        <f t="shared" si="9"/>
        <v>#REF!</v>
      </c>
      <c r="D610" s="86" t="str">
        <f t="shared" si="10"/>
        <v>#REF!</v>
      </c>
      <c r="E610" s="86" t="str">
        <f t="shared" si="11"/>
        <v>#REF!</v>
      </c>
      <c r="F610" s="86" t="str">
        <f t="shared" si="12"/>
        <v>#REF!</v>
      </c>
      <c r="G610" s="86" t="str">
        <f t="shared" si="13"/>
        <v>#REF!</v>
      </c>
      <c r="H610" s="86" t="str">
        <f t="shared" si="14"/>
        <v>#REF!</v>
      </c>
      <c r="I610" s="86" t="str">
        <f t="shared" si="15"/>
        <v>#REF!</v>
      </c>
    </row>
    <row r="611">
      <c r="B611" s="86" t="str">
        <f t="shared" si="1"/>
        <v>#REF!</v>
      </c>
      <c r="C611" s="86" t="str">
        <f t="shared" si="9"/>
        <v>#REF!</v>
      </c>
      <c r="D611" s="86" t="str">
        <f t="shared" si="10"/>
        <v>#REF!</v>
      </c>
      <c r="E611" s="86" t="str">
        <f t="shared" si="11"/>
        <v>#REF!</v>
      </c>
      <c r="F611" s="86" t="str">
        <f t="shared" si="12"/>
        <v>#REF!</v>
      </c>
      <c r="G611" s="86" t="str">
        <f t="shared" si="13"/>
        <v>#REF!</v>
      </c>
      <c r="H611" s="86" t="str">
        <f t="shared" si="14"/>
        <v>#REF!</v>
      </c>
      <c r="I611" s="86" t="str">
        <f t="shared" si="15"/>
        <v>#REF!</v>
      </c>
    </row>
    <row r="612">
      <c r="B612" s="86" t="str">
        <f t="shared" si="1"/>
        <v>#REF!</v>
      </c>
      <c r="C612" s="86" t="str">
        <f t="shared" si="9"/>
        <v>#REF!</v>
      </c>
      <c r="D612" s="86" t="str">
        <f t="shared" si="10"/>
        <v>#REF!</v>
      </c>
      <c r="E612" s="86" t="str">
        <f t="shared" si="11"/>
        <v>#REF!</v>
      </c>
      <c r="F612" s="86" t="str">
        <f t="shared" si="12"/>
        <v>#REF!</v>
      </c>
      <c r="G612" s="86" t="str">
        <f t="shared" si="13"/>
        <v>#REF!</v>
      </c>
      <c r="H612" s="86" t="str">
        <f t="shared" si="14"/>
        <v>#REF!</v>
      </c>
      <c r="I612" s="86" t="str">
        <f t="shared" si="15"/>
        <v>#REF!</v>
      </c>
    </row>
    <row r="613">
      <c r="B613" s="86" t="str">
        <f t="shared" si="1"/>
        <v>#REF!</v>
      </c>
      <c r="C613" s="86" t="str">
        <f t="shared" si="9"/>
        <v>#REF!</v>
      </c>
      <c r="D613" s="86" t="str">
        <f t="shared" si="10"/>
        <v>#REF!</v>
      </c>
      <c r="E613" s="86" t="str">
        <f t="shared" si="11"/>
        <v>#REF!</v>
      </c>
      <c r="F613" s="86" t="str">
        <f t="shared" si="12"/>
        <v>#REF!</v>
      </c>
      <c r="G613" s="86" t="str">
        <f t="shared" si="13"/>
        <v>#REF!</v>
      </c>
      <c r="H613" s="86" t="str">
        <f t="shared" si="14"/>
        <v>#REF!</v>
      </c>
      <c r="I613" s="86" t="str">
        <f t="shared" si="15"/>
        <v>#REF!</v>
      </c>
    </row>
    <row r="614">
      <c r="B614" s="86" t="str">
        <f t="shared" si="1"/>
        <v>#REF!</v>
      </c>
      <c r="C614" s="86" t="str">
        <f t="shared" si="9"/>
        <v>#REF!</v>
      </c>
      <c r="D614" s="86" t="str">
        <f t="shared" si="10"/>
        <v>#REF!</v>
      </c>
      <c r="E614" s="86" t="str">
        <f t="shared" si="11"/>
        <v>#REF!</v>
      </c>
      <c r="F614" s="86" t="str">
        <f t="shared" si="12"/>
        <v>#REF!</v>
      </c>
      <c r="G614" s="86" t="str">
        <f t="shared" si="13"/>
        <v>#REF!</v>
      </c>
      <c r="H614" s="86" t="str">
        <f t="shared" si="14"/>
        <v>#REF!</v>
      </c>
      <c r="I614" s="86" t="str">
        <f t="shared" si="15"/>
        <v>#REF!</v>
      </c>
    </row>
    <row r="615">
      <c r="B615" s="86" t="str">
        <f t="shared" si="1"/>
        <v>#REF!</v>
      </c>
      <c r="C615" s="86" t="str">
        <f t="shared" si="9"/>
        <v>#REF!</v>
      </c>
      <c r="D615" s="86" t="str">
        <f t="shared" si="10"/>
        <v>#REF!</v>
      </c>
      <c r="E615" s="86" t="str">
        <f t="shared" si="11"/>
        <v>#REF!</v>
      </c>
      <c r="F615" s="86" t="str">
        <f t="shared" si="12"/>
        <v>#REF!</v>
      </c>
      <c r="G615" s="86" t="str">
        <f t="shared" si="13"/>
        <v>#REF!</v>
      </c>
      <c r="H615" s="86" t="str">
        <f t="shared" si="14"/>
        <v>#REF!</v>
      </c>
      <c r="I615" s="86" t="str">
        <f t="shared" si="15"/>
        <v>#REF!</v>
      </c>
    </row>
    <row r="616">
      <c r="B616" s="86" t="str">
        <f t="shared" si="1"/>
        <v>#REF!</v>
      </c>
      <c r="C616" s="86" t="str">
        <f t="shared" si="9"/>
        <v>#REF!</v>
      </c>
      <c r="D616" s="86" t="str">
        <f t="shared" si="10"/>
        <v>#REF!</v>
      </c>
      <c r="E616" s="86" t="str">
        <f t="shared" si="11"/>
        <v>#REF!</v>
      </c>
      <c r="F616" s="86" t="str">
        <f t="shared" si="12"/>
        <v>#REF!</v>
      </c>
      <c r="G616" s="86" t="str">
        <f t="shared" si="13"/>
        <v>#REF!</v>
      </c>
      <c r="H616" s="86" t="str">
        <f t="shared" si="14"/>
        <v>#REF!</v>
      </c>
      <c r="I616" s="86" t="str">
        <f t="shared" si="15"/>
        <v>#REF!</v>
      </c>
    </row>
    <row r="617">
      <c r="B617" s="86" t="str">
        <f t="shared" si="1"/>
        <v>#REF!</v>
      </c>
      <c r="C617" s="86" t="str">
        <f t="shared" si="9"/>
        <v>#REF!</v>
      </c>
      <c r="D617" s="86" t="str">
        <f t="shared" si="10"/>
        <v>#REF!</v>
      </c>
      <c r="E617" s="86" t="str">
        <f t="shared" si="11"/>
        <v>#REF!</v>
      </c>
      <c r="F617" s="86" t="str">
        <f t="shared" si="12"/>
        <v>#REF!</v>
      </c>
      <c r="G617" s="86" t="str">
        <f t="shared" si="13"/>
        <v>#REF!</v>
      </c>
      <c r="H617" s="86" t="str">
        <f t="shared" si="14"/>
        <v>#REF!</v>
      </c>
      <c r="I617" s="86" t="str">
        <f t="shared" si="15"/>
        <v>#REF!</v>
      </c>
    </row>
    <row r="618">
      <c r="B618" s="86" t="str">
        <f t="shared" si="1"/>
        <v>#REF!</v>
      </c>
      <c r="C618" s="86" t="str">
        <f t="shared" si="9"/>
        <v>#REF!</v>
      </c>
      <c r="D618" s="86" t="str">
        <f t="shared" si="10"/>
        <v>#REF!</v>
      </c>
      <c r="E618" s="86" t="str">
        <f t="shared" si="11"/>
        <v>#REF!</v>
      </c>
      <c r="F618" s="86" t="str">
        <f t="shared" si="12"/>
        <v>#REF!</v>
      </c>
      <c r="G618" s="86" t="str">
        <f t="shared" si="13"/>
        <v>#REF!</v>
      </c>
      <c r="H618" s="86" t="str">
        <f t="shared" si="14"/>
        <v>#REF!</v>
      </c>
      <c r="I618" s="86" t="str">
        <f t="shared" si="15"/>
        <v>#REF!</v>
      </c>
    </row>
    <row r="619">
      <c r="B619" s="86" t="str">
        <f t="shared" si="1"/>
        <v>#REF!</v>
      </c>
      <c r="C619" s="86" t="str">
        <f t="shared" si="9"/>
        <v>#REF!</v>
      </c>
      <c r="D619" s="86" t="str">
        <f t="shared" si="10"/>
        <v>#REF!</v>
      </c>
      <c r="E619" s="86" t="str">
        <f t="shared" si="11"/>
        <v>#REF!</v>
      </c>
      <c r="F619" s="86" t="str">
        <f t="shared" si="12"/>
        <v>#REF!</v>
      </c>
      <c r="G619" s="86" t="str">
        <f t="shared" si="13"/>
        <v>#REF!</v>
      </c>
      <c r="H619" s="86" t="str">
        <f t="shared" si="14"/>
        <v>#REF!</v>
      </c>
      <c r="I619" s="86" t="str">
        <f t="shared" si="15"/>
        <v>#REF!</v>
      </c>
    </row>
    <row r="620">
      <c r="B620" s="86" t="str">
        <f t="shared" si="1"/>
        <v>#REF!</v>
      </c>
      <c r="C620" s="86" t="str">
        <f t="shared" si="9"/>
        <v>#REF!</v>
      </c>
      <c r="D620" s="86" t="str">
        <f t="shared" si="10"/>
        <v>#REF!</v>
      </c>
      <c r="E620" s="86" t="str">
        <f t="shared" si="11"/>
        <v>#REF!</v>
      </c>
      <c r="F620" s="86" t="str">
        <f t="shared" si="12"/>
        <v>#REF!</v>
      </c>
      <c r="G620" s="86" t="str">
        <f t="shared" si="13"/>
        <v>#REF!</v>
      </c>
      <c r="H620" s="86" t="str">
        <f t="shared" si="14"/>
        <v>#REF!</v>
      </c>
      <c r="I620" s="86" t="str">
        <f t="shared" si="15"/>
        <v>#REF!</v>
      </c>
    </row>
    <row r="621">
      <c r="B621" s="86" t="str">
        <f t="shared" si="1"/>
        <v>#REF!</v>
      </c>
      <c r="C621" s="86" t="str">
        <f t="shared" si="9"/>
        <v>#REF!</v>
      </c>
      <c r="D621" s="86" t="str">
        <f t="shared" si="10"/>
        <v>#REF!</v>
      </c>
      <c r="E621" s="86" t="str">
        <f t="shared" si="11"/>
        <v>#REF!</v>
      </c>
      <c r="F621" s="86" t="str">
        <f t="shared" si="12"/>
        <v>#REF!</v>
      </c>
      <c r="G621" s="86" t="str">
        <f t="shared" si="13"/>
        <v>#REF!</v>
      </c>
      <c r="H621" s="86" t="str">
        <f t="shared" si="14"/>
        <v>#REF!</v>
      </c>
      <c r="I621" s="86" t="str">
        <f t="shared" si="15"/>
        <v>#REF!</v>
      </c>
    </row>
    <row r="622">
      <c r="B622" s="86" t="str">
        <f t="shared" si="1"/>
        <v>#REF!</v>
      </c>
      <c r="C622" s="86" t="str">
        <f t="shared" si="9"/>
        <v>#REF!</v>
      </c>
      <c r="D622" s="86" t="str">
        <f t="shared" si="10"/>
        <v>#REF!</v>
      </c>
      <c r="E622" s="86" t="str">
        <f t="shared" si="11"/>
        <v>#REF!</v>
      </c>
      <c r="F622" s="86" t="str">
        <f t="shared" si="12"/>
        <v>#REF!</v>
      </c>
      <c r="G622" s="86" t="str">
        <f t="shared" si="13"/>
        <v>#REF!</v>
      </c>
      <c r="H622" s="86" t="str">
        <f t="shared" si="14"/>
        <v>#REF!</v>
      </c>
      <c r="I622" s="86" t="str">
        <f t="shared" si="15"/>
        <v>#REF!</v>
      </c>
    </row>
    <row r="623">
      <c r="B623" s="86" t="str">
        <f t="shared" si="1"/>
        <v>#REF!</v>
      </c>
      <c r="C623" s="86" t="str">
        <f t="shared" si="9"/>
        <v>#REF!</v>
      </c>
      <c r="D623" s="86" t="str">
        <f t="shared" si="10"/>
        <v>#REF!</v>
      </c>
      <c r="E623" s="86" t="str">
        <f t="shared" si="11"/>
        <v>#REF!</v>
      </c>
      <c r="F623" s="86" t="str">
        <f t="shared" si="12"/>
        <v>#REF!</v>
      </c>
      <c r="G623" s="86" t="str">
        <f t="shared" si="13"/>
        <v>#REF!</v>
      </c>
      <c r="H623" s="86" t="str">
        <f t="shared" si="14"/>
        <v>#REF!</v>
      </c>
      <c r="I623" s="86" t="str">
        <f t="shared" si="15"/>
        <v>#REF!</v>
      </c>
    </row>
    <row r="624">
      <c r="B624" s="86" t="str">
        <f t="shared" si="1"/>
        <v>#REF!</v>
      </c>
      <c r="C624" s="86" t="str">
        <f t="shared" si="9"/>
        <v>#REF!</v>
      </c>
      <c r="D624" s="86" t="str">
        <f t="shared" si="10"/>
        <v>#REF!</v>
      </c>
      <c r="E624" s="86" t="str">
        <f t="shared" si="11"/>
        <v>#REF!</v>
      </c>
      <c r="F624" s="86" t="str">
        <f t="shared" si="12"/>
        <v>#REF!</v>
      </c>
      <c r="G624" s="86" t="str">
        <f t="shared" si="13"/>
        <v>#REF!</v>
      </c>
      <c r="H624" s="86" t="str">
        <f t="shared" si="14"/>
        <v>#REF!</v>
      </c>
      <c r="I624" s="86" t="str">
        <f t="shared" si="15"/>
        <v>#REF!</v>
      </c>
    </row>
    <row r="625">
      <c r="B625" s="86" t="str">
        <f t="shared" si="1"/>
        <v>#REF!</v>
      </c>
      <c r="C625" s="86" t="str">
        <f t="shared" si="9"/>
        <v>#REF!</v>
      </c>
      <c r="D625" s="86" t="str">
        <f t="shared" si="10"/>
        <v>#REF!</v>
      </c>
      <c r="E625" s="86" t="str">
        <f t="shared" si="11"/>
        <v>#REF!</v>
      </c>
      <c r="F625" s="86" t="str">
        <f t="shared" si="12"/>
        <v>#REF!</v>
      </c>
      <c r="G625" s="86" t="str">
        <f t="shared" si="13"/>
        <v>#REF!</v>
      </c>
      <c r="H625" s="86" t="str">
        <f t="shared" si="14"/>
        <v>#REF!</v>
      </c>
      <c r="I625" s="86" t="str">
        <f t="shared" si="15"/>
        <v>#REF!</v>
      </c>
    </row>
    <row r="626">
      <c r="B626" s="86" t="str">
        <f t="shared" si="1"/>
        <v>#REF!</v>
      </c>
      <c r="C626" s="86" t="str">
        <f t="shared" si="9"/>
        <v>#REF!</v>
      </c>
      <c r="D626" s="86" t="str">
        <f t="shared" si="10"/>
        <v>#REF!</v>
      </c>
      <c r="E626" s="86" t="str">
        <f t="shared" si="11"/>
        <v>#REF!</v>
      </c>
      <c r="F626" s="86" t="str">
        <f t="shared" si="12"/>
        <v>#REF!</v>
      </c>
      <c r="G626" s="86" t="str">
        <f t="shared" si="13"/>
        <v>#REF!</v>
      </c>
      <c r="H626" s="86" t="str">
        <f t="shared" si="14"/>
        <v>#REF!</v>
      </c>
      <c r="I626" s="86" t="str">
        <f t="shared" si="15"/>
        <v>#REF!</v>
      </c>
    </row>
    <row r="627">
      <c r="B627" s="86" t="str">
        <f t="shared" si="1"/>
        <v>#REF!</v>
      </c>
      <c r="C627" s="86" t="str">
        <f t="shared" si="9"/>
        <v>#REF!</v>
      </c>
      <c r="D627" s="86" t="str">
        <f t="shared" si="10"/>
        <v>#REF!</v>
      </c>
      <c r="E627" s="86" t="str">
        <f t="shared" si="11"/>
        <v>#REF!</v>
      </c>
      <c r="F627" s="86" t="str">
        <f t="shared" si="12"/>
        <v>#REF!</v>
      </c>
      <c r="G627" s="86" t="str">
        <f t="shared" si="13"/>
        <v>#REF!</v>
      </c>
      <c r="H627" s="86" t="str">
        <f t="shared" si="14"/>
        <v>#REF!</v>
      </c>
      <c r="I627" s="86" t="str">
        <f t="shared" si="15"/>
        <v>#REF!</v>
      </c>
    </row>
    <row r="628">
      <c r="B628" s="86" t="str">
        <f t="shared" si="1"/>
        <v>#REF!</v>
      </c>
      <c r="C628" s="86" t="str">
        <f t="shared" si="9"/>
        <v>#REF!</v>
      </c>
      <c r="D628" s="86" t="str">
        <f t="shared" si="10"/>
        <v>#REF!</v>
      </c>
      <c r="E628" s="86" t="str">
        <f t="shared" si="11"/>
        <v>#REF!</v>
      </c>
      <c r="F628" s="86" t="str">
        <f t="shared" si="12"/>
        <v>#REF!</v>
      </c>
      <c r="G628" s="86" t="str">
        <f t="shared" si="13"/>
        <v>#REF!</v>
      </c>
      <c r="H628" s="86" t="str">
        <f t="shared" si="14"/>
        <v>#REF!</v>
      </c>
      <c r="I628" s="86" t="str">
        <f t="shared" si="15"/>
        <v>#REF!</v>
      </c>
    </row>
    <row r="629">
      <c r="B629" s="86" t="str">
        <f t="shared" si="1"/>
        <v>#REF!</v>
      </c>
      <c r="C629" s="86" t="str">
        <f t="shared" si="9"/>
        <v>#REF!</v>
      </c>
      <c r="D629" s="86" t="str">
        <f t="shared" si="10"/>
        <v>#REF!</v>
      </c>
      <c r="E629" s="86" t="str">
        <f t="shared" si="11"/>
        <v>#REF!</v>
      </c>
      <c r="F629" s="86" t="str">
        <f t="shared" si="12"/>
        <v>#REF!</v>
      </c>
      <c r="G629" s="86" t="str">
        <f t="shared" si="13"/>
        <v>#REF!</v>
      </c>
      <c r="H629" s="86" t="str">
        <f t="shared" si="14"/>
        <v>#REF!</v>
      </c>
      <c r="I629" s="86" t="str">
        <f t="shared" si="15"/>
        <v>#REF!</v>
      </c>
    </row>
    <row r="630">
      <c r="B630" s="86" t="str">
        <f t="shared" si="1"/>
        <v>#REF!</v>
      </c>
      <c r="C630" s="86" t="str">
        <f t="shared" si="9"/>
        <v>#REF!</v>
      </c>
      <c r="D630" s="86" t="str">
        <f t="shared" si="10"/>
        <v>#REF!</v>
      </c>
      <c r="E630" s="86" t="str">
        <f t="shared" si="11"/>
        <v>#REF!</v>
      </c>
      <c r="F630" s="86" t="str">
        <f t="shared" si="12"/>
        <v>#REF!</v>
      </c>
      <c r="G630" s="86" t="str">
        <f t="shared" si="13"/>
        <v>#REF!</v>
      </c>
      <c r="H630" s="86" t="str">
        <f t="shared" si="14"/>
        <v>#REF!</v>
      </c>
      <c r="I630" s="86" t="str">
        <f t="shared" si="15"/>
        <v>#REF!</v>
      </c>
    </row>
    <row r="631">
      <c r="B631" s="86" t="str">
        <f t="shared" si="1"/>
        <v>#REF!</v>
      </c>
      <c r="C631" s="86" t="str">
        <f t="shared" si="9"/>
        <v>#REF!</v>
      </c>
      <c r="D631" s="86" t="str">
        <f t="shared" si="10"/>
        <v>#REF!</v>
      </c>
      <c r="E631" s="86" t="str">
        <f t="shared" si="11"/>
        <v>#REF!</v>
      </c>
      <c r="F631" s="86" t="str">
        <f t="shared" si="12"/>
        <v>#REF!</v>
      </c>
      <c r="G631" s="86" t="str">
        <f t="shared" si="13"/>
        <v>#REF!</v>
      </c>
      <c r="H631" s="86" t="str">
        <f t="shared" si="14"/>
        <v>#REF!</v>
      </c>
      <c r="I631" s="86" t="str">
        <f t="shared" si="15"/>
        <v>#REF!</v>
      </c>
    </row>
    <row r="632">
      <c r="B632" s="86" t="str">
        <f t="shared" si="1"/>
        <v>#REF!</v>
      </c>
      <c r="C632" s="86" t="str">
        <f t="shared" si="9"/>
        <v>#REF!</v>
      </c>
      <c r="D632" s="86" t="str">
        <f t="shared" si="10"/>
        <v>#REF!</v>
      </c>
      <c r="E632" s="86" t="str">
        <f t="shared" si="11"/>
        <v>#REF!</v>
      </c>
      <c r="F632" s="86" t="str">
        <f t="shared" si="12"/>
        <v>#REF!</v>
      </c>
      <c r="G632" s="86" t="str">
        <f t="shared" si="13"/>
        <v>#REF!</v>
      </c>
      <c r="H632" s="86" t="str">
        <f t="shared" si="14"/>
        <v>#REF!</v>
      </c>
      <c r="I632" s="86" t="str">
        <f t="shared" si="15"/>
        <v>#REF!</v>
      </c>
    </row>
    <row r="633">
      <c r="B633" s="86" t="str">
        <f t="shared" si="1"/>
        <v>#REF!</v>
      </c>
      <c r="C633" s="86" t="str">
        <f t="shared" si="9"/>
        <v>#REF!</v>
      </c>
      <c r="D633" s="86" t="str">
        <f t="shared" si="10"/>
        <v>#REF!</v>
      </c>
      <c r="E633" s="86" t="str">
        <f t="shared" si="11"/>
        <v>#REF!</v>
      </c>
      <c r="F633" s="86" t="str">
        <f t="shared" si="12"/>
        <v>#REF!</v>
      </c>
      <c r="G633" s="86" t="str">
        <f t="shared" si="13"/>
        <v>#REF!</v>
      </c>
      <c r="H633" s="86" t="str">
        <f t="shared" si="14"/>
        <v>#REF!</v>
      </c>
      <c r="I633" s="86" t="str">
        <f t="shared" si="15"/>
        <v>#REF!</v>
      </c>
    </row>
    <row r="634">
      <c r="B634" s="86" t="str">
        <f t="shared" si="1"/>
        <v>#REF!</v>
      </c>
      <c r="C634" s="86" t="str">
        <f t="shared" si="9"/>
        <v>#REF!</v>
      </c>
      <c r="D634" s="86" t="str">
        <f t="shared" si="10"/>
        <v>#REF!</v>
      </c>
      <c r="E634" s="86" t="str">
        <f t="shared" si="11"/>
        <v>#REF!</v>
      </c>
      <c r="F634" s="86" t="str">
        <f t="shared" si="12"/>
        <v>#REF!</v>
      </c>
      <c r="G634" s="86" t="str">
        <f t="shared" si="13"/>
        <v>#REF!</v>
      </c>
      <c r="H634" s="86" t="str">
        <f t="shared" si="14"/>
        <v>#REF!</v>
      </c>
      <c r="I634" s="86" t="str">
        <f t="shared" si="15"/>
        <v>#REF!</v>
      </c>
    </row>
    <row r="635">
      <c r="B635" s="86" t="str">
        <f t="shared" si="1"/>
        <v>#REF!</v>
      </c>
      <c r="C635" s="86" t="str">
        <f t="shared" si="9"/>
        <v>#REF!</v>
      </c>
      <c r="D635" s="86" t="str">
        <f t="shared" si="10"/>
        <v>#REF!</v>
      </c>
      <c r="E635" s="86" t="str">
        <f t="shared" si="11"/>
        <v>#REF!</v>
      </c>
      <c r="F635" s="86" t="str">
        <f t="shared" si="12"/>
        <v>#REF!</v>
      </c>
      <c r="G635" s="86" t="str">
        <f t="shared" si="13"/>
        <v>#REF!</v>
      </c>
      <c r="H635" s="86" t="str">
        <f t="shared" si="14"/>
        <v>#REF!</v>
      </c>
      <c r="I635" s="86" t="str">
        <f t="shared" si="15"/>
        <v>#REF!</v>
      </c>
    </row>
    <row r="636">
      <c r="B636" s="86" t="str">
        <f t="shared" si="1"/>
        <v>#REF!</v>
      </c>
      <c r="C636" s="86" t="str">
        <f t="shared" si="9"/>
        <v>#REF!</v>
      </c>
      <c r="D636" s="86" t="str">
        <f t="shared" si="10"/>
        <v>#REF!</v>
      </c>
      <c r="E636" s="86" t="str">
        <f t="shared" si="11"/>
        <v>#REF!</v>
      </c>
      <c r="F636" s="86" t="str">
        <f t="shared" si="12"/>
        <v>#REF!</v>
      </c>
      <c r="G636" s="86" t="str">
        <f t="shared" si="13"/>
        <v>#REF!</v>
      </c>
      <c r="H636" s="86" t="str">
        <f t="shared" si="14"/>
        <v>#REF!</v>
      </c>
      <c r="I636" s="86" t="str">
        <f t="shared" si="15"/>
        <v>#REF!</v>
      </c>
    </row>
    <row r="637">
      <c r="B637" s="86" t="str">
        <f t="shared" si="1"/>
        <v>#REF!</v>
      </c>
      <c r="C637" s="86" t="str">
        <f t="shared" si="9"/>
        <v>#REF!</v>
      </c>
      <c r="D637" s="86" t="str">
        <f t="shared" si="10"/>
        <v>#REF!</v>
      </c>
      <c r="E637" s="86" t="str">
        <f t="shared" si="11"/>
        <v>#REF!</v>
      </c>
      <c r="F637" s="86" t="str">
        <f t="shared" si="12"/>
        <v>#REF!</v>
      </c>
      <c r="G637" s="86" t="str">
        <f t="shared" si="13"/>
        <v>#REF!</v>
      </c>
      <c r="H637" s="86" t="str">
        <f t="shared" si="14"/>
        <v>#REF!</v>
      </c>
      <c r="I637" s="86" t="str">
        <f t="shared" si="15"/>
        <v>#REF!</v>
      </c>
    </row>
    <row r="638">
      <c r="B638" s="86" t="str">
        <f t="shared" si="1"/>
        <v>#REF!</v>
      </c>
      <c r="C638" s="86" t="str">
        <f t="shared" si="9"/>
        <v>#REF!</v>
      </c>
      <c r="D638" s="86" t="str">
        <f t="shared" si="10"/>
        <v>#REF!</v>
      </c>
      <c r="E638" s="86" t="str">
        <f t="shared" si="11"/>
        <v>#REF!</v>
      </c>
      <c r="F638" s="86" t="str">
        <f t="shared" si="12"/>
        <v>#REF!</v>
      </c>
      <c r="G638" s="86" t="str">
        <f t="shared" si="13"/>
        <v>#REF!</v>
      </c>
      <c r="H638" s="86" t="str">
        <f t="shared" si="14"/>
        <v>#REF!</v>
      </c>
      <c r="I638" s="86" t="str">
        <f t="shared" si="15"/>
        <v>#REF!</v>
      </c>
    </row>
    <row r="639">
      <c r="B639" s="86" t="str">
        <f t="shared" si="1"/>
        <v>#REF!</v>
      </c>
      <c r="C639" s="86" t="str">
        <f t="shared" si="9"/>
        <v>#REF!</v>
      </c>
      <c r="D639" s="86" t="str">
        <f t="shared" si="10"/>
        <v>#REF!</v>
      </c>
      <c r="E639" s="86" t="str">
        <f t="shared" si="11"/>
        <v>#REF!</v>
      </c>
      <c r="F639" s="86" t="str">
        <f t="shared" si="12"/>
        <v>#REF!</v>
      </c>
      <c r="G639" s="86" t="str">
        <f t="shared" si="13"/>
        <v>#REF!</v>
      </c>
      <c r="H639" s="86" t="str">
        <f t="shared" si="14"/>
        <v>#REF!</v>
      </c>
      <c r="I639" s="86" t="str">
        <f t="shared" si="15"/>
        <v>#REF!</v>
      </c>
    </row>
    <row r="640">
      <c r="B640" s="86" t="str">
        <f t="shared" si="1"/>
        <v>#REF!</v>
      </c>
      <c r="C640" s="86" t="str">
        <f t="shared" si="9"/>
        <v>#REF!</v>
      </c>
      <c r="D640" s="86" t="str">
        <f t="shared" si="10"/>
        <v>#REF!</v>
      </c>
      <c r="E640" s="86" t="str">
        <f t="shared" si="11"/>
        <v>#REF!</v>
      </c>
      <c r="F640" s="86" t="str">
        <f t="shared" si="12"/>
        <v>#REF!</v>
      </c>
      <c r="G640" s="86" t="str">
        <f t="shared" si="13"/>
        <v>#REF!</v>
      </c>
      <c r="H640" s="86" t="str">
        <f t="shared" si="14"/>
        <v>#REF!</v>
      </c>
      <c r="I640" s="86" t="str">
        <f t="shared" si="15"/>
        <v>#REF!</v>
      </c>
    </row>
    <row r="641">
      <c r="B641" s="86" t="str">
        <f t="shared" si="1"/>
        <v>#REF!</v>
      </c>
      <c r="C641" s="86" t="str">
        <f t="shared" si="9"/>
        <v>#REF!</v>
      </c>
      <c r="D641" s="86" t="str">
        <f t="shared" si="10"/>
        <v>#REF!</v>
      </c>
      <c r="E641" s="86" t="str">
        <f t="shared" si="11"/>
        <v>#REF!</v>
      </c>
      <c r="F641" s="86" t="str">
        <f t="shared" si="12"/>
        <v>#REF!</v>
      </c>
      <c r="G641" s="86" t="str">
        <f t="shared" si="13"/>
        <v>#REF!</v>
      </c>
      <c r="H641" s="86" t="str">
        <f t="shared" si="14"/>
        <v>#REF!</v>
      </c>
      <c r="I641" s="86" t="str">
        <f t="shared" si="15"/>
        <v>#REF!</v>
      </c>
    </row>
    <row r="642">
      <c r="B642" s="86" t="str">
        <f t="shared" si="1"/>
        <v>#REF!</v>
      </c>
      <c r="C642" s="86" t="str">
        <f t="shared" si="9"/>
        <v>#REF!</v>
      </c>
      <c r="D642" s="86" t="str">
        <f t="shared" si="10"/>
        <v>#REF!</v>
      </c>
      <c r="E642" s="86" t="str">
        <f t="shared" si="11"/>
        <v>#REF!</v>
      </c>
      <c r="F642" s="86" t="str">
        <f t="shared" si="12"/>
        <v>#REF!</v>
      </c>
      <c r="G642" s="86" t="str">
        <f t="shared" si="13"/>
        <v>#REF!</v>
      </c>
      <c r="H642" s="86" t="str">
        <f t="shared" si="14"/>
        <v>#REF!</v>
      </c>
      <c r="I642" s="86" t="str">
        <f t="shared" si="15"/>
        <v>#REF!</v>
      </c>
    </row>
    <row r="643">
      <c r="B643" s="86" t="str">
        <f t="shared" si="1"/>
        <v>#REF!</v>
      </c>
      <c r="C643" s="86" t="str">
        <f t="shared" si="9"/>
        <v>#REF!</v>
      </c>
      <c r="D643" s="86" t="str">
        <f t="shared" si="10"/>
        <v>#REF!</v>
      </c>
      <c r="E643" s="86" t="str">
        <f t="shared" si="11"/>
        <v>#REF!</v>
      </c>
      <c r="F643" s="86" t="str">
        <f t="shared" si="12"/>
        <v>#REF!</v>
      </c>
      <c r="G643" s="86" t="str">
        <f t="shared" si="13"/>
        <v>#REF!</v>
      </c>
      <c r="H643" s="86" t="str">
        <f t="shared" si="14"/>
        <v>#REF!</v>
      </c>
      <c r="I643" s="86" t="str">
        <f t="shared" si="15"/>
        <v>#REF!</v>
      </c>
    </row>
    <row r="644">
      <c r="B644" s="86" t="str">
        <f t="shared" si="1"/>
        <v>#REF!</v>
      </c>
      <c r="C644" s="86" t="str">
        <f t="shared" si="9"/>
        <v>#REF!</v>
      </c>
      <c r="D644" s="86" t="str">
        <f t="shared" si="10"/>
        <v>#REF!</v>
      </c>
      <c r="E644" s="86" t="str">
        <f t="shared" si="11"/>
        <v>#REF!</v>
      </c>
      <c r="F644" s="86" t="str">
        <f t="shared" si="12"/>
        <v>#REF!</v>
      </c>
      <c r="G644" s="86" t="str">
        <f t="shared" si="13"/>
        <v>#REF!</v>
      </c>
      <c r="H644" s="86" t="str">
        <f t="shared" si="14"/>
        <v>#REF!</v>
      </c>
      <c r="I644" s="86" t="str">
        <f t="shared" si="15"/>
        <v>#REF!</v>
      </c>
    </row>
    <row r="645">
      <c r="B645" s="86" t="str">
        <f t="shared" si="1"/>
        <v>#REF!</v>
      </c>
      <c r="C645" s="86" t="str">
        <f t="shared" si="9"/>
        <v>#REF!</v>
      </c>
      <c r="D645" s="86" t="str">
        <f t="shared" si="10"/>
        <v>#REF!</v>
      </c>
      <c r="E645" s="86" t="str">
        <f t="shared" si="11"/>
        <v>#REF!</v>
      </c>
      <c r="F645" s="86" t="str">
        <f t="shared" si="12"/>
        <v>#REF!</v>
      </c>
      <c r="G645" s="86" t="str">
        <f t="shared" si="13"/>
        <v>#REF!</v>
      </c>
      <c r="H645" s="86" t="str">
        <f t="shared" si="14"/>
        <v>#REF!</v>
      </c>
      <c r="I645" s="86" t="str">
        <f t="shared" si="15"/>
        <v>#REF!</v>
      </c>
    </row>
    <row r="646">
      <c r="B646" s="86" t="str">
        <f t="shared" si="1"/>
        <v>#REF!</v>
      </c>
      <c r="C646" s="86" t="str">
        <f t="shared" si="9"/>
        <v>#REF!</v>
      </c>
      <c r="D646" s="86" t="str">
        <f t="shared" si="10"/>
        <v>#REF!</v>
      </c>
      <c r="E646" s="86" t="str">
        <f t="shared" si="11"/>
        <v>#REF!</v>
      </c>
      <c r="F646" s="86" t="str">
        <f t="shared" si="12"/>
        <v>#REF!</v>
      </c>
      <c r="G646" s="86" t="str">
        <f t="shared" si="13"/>
        <v>#REF!</v>
      </c>
      <c r="H646" s="86" t="str">
        <f t="shared" si="14"/>
        <v>#REF!</v>
      </c>
      <c r="I646" s="86" t="str">
        <f t="shared" si="15"/>
        <v>#REF!</v>
      </c>
    </row>
    <row r="647">
      <c r="B647" s="86" t="str">
        <f t="shared" si="1"/>
        <v>#REF!</v>
      </c>
      <c r="C647" s="86" t="str">
        <f t="shared" si="9"/>
        <v>#REF!</v>
      </c>
      <c r="D647" s="86" t="str">
        <f t="shared" si="10"/>
        <v>#REF!</v>
      </c>
      <c r="E647" s="86" t="str">
        <f t="shared" si="11"/>
        <v>#REF!</v>
      </c>
      <c r="F647" s="86" t="str">
        <f t="shared" si="12"/>
        <v>#REF!</v>
      </c>
      <c r="G647" s="86" t="str">
        <f t="shared" si="13"/>
        <v>#REF!</v>
      </c>
      <c r="H647" s="86" t="str">
        <f t="shared" si="14"/>
        <v>#REF!</v>
      </c>
      <c r="I647" s="86" t="str">
        <f t="shared" si="15"/>
        <v>#REF!</v>
      </c>
    </row>
    <row r="648">
      <c r="B648" s="86" t="str">
        <f t="shared" si="1"/>
        <v>#REF!</v>
      </c>
      <c r="C648" s="86" t="str">
        <f t="shared" si="9"/>
        <v>#REF!</v>
      </c>
      <c r="D648" s="86" t="str">
        <f t="shared" si="10"/>
        <v>#REF!</v>
      </c>
      <c r="E648" s="86" t="str">
        <f t="shared" si="11"/>
        <v>#REF!</v>
      </c>
      <c r="F648" s="86" t="str">
        <f t="shared" si="12"/>
        <v>#REF!</v>
      </c>
      <c r="G648" s="86" t="str">
        <f t="shared" si="13"/>
        <v>#REF!</v>
      </c>
      <c r="H648" s="86" t="str">
        <f t="shared" si="14"/>
        <v>#REF!</v>
      </c>
      <c r="I648" s="86" t="str">
        <f t="shared" si="15"/>
        <v>#REF!</v>
      </c>
    </row>
    <row r="649">
      <c r="B649" s="86" t="str">
        <f t="shared" si="1"/>
        <v>#REF!</v>
      </c>
      <c r="C649" s="86" t="str">
        <f t="shared" si="9"/>
        <v>#REF!</v>
      </c>
      <c r="D649" s="86" t="str">
        <f t="shared" si="10"/>
        <v>#REF!</v>
      </c>
      <c r="E649" s="86" t="str">
        <f t="shared" si="11"/>
        <v>#REF!</v>
      </c>
      <c r="F649" s="86" t="str">
        <f t="shared" si="12"/>
        <v>#REF!</v>
      </c>
      <c r="G649" s="86" t="str">
        <f t="shared" si="13"/>
        <v>#REF!</v>
      </c>
      <c r="H649" s="86" t="str">
        <f t="shared" si="14"/>
        <v>#REF!</v>
      </c>
      <c r="I649" s="86" t="str">
        <f t="shared" si="15"/>
        <v>#REF!</v>
      </c>
    </row>
    <row r="650">
      <c r="B650" s="86" t="str">
        <f t="shared" si="1"/>
        <v>#REF!</v>
      </c>
      <c r="C650" s="86" t="str">
        <f t="shared" si="9"/>
        <v>#REF!</v>
      </c>
      <c r="D650" s="86" t="str">
        <f t="shared" si="10"/>
        <v>#REF!</v>
      </c>
      <c r="E650" s="86" t="str">
        <f t="shared" si="11"/>
        <v>#REF!</v>
      </c>
      <c r="F650" s="86" t="str">
        <f t="shared" si="12"/>
        <v>#REF!</v>
      </c>
      <c r="G650" s="86" t="str">
        <f t="shared" si="13"/>
        <v>#REF!</v>
      </c>
      <c r="H650" s="86" t="str">
        <f t="shared" si="14"/>
        <v>#REF!</v>
      </c>
      <c r="I650" s="86" t="str">
        <f t="shared" si="15"/>
        <v>#REF!</v>
      </c>
    </row>
    <row r="651">
      <c r="B651" s="86" t="str">
        <f t="shared" si="1"/>
        <v>#REF!</v>
      </c>
      <c r="C651" s="86" t="str">
        <f t="shared" si="9"/>
        <v>#REF!</v>
      </c>
      <c r="D651" s="86" t="str">
        <f t="shared" si="10"/>
        <v>#REF!</v>
      </c>
      <c r="E651" s="86" t="str">
        <f t="shared" si="11"/>
        <v>#REF!</v>
      </c>
      <c r="F651" s="86" t="str">
        <f t="shared" si="12"/>
        <v>#REF!</v>
      </c>
      <c r="G651" s="86" t="str">
        <f t="shared" si="13"/>
        <v>#REF!</v>
      </c>
      <c r="H651" s="86" t="str">
        <f t="shared" si="14"/>
        <v>#REF!</v>
      </c>
      <c r="I651" s="86" t="str">
        <f t="shared" si="15"/>
        <v>#REF!</v>
      </c>
    </row>
    <row r="652">
      <c r="B652" s="86" t="str">
        <f t="shared" si="1"/>
        <v>#REF!</v>
      </c>
      <c r="C652" s="86" t="str">
        <f t="shared" si="9"/>
        <v>#REF!</v>
      </c>
      <c r="D652" s="86" t="str">
        <f t="shared" si="10"/>
        <v>#REF!</v>
      </c>
      <c r="E652" s="86" t="str">
        <f t="shared" si="11"/>
        <v>#REF!</v>
      </c>
      <c r="F652" s="86" t="str">
        <f t="shared" si="12"/>
        <v>#REF!</v>
      </c>
      <c r="G652" s="86" t="str">
        <f t="shared" si="13"/>
        <v>#REF!</v>
      </c>
      <c r="H652" s="86" t="str">
        <f t="shared" si="14"/>
        <v>#REF!</v>
      </c>
      <c r="I652" s="86" t="str">
        <f t="shared" si="15"/>
        <v>#REF!</v>
      </c>
    </row>
    <row r="653">
      <c r="B653" s="86" t="str">
        <f t="shared" si="1"/>
        <v>#REF!</v>
      </c>
      <c r="C653" s="86" t="str">
        <f t="shared" si="9"/>
        <v>#REF!</v>
      </c>
      <c r="D653" s="86" t="str">
        <f t="shared" si="10"/>
        <v>#REF!</v>
      </c>
      <c r="E653" s="86" t="str">
        <f t="shared" si="11"/>
        <v>#REF!</v>
      </c>
      <c r="F653" s="86" t="str">
        <f t="shared" si="12"/>
        <v>#REF!</v>
      </c>
      <c r="G653" s="86" t="str">
        <f t="shared" si="13"/>
        <v>#REF!</v>
      </c>
      <c r="H653" s="86" t="str">
        <f t="shared" si="14"/>
        <v>#REF!</v>
      </c>
      <c r="I653" s="86" t="str">
        <f t="shared" si="15"/>
        <v>#REF!</v>
      </c>
    </row>
    <row r="654">
      <c r="B654" s="86" t="str">
        <f t="shared" si="1"/>
        <v>#REF!</v>
      </c>
      <c r="C654" s="86" t="str">
        <f t="shared" si="9"/>
        <v>#REF!</v>
      </c>
      <c r="D654" s="86" t="str">
        <f t="shared" si="10"/>
        <v>#REF!</v>
      </c>
      <c r="E654" s="86" t="str">
        <f t="shared" si="11"/>
        <v>#REF!</v>
      </c>
      <c r="F654" s="86" t="str">
        <f t="shared" si="12"/>
        <v>#REF!</v>
      </c>
      <c r="G654" s="86" t="str">
        <f t="shared" si="13"/>
        <v>#REF!</v>
      </c>
      <c r="H654" s="86" t="str">
        <f t="shared" si="14"/>
        <v>#REF!</v>
      </c>
      <c r="I654" s="86" t="str">
        <f t="shared" si="15"/>
        <v>#REF!</v>
      </c>
    </row>
    <row r="655">
      <c r="B655" s="86" t="str">
        <f t="shared" si="1"/>
        <v>#REF!</v>
      </c>
      <c r="C655" s="86" t="str">
        <f t="shared" si="9"/>
        <v>#REF!</v>
      </c>
      <c r="D655" s="86" t="str">
        <f t="shared" si="10"/>
        <v>#REF!</v>
      </c>
      <c r="E655" s="86" t="str">
        <f t="shared" si="11"/>
        <v>#REF!</v>
      </c>
      <c r="F655" s="86" t="str">
        <f t="shared" si="12"/>
        <v>#REF!</v>
      </c>
      <c r="G655" s="86" t="str">
        <f t="shared" si="13"/>
        <v>#REF!</v>
      </c>
      <c r="H655" s="86" t="str">
        <f t="shared" si="14"/>
        <v>#REF!</v>
      </c>
      <c r="I655" s="86" t="str">
        <f t="shared" si="15"/>
        <v>#REF!</v>
      </c>
    </row>
    <row r="656">
      <c r="B656" s="86" t="str">
        <f t="shared" si="1"/>
        <v>#REF!</v>
      </c>
      <c r="C656" s="86" t="str">
        <f t="shared" si="9"/>
        <v>#REF!</v>
      </c>
      <c r="D656" s="86" t="str">
        <f t="shared" si="10"/>
        <v>#REF!</v>
      </c>
      <c r="E656" s="86" t="str">
        <f t="shared" si="11"/>
        <v>#REF!</v>
      </c>
      <c r="F656" s="86" t="str">
        <f t="shared" si="12"/>
        <v>#REF!</v>
      </c>
      <c r="G656" s="86" t="str">
        <f t="shared" si="13"/>
        <v>#REF!</v>
      </c>
      <c r="H656" s="86" t="str">
        <f t="shared" si="14"/>
        <v>#REF!</v>
      </c>
      <c r="I656" s="86" t="str">
        <f t="shared" si="15"/>
        <v>#REF!</v>
      </c>
    </row>
    <row r="657">
      <c r="B657" s="86" t="str">
        <f t="shared" si="1"/>
        <v>#REF!</v>
      </c>
      <c r="C657" s="86" t="str">
        <f t="shared" si="9"/>
        <v>#REF!</v>
      </c>
      <c r="D657" s="86" t="str">
        <f t="shared" si="10"/>
        <v>#REF!</v>
      </c>
      <c r="E657" s="86" t="str">
        <f t="shared" si="11"/>
        <v>#REF!</v>
      </c>
      <c r="F657" s="86" t="str">
        <f t="shared" si="12"/>
        <v>#REF!</v>
      </c>
      <c r="G657" s="86" t="str">
        <f t="shared" si="13"/>
        <v>#REF!</v>
      </c>
      <c r="H657" s="86" t="str">
        <f t="shared" si="14"/>
        <v>#REF!</v>
      </c>
      <c r="I657" s="86" t="str">
        <f t="shared" si="15"/>
        <v>#REF!</v>
      </c>
    </row>
    <row r="658">
      <c r="B658" s="86" t="str">
        <f t="shared" si="1"/>
        <v>#REF!</v>
      </c>
      <c r="C658" s="86" t="str">
        <f t="shared" si="9"/>
        <v>#REF!</v>
      </c>
      <c r="D658" s="86" t="str">
        <f t="shared" si="10"/>
        <v>#REF!</v>
      </c>
      <c r="E658" s="86" t="str">
        <f t="shared" si="11"/>
        <v>#REF!</v>
      </c>
      <c r="F658" s="86" t="str">
        <f t="shared" si="12"/>
        <v>#REF!</v>
      </c>
      <c r="G658" s="86" t="str">
        <f t="shared" si="13"/>
        <v>#REF!</v>
      </c>
      <c r="H658" s="86" t="str">
        <f t="shared" si="14"/>
        <v>#REF!</v>
      </c>
      <c r="I658" s="86" t="str">
        <f t="shared" si="15"/>
        <v>#REF!</v>
      </c>
    </row>
    <row r="659">
      <c r="B659" s="86" t="str">
        <f t="shared" si="1"/>
        <v>#REF!</v>
      </c>
      <c r="C659" s="86" t="str">
        <f t="shared" si="9"/>
        <v>#REF!</v>
      </c>
      <c r="D659" s="86" t="str">
        <f t="shared" si="10"/>
        <v>#REF!</v>
      </c>
      <c r="E659" s="86" t="str">
        <f t="shared" si="11"/>
        <v>#REF!</v>
      </c>
      <c r="F659" s="86" t="str">
        <f t="shared" si="12"/>
        <v>#REF!</v>
      </c>
      <c r="G659" s="86" t="str">
        <f t="shared" si="13"/>
        <v>#REF!</v>
      </c>
      <c r="H659" s="86" t="str">
        <f t="shared" si="14"/>
        <v>#REF!</v>
      </c>
      <c r="I659" s="86" t="str">
        <f t="shared" si="15"/>
        <v>#REF!</v>
      </c>
    </row>
    <row r="660">
      <c r="B660" s="86" t="str">
        <f t="shared" si="1"/>
        <v>#REF!</v>
      </c>
      <c r="C660" s="86" t="str">
        <f t="shared" si="9"/>
        <v>#REF!</v>
      </c>
      <c r="D660" s="86" t="str">
        <f t="shared" si="10"/>
        <v>#REF!</v>
      </c>
      <c r="E660" s="86" t="str">
        <f t="shared" si="11"/>
        <v>#REF!</v>
      </c>
      <c r="F660" s="86" t="str">
        <f t="shared" si="12"/>
        <v>#REF!</v>
      </c>
      <c r="G660" s="86" t="str">
        <f t="shared" si="13"/>
        <v>#REF!</v>
      </c>
      <c r="H660" s="86" t="str">
        <f t="shared" si="14"/>
        <v>#REF!</v>
      </c>
      <c r="I660" s="86" t="str">
        <f t="shared" si="15"/>
        <v>#REF!</v>
      </c>
    </row>
    <row r="661">
      <c r="B661" s="86" t="str">
        <f t="shared" si="1"/>
        <v>#REF!</v>
      </c>
      <c r="C661" s="86" t="str">
        <f t="shared" si="9"/>
        <v>#REF!</v>
      </c>
      <c r="D661" s="86" t="str">
        <f t="shared" si="10"/>
        <v>#REF!</v>
      </c>
      <c r="E661" s="86" t="str">
        <f t="shared" si="11"/>
        <v>#REF!</v>
      </c>
      <c r="F661" s="86" t="str">
        <f t="shared" si="12"/>
        <v>#REF!</v>
      </c>
      <c r="G661" s="86" t="str">
        <f t="shared" si="13"/>
        <v>#REF!</v>
      </c>
      <c r="H661" s="86" t="str">
        <f t="shared" si="14"/>
        <v>#REF!</v>
      </c>
      <c r="I661" s="86" t="str">
        <f t="shared" si="15"/>
        <v>#REF!</v>
      </c>
    </row>
    <row r="662">
      <c r="B662" s="86" t="str">
        <f t="shared" si="1"/>
        <v>#REF!</v>
      </c>
      <c r="C662" s="86" t="str">
        <f t="shared" si="9"/>
        <v>#REF!</v>
      </c>
      <c r="D662" s="86" t="str">
        <f t="shared" si="10"/>
        <v>#REF!</v>
      </c>
      <c r="E662" s="86" t="str">
        <f t="shared" si="11"/>
        <v>#REF!</v>
      </c>
      <c r="F662" s="86" t="str">
        <f t="shared" si="12"/>
        <v>#REF!</v>
      </c>
      <c r="G662" s="86" t="str">
        <f t="shared" si="13"/>
        <v>#REF!</v>
      </c>
      <c r="H662" s="86" t="str">
        <f t="shared" si="14"/>
        <v>#REF!</v>
      </c>
      <c r="I662" s="86" t="str">
        <f t="shared" si="15"/>
        <v>#REF!</v>
      </c>
    </row>
    <row r="663">
      <c r="B663" s="86" t="str">
        <f t="shared" si="1"/>
        <v>#REF!</v>
      </c>
      <c r="C663" s="86" t="str">
        <f t="shared" si="9"/>
        <v>#REF!</v>
      </c>
      <c r="D663" s="86" t="str">
        <f t="shared" si="10"/>
        <v>#REF!</v>
      </c>
      <c r="E663" s="86" t="str">
        <f t="shared" si="11"/>
        <v>#REF!</v>
      </c>
      <c r="F663" s="86" t="str">
        <f t="shared" si="12"/>
        <v>#REF!</v>
      </c>
      <c r="G663" s="86" t="str">
        <f t="shared" si="13"/>
        <v>#REF!</v>
      </c>
      <c r="H663" s="86" t="str">
        <f t="shared" si="14"/>
        <v>#REF!</v>
      </c>
      <c r="I663" s="86" t="str">
        <f t="shared" si="15"/>
        <v>#REF!</v>
      </c>
    </row>
    <row r="664">
      <c r="B664" s="86" t="str">
        <f t="shared" si="1"/>
        <v>#REF!</v>
      </c>
      <c r="C664" s="86" t="str">
        <f t="shared" si="9"/>
        <v>#REF!</v>
      </c>
      <c r="D664" s="86" t="str">
        <f t="shared" si="10"/>
        <v>#REF!</v>
      </c>
      <c r="E664" s="86" t="str">
        <f t="shared" si="11"/>
        <v>#REF!</v>
      </c>
      <c r="F664" s="86" t="str">
        <f t="shared" si="12"/>
        <v>#REF!</v>
      </c>
      <c r="G664" s="86" t="str">
        <f t="shared" si="13"/>
        <v>#REF!</v>
      </c>
      <c r="H664" s="86" t="str">
        <f t="shared" si="14"/>
        <v>#REF!</v>
      </c>
      <c r="I664" s="86" t="str">
        <f t="shared" si="15"/>
        <v>#REF!</v>
      </c>
    </row>
    <row r="665">
      <c r="B665" s="86" t="str">
        <f t="shared" si="1"/>
        <v>#REF!</v>
      </c>
      <c r="C665" s="86" t="str">
        <f t="shared" si="9"/>
        <v>#REF!</v>
      </c>
      <c r="D665" s="86" t="str">
        <f t="shared" si="10"/>
        <v>#REF!</v>
      </c>
      <c r="E665" s="86" t="str">
        <f t="shared" si="11"/>
        <v>#REF!</v>
      </c>
      <c r="F665" s="86" t="str">
        <f t="shared" si="12"/>
        <v>#REF!</v>
      </c>
      <c r="G665" s="86" t="str">
        <f t="shared" si="13"/>
        <v>#REF!</v>
      </c>
      <c r="H665" s="86" t="str">
        <f t="shared" si="14"/>
        <v>#REF!</v>
      </c>
      <c r="I665" s="86" t="str">
        <f t="shared" si="15"/>
        <v>#REF!</v>
      </c>
    </row>
    <row r="666">
      <c r="B666" s="86" t="str">
        <f t="shared" si="1"/>
        <v>#REF!</v>
      </c>
      <c r="C666" s="86" t="str">
        <f t="shared" si="9"/>
        <v>#REF!</v>
      </c>
      <c r="D666" s="86" t="str">
        <f t="shared" si="10"/>
        <v>#REF!</v>
      </c>
      <c r="E666" s="86" t="str">
        <f t="shared" si="11"/>
        <v>#REF!</v>
      </c>
      <c r="F666" s="86" t="str">
        <f t="shared" si="12"/>
        <v>#REF!</v>
      </c>
      <c r="G666" s="86" t="str">
        <f t="shared" si="13"/>
        <v>#REF!</v>
      </c>
      <c r="H666" s="86" t="str">
        <f t="shared" si="14"/>
        <v>#REF!</v>
      </c>
      <c r="I666" s="86" t="str">
        <f t="shared" si="15"/>
        <v>#REF!</v>
      </c>
    </row>
    <row r="667">
      <c r="B667" s="86" t="str">
        <f t="shared" si="1"/>
        <v>#REF!</v>
      </c>
      <c r="C667" s="86" t="str">
        <f t="shared" si="9"/>
        <v>#REF!</v>
      </c>
      <c r="D667" s="86" t="str">
        <f t="shared" si="10"/>
        <v>#REF!</v>
      </c>
      <c r="E667" s="86" t="str">
        <f t="shared" si="11"/>
        <v>#REF!</v>
      </c>
      <c r="F667" s="86" t="str">
        <f t="shared" si="12"/>
        <v>#REF!</v>
      </c>
      <c r="G667" s="86" t="str">
        <f t="shared" si="13"/>
        <v>#REF!</v>
      </c>
      <c r="H667" s="86" t="str">
        <f t="shared" si="14"/>
        <v>#REF!</v>
      </c>
      <c r="I667" s="86" t="str">
        <f t="shared" si="15"/>
        <v>#REF!</v>
      </c>
    </row>
    <row r="668">
      <c r="B668" s="86" t="str">
        <f t="shared" si="1"/>
        <v>#REF!</v>
      </c>
      <c r="C668" s="86" t="str">
        <f t="shared" si="9"/>
        <v>#REF!</v>
      </c>
      <c r="D668" s="86" t="str">
        <f t="shared" si="10"/>
        <v>#REF!</v>
      </c>
      <c r="E668" s="86" t="str">
        <f t="shared" si="11"/>
        <v>#REF!</v>
      </c>
      <c r="F668" s="86" t="str">
        <f t="shared" si="12"/>
        <v>#REF!</v>
      </c>
      <c r="G668" s="86" t="str">
        <f t="shared" si="13"/>
        <v>#REF!</v>
      </c>
      <c r="H668" s="86" t="str">
        <f t="shared" si="14"/>
        <v>#REF!</v>
      </c>
      <c r="I668" s="86" t="str">
        <f t="shared" si="15"/>
        <v>#REF!</v>
      </c>
    </row>
    <row r="669">
      <c r="B669" s="86" t="str">
        <f t="shared" si="1"/>
        <v>#REF!</v>
      </c>
      <c r="C669" s="86" t="str">
        <f t="shared" si="9"/>
        <v>#REF!</v>
      </c>
      <c r="D669" s="86" t="str">
        <f t="shared" si="10"/>
        <v>#REF!</v>
      </c>
      <c r="E669" s="86" t="str">
        <f t="shared" si="11"/>
        <v>#REF!</v>
      </c>
      <c r="F669" s="86" t="str">
        <f t="shared" si="12"/>
        <v>#REF!</v>
      </c>
      <c r="G669" s="86" t="str">
        <f t="shared" si="13"/>
        <v>#REF!</v>
      </c>
      <c r="H669" s="86" t="str">
        <f t="shared" si="14"/>
        <v>#REF!</v>
      </c>
      <c r="I669" s="86" t="str">
        <f t="shared" si="15"/>
        <v>#REF!</v>
      </c>
    </row>
    <row r="670">
      <c r="B670" s="86" t="str">
        <f t="shared" si="1"/>
        <v>#REF!</v>
      </c>
      <c r="C670" s="86" t="str">
        <f t="shared" si="9"/>
        <v>#REF!</v>
      </c>
      <c r="D670" s="86" t="str">
        <f t="shared" si="10"/>
        <v>#REF!</v>
      </c>
      <c r="E670" s="86" t="str">
        <f t="shared" si="11"/>
        <v>#REF!</v>
      </c>
      <c r="F670" s="86" t="str">
        <f t="shared" si="12"/>
        <v>#REF!</v>
      </c>
      <c r="G670" s="86" t="str">
        <f t="shared" si="13"/>
        <v>#REF!</v>
      </c>
      <c r="H670" s="86" t="str">
        <f t="shared" si="14"/>
        <v>#REF!</v>
      </c>
      <c r="I670" s="86" t="str">
        <f t="shared" si="15"/>
        <v>#REF!</v>
      </c>
    </row>
    <row r="671">
      <c r="B671" s="86" t="str">
        <f t="shared" si="1"/>
        <v>#REF!</v>
      </c>
      <c r="C671" s="86" t="str">
        <f t="shared" si="9"/>
        <v>#REF!</v>
      </c>
      <c r="D671" s="86" t="str">
        <f t="shared" si="10"/>
        <v>#REF!</v>
      </c>
      <c r="E671" s="86" t="str">
        <f t="shared" si="11"/>
        <v>#REF!</v>
      </c>
      <c r="F671" s="86" t="str">
        <f t="shared" si="12"/>
        <v>#REF!</v>
      </c>
      <c r="G671" s="86" t="str">
        <f t="shared" si="13"/>
        <v>#REF!</v>
      </c>
      <c r="H671" s="86" t="str">
        <f t="shared" si="14"/>
        <v>#REF!</v>
      </c>
      <c r="I671" s="86" t="str">
        <f t="shared" si="15"/>
        <v>#REF!</v>
      </c>
    </row>
    <row r="672">
      <c r="B672" s="86" t="str">
        <f t="shared" si="1"/>
        <v>#REF!</v>
      </c>
      <c r="C672" s="86" t="str">
        <f t="shared" si="9"/>
        <v>#REF!</v>
      </c>
      <c r="D672" s="86" t="str">
        <f t="shared" si="10"/>
        <v>#REF!</v>
      </c>
      <c r="E672" s="86" t="str">
        <f t="shared" si="11"/>
        <v>#REF!</v>
      </c>
      <c r="F672" s="86" t="str">
        <f t="shared" si="12"/>
        <v>#REF!</v>
      </c>
      <c r="G672" s="86" t="str">
        <f t="shared" si="13"/>
        <v>#REF!</v>
      </c>
      <c r="H672" s="86" t="str">
        <f t="shared" si="14"/>
        <v>#REF!</v>
      </c>
      <c r="I672" s="86" t="str">
        <f t="shared" si="15"/>
        <v>#REF!</v>
      </c>
    </row>
    <row r="673">
      <c r="B673" s="86" t="str">
        <f t="shared" si="1"/>
        <v>#REF!</v>
      </c>
      <c r="C673" s="86" t="str">
        <f t="shared" si="9"/>
        <v>#REF!</v>
      </c>
      <c r="D673" s="86" t="str">
        <f t="shared" si="10"/>
        <v>#REF!</v>
      </c>
      <c r="E673" s="86" t="str">
        <f t="shared" si="11"/>
        <v>#REF!</v>
      </c>
      <c r="F673" s="86" t="str">
        <f t="shared" si="12"/>
        <v>#REF!</v>
      </c>
      <c r="G673" s="86" t="str">
        <f t="shared" si="13"/>
        <v>#REF!</v>
      </c>
      <c r="H673" s="86" t="str">
        <f t="shared" si="14"/>
        <v>#REF!</v>
      </c>
      <c r="I673" s="86" t="str">
        <f t="shared" si="15"/>
        <v>#REF!</v>
      </c>
    </row>
    <row r="674">
      <c r="B674" s="86" t="str">
        <f t="shared" si="1"/>
        <v>#REF!</v>
      </c>
      <c r="C674" s="86" t="str">
        <f t="shared" si="9"/>
        <v>#REF!</v>
      </c>
      <c r="D674" s="86" t="str">
        <f t="shared" si="10"/>
        <v>#REF!</v>
      </c>
      <c r="E674" s="86" t="str">
        <f t="shared" si="11"/>
        <v>#REF!</v>
      </c>
      <c r="F674" s="86" t="str">
        <f t="shared" si="12"/>
        <v>#REF!</v>
      </c>
      <c r="G674" s="86" t="str">
        <f t="shared" si="13"/>
        <v>#REF!</v>
      </c>
      <c r="H674" s="86" t="str">
        <f t="shared" si="14"/>
        <v>#REF!</v>
      </c>
      <c r="I674" s="86" t="str">
        <f t="shared" si="15"/>
        <v>#REF!</v>
      </c>
    </row>
    <row r="675">
      <c r="B675" s="86" t="str">
        <f t="shared" si="1"/>
        <v>#REF!</v>
      </c>
      <c r="C675" s="86" t="str">
        <f t="shared" si="9"/>
        <v>#REF!</v>
      </c>
      <c r="D675" s="86" t="str">
        <f t="shared" si="10"/>
        <v>#REF!</v>
      </c>
      <c r="E675" s="86" t="str">
        <f t="shared" si="11"/>
        <v>#REF!</v>
      </c>
      <c r="F675" s="86" t="str">
        <f t="shared" si="12"/>
        <v>#REF!</v>
      </c>
      <c r="G675" s="86" t="str">
        <f t="shared" si="13"/>
        <v>#REF!</v>
      </c>
      <c r="H675" s="86" t="str">
        <f t="shared" si="14"/>
        <v>#REF!</v>
      </c>
      <c r="I675" s="86" t="str">
        <f t="shared" si="15"/>
        <v>#REF!</v>
      </c>
    </row>
    <row r="676">
      <c r="B676" s="86" t="str">
        <f t="shared" si="1"/>
        <v>#REF!</v>
      </c>
      <c r="C676" s="86" t="str">
        <f t="shared" si="9"/>
        <v>#REF!</v>
      </c>
      <c r="D676" s="86" t="str">
        <f t="shared" si="10"/>
        <v>#REF!</v>
      </c>
      <c r="E676" s="86" t="str">
        <f t="shared" si="11"/>
        <v>#REF!</v>
      </c>
      <c r="F676" s="86" t="str">
        <f t="shared" si="12"/>
        <v>#REF!</v>
      </c>
      <c r="G676" s="86" t="str">
        <f t="shared" si="13"/>
        <v>#REF!</v>
      </c>
      <c r="H676" s="86" t="str">
        <f t="shared" si="14"/>
        <v>#REF!</v>
      </c>
      <c r="I676" s="86" t="str">
        <f t="shared" si="15"/>
        <v>#REF!</v>
      </c>
    </row>
    <row r="677">
      <c r="B677" s="86" t="str">
        <f t="shared" si="1"/>
        <v>#REF!</v>
      </c>
      <c r="C677" s="86" t="str">
        <f t="shared" si="9"/>
        <v>#REF!</v>
      </c>
      <c r="D677" s="86" t="str">
        <f t="shared" si="10"/>
        <v>#REF!</v>
      </c>
      <c r="E677" s="86" t="str">
        <f t="shared" si="11"/>
        <v>#REF!</v>
      </c>
      <c r="F677" s="86" t="str">
        <f t="shared" si="12"/>
        <v>#REF!</v>
      </c>
      <c r="G677" s="86" t="str">
        <f t="shared" si="13"/>
        <v>#REF!</v>
      </c>
      <c r="H677" s="86" t="str">
        <f t="shared" si="14"/>
        <v>#REF!</v>
      </c>
      <c r="I677" s="86" t="str">
        <f t="shared" si="15"/>
        <v>#REF!</v>
      </c>
    </row>
    <row r="678">
      <c r="B678" s="86" t="str">
        <f t="shared" si="1"/>
        <v>#REF!</v>
      </c>
      <c r="C678" s="86" t="str">
        <f t="shared" si="9"/>
        <v>#REF!</v>
      </c>
      <c r="D678" s="86" t="str">
        <f t="shared" si="10"/>
        <v>#REF!</v>
      </c>
      <c r="E678" s="86" t="str">
        <f t="shared" si="11"/>
        <v>#REF!</v>
      </c>
      <c r="F678" s="86" t="str">
        <f t="shared" si="12"/>
        <v>#REF!</v>
      </c>
      <c r="G678" s="86" t="str">
        <f t="shared" si="13"/>
        <v>#REF!</v>
      </c>
      <c r="H678" s="86" t="str">
        <f t="shared" si="14"/>
        <v>#REF!</v>
      </c>
      <c r="I678" s="86" t="str">
        <f t="shared" si="15"/>
        <v>#REF!</v>
      </c>
    </row>
    <row r="679">
      <c r="B679" s="86" t="str">
        <f t="shared" si="1"/>
        <v>#REF!</v>
      </c>
      <c r="C679" s="86" t="str">
        <f t="shared" si="9"/>
        <v>#REF!</v>
      </c>
      <c r="D679" s="86" t="str">
        <f t="shared" si="10"/>
        <v>#REF!</v>
      </c>
      <c r="E679" s="86" t="str">
        <f t="shared" si="11"/>
        <v>#REF!</v>
      </c>
      <c r="F679" s="86" t="str">
        <f t="shared" si="12"/>
        <v>#REF!</v>
      </c>
      <c r="G679" s="86" t="str">
        <f t="shared" si="13"/>
        <v>#REF!</v>
      </c>
      <c r="H679" s="86" t="str">
        <f t="shared" si="14"/>
        <v>#REF!</v>
      </c>
      <c r="I679" s="86" t="str">
        <f t="shared" si="15"/>
        <v>#REF!</v>
      </c>
    </row>
    <row r="680">
      <c r="B680" s="86" t="str">
        <f t="shared" si="1"/>
        <v>#REF!</v>
      </c>
      <c r="C680" s="86" t="str">
        <f t="shared" si="9"/>
        <v>#REF!</v>
      </c>
      <c r="D680" s="86" t="str">
        <f t="shared" si="10"/>
        <v>#REF!</v>
      </c>
      <c r="E680" s="86" t="str">
        <f t="shared" si="11"/>
        <v>#REF!</v>
      </c>
      <c r="F680" s="86" t="str">
        <f t="shared" si="12"/>
        <v>#REF!</v>
      </c>
      <c r="G680" s="86" t="str">
        <f t="shared" si="13"/>
        <v>#REF!</v>
      </c>
      <c r="H680" s="86" t="str">
        <f t="shared" si="14"/>
        <v>#REF!</v>
      </c>
      <c r="I680" s="86" t="str">
        <f t="shared" si="15"/>
        <v>#REF!</v>
      </c>
    </row>
    <row r="681">
      <c r="B681" s="86" t="str">
        <f t="shared" si="1"/>
        <v>#REF!</v>
      </c>
      <c r="C681" s="86" t="str">
        <f t="shared" si="9"/>
        <v>#REF!</v>
      </c>
      <c r="D681" s="86" t="str">
        <f t="shared" si="10"/>
        <v>#REF!</v>
      </c>
      <c r="E681" s="86" t="str">
        <f t="shared" si="11"/>
        <v>#REF!</v>
      </c>
      <c r="F681" s="86" t="str">
        <f t="shared" si="12"/>
        <v>#REF!</v>
      </c>
      <c r="G681" s="86" t="str">
        <f t="shared" si="13"/>
        <v>#REF!</v>
      </c>
      <c r="H681" s="86" t="str">
        <f t="shared" si="14"/>
        <v>#REF!</v>
      </c>
      <c r="I681" s="86" t="str">
        <f t="shared" si="15"/>
        <v>#REF!</v>
      </c>
    </row>
    <row r="682">
      <c r="B682" s="86" t="str">
        <f t="shared" si="1"/>
        <v>#REF!</v>
      </c>
      <c r="C682" s="86" t="str">
        <f t="shared" si="9"/>
        <v>#REF!</v>
      </c>
      <c r="D682" s="86" t="str">
        <f t="shared" si="10"/>
        <v>#REF!</v>
      </c>
      <c r="E682" s="86" t="str">
        <f t="shared" si="11"/>
        <v>#REF!</v>
      </c>
      <c r="F682" s="86" t="str">
        <f t="shared" si="12"/>
        <v>#REF!</v>
      </c>
      <c r="G682" s="86" t="str">
        <f t="shared" si="13"/>
        <v>#REF!</v>
      </c>
      <c r="H682" s="86" t="str">
        <f t="shared" si="14"/>
        <v>#REF!</v>
      </c>
      <c r="I682" s="86" t="str">
        <f t="shared" si="15"/>
        <v>#REF!</v>
      </c>
    </row>
    <row r="683">
      <c r="B683" s="86" t="str">
        <f t="shared" si="1"/>
        <v>#REF!</v>
      </c>
      <c r="C683" s="86" t="str">
        <f t="shared" si="9"/>
        <v>#REF!</v>
      </c>
      <c r="D683" s="86" t="str">
        <f t="shared" si="10"/>
        <v>#REF!</v>
      </c>
      <c r="E683" s="86" t="str">
        <f t="shared" si="11"/>
        <v>#REF!</v>
      </c>
      <c r="F683" s="86" t="str">
        <f t="shared" si="12"/>
        <v>#REF!</v>
      </c>
      <c r="G683" s="86" t="str">
        <f t="shared" si="13"/>
        <v>#REF!</v>
      </c>
      <c r="H683" s="86" t="str">
        <f t="shared" si="14"/>
        <v>#REF!</v>
      </c>
      <c r="I683" s="86" t="str">
        <f t="shared" si="15"/>
        <v>#REF!</v>
      </c>
    </row>
    <row r="684">
      <c r="B684" s="86" t="str">
        <f t="shared" si="1"/>
        <v>#REF!</v>
      </c>
      <c r="C684" s="86" t="str">
        <f t="shared" si="9"/>
        <v>#REF!</v>
      </c>
      <c r="D684" s="86" t="str">
        <f t="shared" si="10"/>
        <v>#REF!</v>
      </c>
      <c r="E684" s="86" t="str">
        <f t="shared" si="11"/>
        <v>#REF!</v>
      </c>
      <c r="F684" s="86" t="str">
        <f t="shared" si="12"/>
        <v>#REF!</v>
      </c>
      <c r="G684" s="86" t="str">
        <f t="shared" si="13"/>
        <v>#REF!</v>
      </c>
      <c r="H684" s="86" t="str">
        <f t="shared" si="14"/>
        <v>#REF!</v>
      </c>
      <c r="I684" s="86" t="str">
        <f t="shared" si="15"/>
        <v>#REF!</v>
      </c>
    </row>
    <row r="685">
      <c r="B685" s="86" t="str">
        <f t="shared" si="1"/>
        <v>#REF!</v>
      </c>
      <c r="C685" s="86" t="str">
        <f t="shared" si="9"/>
        <v>#REF!</v>
      </c>
      <c r="D685" s="86" t="str">
        <f t="shared" si="10"/>
        <v>#REF!</v>
      </c>
      <c r="E685" s="86" t="str">
        <f t="shared" si="11"/>
        <v>#REF!</v>
      </c>
      <c r="F685" s="86" t="str">
        <f t="shared" si="12"/>
        <v>#REF!</v>
      </c>
      <c r="G685" s="86" t="str">
        <f t="shared" si="13"/>
        <v>#REF!</v>
      </c>
      <c r="H685" s="86" t="str">
        <f t="shared" si="14"/>
        <v>#REF!</v>
      </c>
      <c r="I685" s="86" t="str">
        <f t="shared" si="15"/>
        <v>#REF!</v>
      </c>
    </row>
    <row r="686">
      <c r="B686" s="86" t="str">
        <f t="shared" si="1"/>
        <v>#REF!</v>
      </c>
      <c r="C686" s="86" t="str">
        <f t="shared" si="9"/>
        <v>#REF!</v>
      </c>
      <c r="D686" s="86" t="str">
        <f t="shared" si="10"/>
        <v>#REF!</v>
      </c>
      <c r="E686" s="86" t="str">
        <f t="shared" si="11"/>
        <v>#REF!</v>
      </c>
      <c r="F686" s="86" t="str">
        <f t="shared" si="12"/>
        <v>#REF!</v>
      </c>
      <c r="G686" s="86" t="str">
        <f t="shared" si="13"/>
        <v>#REF!</v>
      </c>
      <c r="H686" s="86" t="str">
        <f t="shared" si="14"/>
        <v>#REF!</v>
      </c>
      <c r="I686" s="86" t="str">
        <f t="shared" si="15"/>
        <v>#REF!</v>
      </c>
    </row>
    <row r="687">
      <c r="B687" s="86" t="str">
        <f t="shared" si="1"/>
        <v>#REF!</v>
      </c>
      <c r="C687" s="86" t="str">
        <f t="shared" si="9"/>
        <v>#REF!</v>
      </c>
      <c r="D687" s="86" t="str">
        <f t="shared" si="10"/>
        <v>#REF!</v>
      </c>
      <c r="E687" s="86" t="str">
        <f t="shared" si="11"/>
        <v>#REF!</v>
      </c>
      <c r="F687" s="86" t="str">
        <f t="shared" si="12"/>
        <v>#REF!</v>
      </c>
      <c r="G687" s="86" t="str">
        <f t="shared" si="13"/>
        <v>#REF!</v>
      </c>
      <c r="H687" s="86" t="str">
        <f t="shared" si="14"/>
        <v>#REF!</v>
      </c>
      <c r="I687" s="86" t="str">
        <f t="shared" si="15"/>
        <v>#REF!</v>
      </c>
    </row>
    <row r="688">
      <c r="B688" s="86" t="str">
        <f t="shared" si="1"/>
        <v>#REF!</v>
      </c>
      <c r="C688" s="86" t="str">
        <f t="shared" si="9"/>
        <v>#REF!</v>
      </c>
      <c r="D688" s="86" t="str">
        <f t="shared" si="10"/>
        <v>#REF!</v>
      </c>
      <c r="E688" s="86" t="str">
        <f t="shared" si="11"/>
        <v>#REF!</v>
      </c>
      <c r="F688" s="86" t="str">
        <f t="shared" si="12"/>
        <v>#REF!</v>
      </c>
      <c r="G688" s="86" t="str">
        <f t="shared" si="13"/>
        <v>#REF!</v>
      </c>
      <c r="H688" s="86" t="str">
        <f t="shared" si="14"/>
        <v>#REF!</v>
      </c>
      <c r="I688" s="86" t="str">
        <f t="shared" si="15"/>
        <v>#REF!</v>
      </c>
    </row>
    <row r="689">
      <c r="B689" s="86" t="str">
        <f t="shared" si="1"/>
        <v>#REF!</v>
      </c>
      <c r="C689" s="86" t="str">
        <f t="shared" si="9"/>
        <v>#REF!</v>
      </c>
      <c r="D689" s="86" t="str">
        <f t="shared" si="10"/>
        <v>#REF!</v>
      </c>
      <c r="E689" s="86" t="str">
        <f t="shared" si="11"/>
        <v>#REF!</v>
      </c>
      <c r="F689" s="86" t="str">
        <f t="shared" si="12"/>
        <v>#REF!</v>
      </c>
      <c r="G689" s="86" t="str">
        <f t="shared" si="13"/>
        <v>#REF!</v>
      </c>
      <c r="H689" s="86" t="str">
        <f t="shared" si="14"/>
        <v>#REF!</v>
      </c>
      <c r="I689" s="86" t="str">
        <f t="shared" si="15"/>
        <v>#REF!</v>
      </c>
    </row>
    <row r="690">
      <c r="B690" s="86" t="str">
        <f t="shared" si="1"/>
        <v>#REF!</v>
      </c>
      <c r="C690" s="86" t="str">
        <f t="shared" si="9"/>
        <v>#REF!</v>
      </c>
      <c r="D690" s="86" t="str">
        <f t="shared" si="10"/>
        <v>#REF!</v>
      </c>
      <c r="E690" s="86" t="str">
        <f t="shared" si="11"/>
        <v>#REF!</v>
      </c>
      <c r="F690" s="86" t="str">
        <f t="shared" si="12"/>
        <v>#REF!</v>
      </c>
      <c r="G690" s="86" t="str">
        <f t="shared" si="13"/>
        <v>#REF!</v>
      </c>
      <c r="H690" s="86" t="str">
        <f t="shared" si="14"/>
        <v>#REF!</v>
      </c>
      <c r="I690" s="86" t="str">
        <f t="shared" si="15"/>
        <v>#REF!</v>
      </c>
    </row>
    <row r="691">
      <c r="B691" s="86" t="str">
        <f t="shared" si="1"/>
        <v>#REF!</v>
      </c>
      <c r="C691" s="86" t="str">
        <f t="shared" si="9"/>
        <v>#REF!</v>
      </c>
      <c r="D691" s="86" t="str">
        <f t="shared" si="10"/>
        <v>#REF!</v>
      </c>
      <c r="E691" s="86" t="str">
        <f t="shared" si="11"/>
        <v>#REF!</v>
      </c>
      <c r="F691" s="86" t="str">
        <f t="shared" si="12"/>
        <v>#REF!</v>
      </c>
      <c r="G691" s="86" t="str">
        <f t="shared" si="13"/>
        <v>#REF!</v>
      </c>
      <c r="H691" s="86" t="str">
        <f t="shared" si="14"/>
        <v>#REF!</v>
      </c>
      <c r="I691" s="86" t="str">
        <f t="shared" si="15"/>
        <v>#REF!</v>
      </c>
    </row>
    <row r="692">
      <c r="B692" s="86" t="str">
        <f t="shared" si="1"/>
        <v>#REF!</v>
      </c>
      <c r="C692" s="86" t="str">
        <f t="shared" si="9"/>
        <v>#REF!</v>
      </c>
      <c r="D692" s="86" t="str">
        <f t="shared" si="10"/>
        <v>#REF!</v>
      </c>
      <c r="E692" s="86" t="str">
        <f t="shared" si="11"/>
        <v>#REF!</v>
      </c>
      <c r="F692" s="86" t="str">
        <f t="shared" si="12"/>
        <v>#REF!</v>
      </c>
      <c r="G692" s="86" t="str">
        <f t="shared" si="13"/>
        <v>#REF!</v>
      </c>
      <c r="H692" s="86" t="str">
        <f t="shared" si="14"/>
        <v>#REF!</v>
      </c>
      <c r="I692" s="86" t="str">
        <f t="shared" si="15"/>
        <v>#REF!</v>
      </c>
    </row>
    <row r="693">
      <c r="B693" s="86" t="str">
        <f t="shared" si="1"/>
        <v>#REF!</v>
      </c>
      <c r="C693" s="86" t="str">
        <f t="shared" si="9"/>
        <v>#REF!</v>
      </c>
      <c r="D693" s="86" t="str">
        <f t="shared" si="10"/>
        <v>#REF!</v>
      </c>
      <c r="E693" s="86" t="str">
        <f t="shared" si="11"/>
        <v>#REF!</v>
      </c>
      <c r="F693" s="86" t="str">
        <f t="shared" si="12"/>
        <v>#REF!</v>
      </c>
      <c r="G693" s="86" t="str">
        <f t="shared" si="13"/>
        <v>#REF!</v>
      </c>
      <c r="H693" s="86" t="str">
        <f t="shared" si="14"/>
        <v>#REF!</v>
      </c>
      <c r="I693" s="86" t="str">
        <f t="shared" si="15"/>
        <v>#REF!</v>
      </c>
    </row>
    <row r="694">
      <c r="B694" s="86" t="str">
        <f t="shared" si="1"/>
        <v>#REF!</v>
      </c>
      <c r="C694" s="86" t="str">
        <f t="shared" si="9"/>
        <v>#REF!</v>
      </c>
      <c r="D694" s="86" t="str">
        <f t="shared" si="10"/>
        <v>#REF!</v>
      </c>
      <c r="E694" s="86" t="str">
        <f t="shared" si="11"/>
        <v>#REF!</v>
      </c>
      <c r="F694" s="86" t="str">
        <f t="shared" si="12"/>
        <v>#REF!</v>
      </c>
      <c r="G694" s="86" t="str">
        <f t="shared" si="13"/>
        <v>#REF!</v>
      </c>
      <c r="H694" s="86" t="str">
        <f t="shared" si="14"/>
        <v>#REF!</v>
      </c>
      <c r="I694" s="86" t="str">
        <f t="shared" si="15"/>
        <v>#REF!</v>
      </c>
    </row>
    <row r="695">
      <c r="B695" s="86" t="str">
        <f t="shared" si="1"/>
        <v>#REF!</v>
      </c>
      <c r="C695" s="86" t="str">
        <f t="shared" si="9"/>
        <v>#REF!</v>
      </c>
      <c r="D695" s="86" t="str">
        <f t="shared" si="10"/>
        <v>#REF!</v>
      </c>
      <c r="E695" s="86" t="str">
        <f t="shared" si="11"/>
        <v>#REF!</v>
      </c>
      <c r="F695" s="86" t="str">
        <f t="shared" si="12"/>
        <v>#REF!</v>
      </c>
      <c r="G695" s="86" t="str">
        <f t="shared" si="13"/>
        <v>#REF!</v>
      </c>
      <c r="H695" s="86" t="str">
        <f t="shared" si="14"/>
        <v>#REF!</v>
      </c>
      <c r="I695" s="86" t="str">
        <f t="shared" si="15"/>
        <v>#REF!</v>
      </c>
    </row>
    <row r="696">
      <c r="B696" s="86" t="str">
        <f t="shared" si="1"/>
        <v>#REF!</v>
      </c>
      <c r="C696" s="86" t="str">
        <f t="shared" si="9"/>
        <v>#REF!</v>
      </c>
      <c r="D696" s="86" t="str">
        <f t="shared" si="10"/>
        <v>#REF!</v>
      </c>
      <c r="E696" s="86" t="str">
        <f t="shared" si="11"/>
        <v>#REF!</v>
      </c>
      <c r="F696" s="86" t="str">
        <f t="shared" si="12"/>
        <v>#REF!</v>
      </c>
      <c r="G696" s="86" t="str">
        <f t="shared" si="13"/>
        <v>#REF!</v>
      </c>
      <c r="H696" s="86" t="str">
        <f t="shared" si="14"/>
        <v>#REF!</v>
      </c>
      <c r="I696" s="86" t="str">
        <f t="shared" si="15"/>
        <v>#REF!</v>
      </c>
    </row>
    <row r="697">
      <c r="B697" s="86" t="str">
        <f t="shared" si="1"/>
        <v>#REF!</v>
      </c>
      <c r="C697" s="86" t="str">
        <f t="shared" si="9"/>
        <v>#REF!</v>
      </c>
      <c r="D697" s="86" t="str">
        <f t="shared" si="10"/>
        <v>#REF!</v>
      </c>
      <c r="E697" s="86" t="str">
        <f t="shared" si="11"/>
        <v>#REF!</v>
      </c>
      <c r="F697" s="86" t="str">
        <f t="shared" si="12"/>
        <v>#REF!</v>
      </c>
      <c r="G697" s="86" t="str">
        <f t="shared" si="13"/>
        <v>#REF!</v>
      </c>
      <c r="H697" s="86" t="str">
        <f t="shared" si="14"/>
        <v>#REF!</v>
      </c>
      <c r="I697" s="86" t="str">
        <f t="shared" si="15"/>
        <v>#REF!</v>
      </c>
    </row>
    <row r="698">
      <c r="B698" s="86" t="str">
        <f t="shared" si="1"/>
        <v>#REF!</v>
      </c>
      <c r="C698" s="86" t="str">
        <f t="shared" si="9"/>
        <v>#REF!</v>
      </c>
      <c r="D698" s="86" t="str">
        <f t="shared" si="10"/>
        <v>#REF!</v>
      </c>
      <c r="E698" s="86" t="str">
        <f t="shared" si="11"/>
        <v>#REF!</v>
      </c>
      <c r="F698" s="86" t="str">
        <f t="shared" si="12"/>
        <v>#REF!</v>
      </c>
      <c r="G698" s="86" t="str">
        <f t="shared" si="13"/>
        <v>#REF!</v>
      </c>
      <c r="H698" s="86" t="str">
        <f t="shared" si="14"/>
        <v>#REF!</v>
      </c>
      <c r="I698" s="86" t="str">
        <f t="shared" si="15"/>
        <v>#REF!</v>
      </c>
    </row>
    <row r="699">
      <c r="B699" s="86" t="str">
        <f t="shared" si="1"/>
        <v>#REF!</v>
      </c>
      <c r="C699" s="86" t="str">
        <f t="shared" si="9"/>
        <v>#REF!</v>
      </c>
      <c r="D699" s="86" t="str">
        <f t="shared" si="10"/>
        <v>#REF!</v>
      </c>
      <c r="E699" s="86" t="str">
        <f t="shared" si="11"/>
        <v>#REF!</v>
      </c>
      <c r="F699" s="86" t="str">
        <f t="shared" si="12"/>
        <v>#REF!</v>
      </c>
      <c r="G699" s="86" t="str">
        <f t="shared" si="13"/>
        <v>#REF!</v>
      </c>
      <c r="H699" s="86" t="str">
        <f t="shared" si="14"/>
        <v>#REF!</v>
      </c>
      <c r="I699" s="86" t="str">
        <f t="shared" si="15"/>
        <v>#REF!</v>
      </c>
    </row>
    <row r="700">
      <c r="B700" s="86" t="str">
        <f t="shared" si="1"/>
        <v>#REF!</v>
      </c>
      <c r="C700" s="86" t="str">
        <f t="shared" si="9"/>
        <v>#REF!</v>
      </c>
      <c r="D700" s="86" t="str">
        <f t="shared" si="10"/>
        <v>#REF!</v>
      </c>
      <c r="E700" s="86" t="str">
        <f t="shared" si="11"/>
        <v>#REF!</v>
      </c>
      <c r="F700" s="86" t="str">
        <f t="shared" si="12"/>
        <v>#REF!</v>
      </c>
      <c r="G700" s="86" t="str">
        <f t="shared" si="13"/>
        <v>#REF!</v>
      </c>
      <c r="H700" s="86" t="str">
        <f t="shared" si="14"/>
        <v>#REF!</v>
      </c>
      <c r="I700" s="86" t="str">
        <f t="shared" si="15"/>
        <v>#REF!</v>
      </c>
    </row>
    <row r="701">
      <c r="B701" s="86" t="str">
        <f t="shared" si="1"/>
        <v>#REF!</v>
      </c>
      <c r="C701" s="86" t="str">
        <f t="shared" si="9"/>
        <v>#REF!</v>
      </c>
      <c r="D701" s="86" t="str">
        <f t="shared" si="10"/>
        <v>#REF!</v>
      </c>
      <c r="E701" s="86" t="str">
        <f t="shared" si="11"/>
        <v>#REF!</v>
      </c>
      <c r="F701" s="86" t="str">
        <f t="shared" si="12"/>
        <v>#REF!</v>
      </c>
      <c r="G701" s="86" t="str">
        <f t="shared" si="13"/>
        <v>#REF!</v>
      </c>
      <c r="H701" s="86" t="str">
        <f t="shared" si="14"/>
        <v>#REF!</v>
      </c>
      <c r="I701" s="86" t="str">
        <f t="shared" si="15"/>
        <v>#REF!</v>
      </c>
    </row>
    <row r="702">
      <c r="B702" s="86" t="str">
        <f t="shared" si="1"/>
        <v>#REF!</v>
      </c>
      <c r="C702" s="86" t="str">
        <f t="shared" si="9"/>
        <v>#REF!</v>
      </c>
      <c r="D702" s="86" t="str">
        <f t="shared" si="10"/>
        <v>#REF!</v>
      </c>
      <c r="E702" s="86" t="str">
        <f t="shared" si="11"/>
        <v>#REF!</v>
      </c>
      <c r="F702" s="86" t="str">
        <f t="shared" si="12"/>
        <v>#REF!</v>
      </c>
      <c r="G702" s="86" t="str">
        <f t="shared" si="13"/>
        <v>#REF!</v>
      </c>
      <c r="H702" s="86" t="str">
        <f t="shared" si="14"/>
        <v>#REF!</v>
      </c>
      <c r="I702" s="86" t="str">
        <f t="shared" si="15"/>
        <v>#REF!</v>
      </c>
    </row>
    <row r="703">
      <c r="B703" s="86" t="str">
        <f t="shared" si="1"/>
        <v>#REF!</v>
      </c>
      <c r="C703" s="86" t="str">
        <f t="shared" si="9"/>
        <v>#REF!</v>
      </c>
      <c r="D703" s="86" t="str">
        <f t="shared" si="10"/>
        <v>#REF!</v>
      </c>
      <c r="E703" s="86" t="str">
        <f t="shared" si="11"/>
        <v>#REF!</v>
      </c>
      <c r="F703" s="86" t="str">
        <f t="shared" si="12"/>
        <v>#REF!</v>
      </c>
      <c r="G703" s="86" t="str">
        <f t="shared" si="13"/>
        <v>#REF!</v>
      </c>
      <c r="H703" s="86" t="str">
        <f t="shared" si="14"/>
        <v>#REF!</v>
      </c>
      <c r="I703" s="86" t="str">
        <f t="shared" si="15"/>
        <v>#REF!</v>
      </c>
    </row>
    <row r="704">
      <c r="B704" s="86" t="str">
        <f t="shared" si="1"/>
        <v>#REF!</v>
      </c>
      <c r="C704" s="86" t="str">
        <f t="shared" si="9"/>
        <v>#REF!</v>
      </c>
      <c r="D704" s="86" t="str">
        <f t="shared" si="10"/>
        <v>#REF!</v>
      </c>
      <c r="E704" s="86" t="str">
        <f t="shared" si="11"/>
        <v>#REF!</v>
      </c>
      <c r="F704" s="86" t="str">
        <f t="shared" si="12"/>
        <v>#REF!</v>
      </c>
      <c r="G704" s="86" t="str">
        <f t="shared" si="13"/>
        <v>#REF!</v>
      </c>
      <c r="H704" s="86" t="str">
        <f t="shared" si="14"/>
        <v>#REF!</v>
      </c>
      <c r="I704" s="86" t="str">
        <f t="shared" si="15"/>
        <v>#REF!</v>
      </c>
    </row>
    <row r="705">
      <c r="B705" s="86" t="str">
        <f t="shared" si="1"/>
        <v>#REF!</v>
      </c>
      <c r="C705" s="86" t="str">
        <f t="shared" si="9"/>
        <v>#REF!</v>
      </c>
      <c r="D705" s="86" t="str">
        <f t="shared" si="10"/>
        <v>#REF!</v>
      </c>
      <c r="E705" s="86" t="str">
        <f t="shared" si="11"/>
        <v>#REF!</v>
      </c>
      <c r="F705" s="86" t="str">
        <f t="shared" si="12"/>
        <v>#REF!</v>
      </c>
      <c r="G705" s="86" t="str">
        <f t="shared" si="13"/>
        <v>#REF!</v>
      </c>
      <c r="H705" s="86" t="str">
        <f t="shared" si="14"/>
        <v>#REF!</v>
      </c>
      <c r="I705" s="86" t="str">
        <f t="shared" si="15"/>
        <v>#REF!</v>
      </c>
    </row>
    <row r="706">
      <c r="B706" s="86" t="str">
        <f t="shared" si="1"/>
        <v>#REF!</v>
      </c>
      <c r="C706" s="86" t="str">
        <f t="shared" si="9"/>
        <v>#REF!</v>
      </c>
      <c r="D706" s="86" t="str">
        <f t="shared" si="10"/>
        <v>#REF!</v>
      </c>
      <c r="E706" s="86" t="str">
        <f t="shared" si="11"/>
        <v>#REF!</v>
      </c>
      <c r="F706" s="86" t="str">
        <f t="shared" si="12"/>
        <v>#REF!</v>
      </c>
      <c r="G706" s="86" t="str">
        <f t="shared" si="13"/>
        <v>#REF!</v>
      </c>
      <c r="H706" s="86" t="str">
        <f t="shared" si="14"/>
        <v>#REF!</v>
      </c>
      <c r="I706" s="86" t="str">
        <f t="shared" si="15"/>
        <v>#REF!</v>
      </c>
    </row>
    <row r="707">
      <c r="B707" s="86" t="str">
        <f t="shared" si="1"/>
        <v>#REF!</v>
      </c>
      <c r="C707" s="86" t="str">
        <f t="shared" si="9"/>
        <v>#REF!</v>
      </c>
      <c r="D707" s="86" t="str">
        <f t="shared" si="10"/>
        <v>#REF!</v>
      </c>
      <c r="E707" s="86" t="str">
        <f t="shared" si="11"/>
        <v>#REF!</v>
      </c>
      <c r="F707" s="86" t="str">
        <f t="shared" si="12"/>
        <v>#REF!</v>
      </c>
      <c r="G707" s="86" t="str">
        <f t="shared" si="13"/>
        <v>#REF!</v>
      </c>
      <c r="H707" s="86" t="str">
        <f t="shared" si="14"/>
        <v>#REF!</v>
      </c>
      <c r="I707" s="86" t="str">
        <f t="shared" si="15"/>
        <v>#REF!</v>
      </c>
    </row>
    <row r="708">
      <c r="B708" s="86" t="str">
        <f t="shared" si="1"/>
        <v>#REF!</v>
      </c>
      <c r="C708" s="86" t="str">
        <f t="shared" si="9"/>
        <v>#REF!</v>
      </c>
      <c r="D708" s="86" t="str">
        <f t="shared" si="10"/>
        <v>#REF!</v>
      </c>
      <c r="E708" s="86" t="str">
        <f t="shared" si="11"/>
        <v>#REF!</v>
      </c>
      <c r="F708" s="86" t="str">
        <f t="shared" si="12"/>
        <v>#REF!</v>
      </c>
      <c r="G708" s="86" t="str">
        <f t="shared" si="13"/>
        <v>#REF!</v>
      </c>
      <c r="H708" s="86" t="str">
        <f t="shared" si="14"/>
        <v>#REF!</v>
      </c>
      <c r="I708" s="86" t="str">
        <f t="shared" si="15"/>
        <v>#REF!</v>
      </c>
    </row>
    <row r="709">
      <c r="B709" s="86" t="str">
        <f t="shared" si="1"/>
        <v>#REF!</v>
      </c>
      <c r="C709" s="86" t="str">
        <f t="shared" si="9"/>
        <v>#REF!</v>
      </c>
      <c r="D709" s="86" t="str">
        <f t="shared" si="10"/>
        <v>#REF!</v>
      </c>
      <c r="E709" s="86" t="str">
        <f t="shared" si="11"/>
        <v>#REF!</v>
      </c>
      <c r="F709" s="86" t="str">
        <f t="shared" si="12"/>
        <v>#REF!</v>
      </c>
      <c r="G709" s="86" t="str">
        <f t="shared" si="13"/>
        <v>#REF!</v>
      </c>
      <c r="H709" s="86" t="str">
        <f t="shared" si="14"/>
        <v>#REF!</v>
      </c>
      <c r="I709" s="86" t="str">
        <f t="shared" si="15"/>
        <v>#REF!</v>
      </c>
    </row>
    <row r="710">
      <c r="B710" s="86" t="str">
        <f t="shared" si="1"/>
        <v>#REF!</v>
      </c>
      <c r="C710" s="86" t="str">
        <f t="shared" si="9"/>
        <v>#REF!</v>
      </c>
      <c r="D710" s="86" t="str">
        <f t="shared" si="10"/>
        <v>#REF!</v>
      </c>
      <c r="E710" s="86" t="str">
        <f t="shared" si="11"/>
        <v>#REF!</v>
      </c>
      <c r="F710" s="86" t="str">
        <f t="shared" si="12"/>
        <v>#REF!</v>
      </c>
      <c r="G710" s="86" t="str">
        <f t="shared" si="13"/>
        <v>#REF!</v>
      </c>
      <c r="H710" s="86" t="str">
        <f t="shared" si="14"/>
        <v>#REF!</v>
      </c>
      <c r="I710" s="86" t="str">
        <f t="shared" si="15"/>
        <v>#REF!</v>
      </c>
    </row>
    <row r="711">
      <c r="B711" s="86" t="str">
        <f t="shared" si="1"/>
        <v>#REF!</v>
      </c>
      <c r="C711" s="86" t="str">
        <f t="shared" si="9"/>
        <v>#REF!</v>
      </c>
      <c r="D711" s="86" t="str">
        <f t="shared" si="10"/>
        <v>#REF!</v>
      </c>
      <c r="E711" s="86" t="str">
        <f t="shared" si="11"/>
        <v>#REF!</v>
      </c>
      <c r="F711" s="86" t="str">
        <f t="shared" si="12"/>
        <v>#REF!</v>
      </c>
      <c r="G711" s="86" t="str">
        <f t="shared" si="13"/>
        <v>#REF!</v>
      </c>
      <c r="H711" s="86" t="str">
        <f t="shared" si="14"/>
        <v>#REF!</v>
      </c>
      <c r="I711" s="86" t="str">
        <f t="shared" si="15"/>
        <v>#REF!</v>
      </c>
    </row>
    <row r="712">
      <c r="B712" s="86" t="str">
        <f t="shared" si="1"/>
        <v>#REF!</v>
      </c>
      <c r="C712" s="86" t="str">
        <f t="shared" si="9"/>
        <v>#REF!</v>
      </c>
      <c r="D712" s="86" t="str">
        <f t="shared" si="10"/>
        <v>#REF!</v>
      </c>
      <c r="E712" s="86" t="str">
        <f t="shared" si="11"/>
        <v>#REF!</v>
      </c>
      <c r="F712" s="86" t="str">
        <f t="shared" si="12"/>
        <v>#REF!</v>
      </c>
      <c r="G712" s="86" t="str">
        <f t="shared" si="13"/>
        <v>#REF!</v>
      </c>
      <c r="H712" s="86" t="str">
        <f t="shared" si="14"/>
        <v>#REF!</v>
      </c>
      <c r="I712" s="86" t="str">
        <f t="shared" si="15"/>
        <v>#REF!</v>
      </c>
    </row>
    <row r="713">
      <c r="B713" s="86" t="str">
        <f t="shared" si="1"/>
        <v>#REF!</v>
      </c>
      <c r="C713" s="86" t="str">
        <f t="shared" si="9"/>
        <v>#REF!</v>
      </c>
      <c r="D713" s="86" t="str">
        <f t="shared" si="10"/>
        <v>#REF!</v>
      </c>
      <c r="E713" s="86" t="str">
        <f t="shared" si="11"/>
        <v>#REF!</v>
      </c>
      <c r="F713" s="86" t="str">
        <f t="shared" si="12"/>
        <v>#REF!</v>
      </c>
      <c r="G713" s="86" t="str">
        <f t="shared" si="13"/>
        <v>#REF!</v>
      </c>
      <c r="H713" s="86" t="str">
        <f t="shared" si="14"/>
        <v>#REF!</v>
      </c>
      <c r="I713" s="86" t="str">
        <f t="shared" si="15"/>
        <v>#REF!</v>
      </c>
    </row>
    <row r="714">
      <c r="B714" s="86" t="str">
        <f t="shared" si="1"/>
        <v>#REF!</v>
      </c>
      <c r="C714" s="86" t="str">
        <f t="shared" si="9"/>
        <v>#REF!</v>
      </c>
      <c r="D714" s="86" t="str">
        <f t="shared" si="10"/>
        <v>#REF!</v>
      </c>
      <c r="E714" s="86" t="str">
        <f t="shared" si="11"/>
        <v>#REF!</v>
      </c>
      <c r="F714" s="86" t="str">
        <f t="shared" si="12"/>
        <v>#REF!</v>
      </c>
      <c r="G714" s="86" t="str">
        <f t="shared" si="13"/>
        <v>#REF!</v>
      </c>
      <c r="H714" s="86" t="str">
        <f t="shared" si="14"/>
        <v>#REF!</v>
      </c>
      <c r="I714" s="86" t="str">
        <f t="shared" si="15"/>
        <v>#REF!</v>
      </c>
    </row>
    <row r="715">
      <c r="B715" s="86" t="str">
        <f t="shared" si="1"/>
        <v>#REF!</v>
      </c>
      <c r="C715" s="86" t="str">
        <f t="shared" si="9"/>
        <v>#REF!</v>
      </c>
      <c r="D715" s="86" t="str">
        <f t="shared" si="10"/>
        <v>#REF!</v>
      </c>
      <c r="E715" s="86" t="str">
        <f t="shared" si="11"/>
        <v>#REF!</v>
      </c>
      <c r="F715" s="86" t="str">
        <f t="shared" si="12"/>
        <v>#REF!</v>
      </c>
      <c r="G715" s="86" t="str">
        <f t="shared" si="13"/>
        <v>#REF!</v>
      </c>
      <c r="H715" s="86" t="str">
        <f t="shared" si="14"/>
        <v>#REF!</v>
      </c>
      <c r="I715" s="86" t="str">
        <f t="shared" si="15"/>
        <v>#REF!</v>
      </c>
    </row>
    <row r="716">
      <c r="B716" s="86" t="str">
        <f t="shared" si="1"/>
        <v>#REF!</v>
      </c>
      <c r="C716" s="86" t="str">
        <f t="shared" si="9"/>
        <v>#REF!</v>
      </c>
      <c r="D716" s="86" t="str">
        <f t="shared" si="10"/>
        <v>#REF!</v>
      </c>
      <c r="E716" s="86" t="str">
        <f t="shared" si="11"/>
        <v>#REF!</v>
      </c>
      <c r="F716" s="86" t="str">
        <f t="shared" si="12"/>
        <v>#REF!</v>
      </c>
      <c r="G716" s="86" t="str">
        <f t="shared" si="13"/>
        <v>#REF!</v>
      </c>
      <c r="H716" s="86" t="str">
        <f t="shared" si="14"/>
        <v>#REF!</v>
      </c>
      <c r="I716" s="86" t="str">
        <f t="shared" si="15"/>
        <v>#REF!</v>
      </c>
    </row>
    <row r="717">
      <c r="B717" s="86" t="str">
        <f t="shared" si="1"/>
        <v>#REF!</v>
      </c>
      <c r="C717" s="86" t="str">
        <f t="shared" si="9"/>
        <v>#REF!</v>
      </c>
      <c r="D717" s="86" t="str">
        <f t="shared" si="10"/>
        <v>#REF!</v>
      </c>
      <c r="E717" s="86" t="str">
        <f t="shared" si="11"/>
        <v>#REF!</v>
      </c>
      <c r="F717" s="86" t="str">
        <f t="shared" si="12"/>
        <v>#REF!</v>
      </c>
      <c r="G717" s="86" t="str">
        <f t="shared" si="13"/>
        <v>#REF!</v>
      </c>
      <c r="H717" s="86" t="str">
        <f t="shared" si="14"/>
        <v>#REF!</v>
      </c>
      <c r="I717" s="86" t="str">
        <f t="shared" si="15"/>
        <v>#REF!</v>
      </c>
    </row>
    <row r="718">
      <c r="B718" s="86" t="str">
        <f t="shared" si="1"/>
        <v>#REF!</v>
      </c>
      <c r="C718" s="86" t="str">
        <f t="shared" si="9"/>
        <v>#REF!</v>
      </c>
      <c r="D718" s="86" t="str">
        <f t="shared" si="10"/>
        <v>#REF!</v>
      </c>
      <c r="E718" s="86" t="str">
        <f t="shared" si="11"/>
        <v>#REF!</v>
      </c>
      <c r="F718" s="86" t="str">
        <f t="shared" si="12"/>
        <v>#REF!</v>
      </c>
      <c r="G718" s="86" t="str">
        <f t="shared" si="13"/>
        <v>#REF!</v>
      </c>
      <c r="H718" s="86" t="str">
        <f t="shared" si="14"/>
        <v>#REF!</v>
      </c>
      <c r="I718" s="86" t="str">
        <f t="shared" si="15"/>
        <v>#REF!</v>
      </c>
    </row>
    <row r="719">
      <c r="B719" s="86" t="str">
        <f t="shared" si="1"/>
        <v>#REF!</v>
      </c>
      <c r="C719" s="86" t="str">
        <f t="shared" si="9"/>
        <v>#REF!</v>
      </c>
      <c r="D719" s="86" t="str">
        <f t="shared" si="10"/>
        <v>#REF!</v>
      </c>
      <c r="E719" s="86" t="str">
        <f t="shared" si="11"/>
        <v>#REF!</v>
      </c>
      <c r="F719" s="86" t="str">
        <f t="shared" si="12"/>
        <v>#REF!</v>
      </c>
      <c r="G719" s="86" t="str">
        <f t="shared" si="13"/>
        <v>#REF!</v>
      </c>
      <c r="H719" s="86" t="str">
        <f t="shared" si="14"/>
        <v>#REF!</v>
      </c>
      <c r="I719" s="86" t="str">
        <f t="shared" si="15"/>
        <v>#REF!</v>
      </c>
    </row>
    <row r="720">
      <c r="B720" s="86" t="str">
        <f t="shared" si="1"/>
        <v>#REF!</v>
      </c>
      <c r="C720" s="86" t="str">
        <f t="shared" si="9"/>
        <v>#REF!</v>
      </c>
      <c r="D720" s="86" t="str">
        <f t="shared" si="10"/>
        <v>#REF!</v>
      </c>
      <c r="E720" s="86" t="str">
        <f t="shared" si="11"/>
        <v>#REF!</v>
      </c>
      <c r="F720" s="86" t="str">
        <f t="shared" si="12"/>
        <v>#REF!</v>
      </c>
      <c r="G720" s="86" t="str">
        <f t="shared" si="13"/>
        <v>#REF!</v>
      </c>
      <c r="H720" s="86" t="str">
        <f t="shared" si="14"/>
        <v>#REF!</v>
      </c>
      <c r="I720" s="86" t="str">
        <f t="shared" si="15"/>
        <v>#REF!</v>
      </c>
    </row>
    <row r="721">
      <c r="B721" s="86" t="str">
        <f t="shared" si="1"/>
        <v>#REF!</v>
      </c>
      <c r="C721" s="86" t="str">
        <f t="shared" si="9"/>
        <v>#REF!</v>
      </c>
      <c r="D721" s="86" t="str">
        <f t="shared" si="10"/>
        <v>#REF!</v>
      </c>
      <c r="E721" s="86" t="str">
        <f t="shared" si="11"/>
        <v>#REF!</v>
      </c>
      <c r="F721" s="86" t="str">
        <f t="shared" si="12"/>
        <v>#REF!</v>
      </c>
      <c r="G721" s="86" t="str">
        <f t="shared" si="13"/>
        <v>#REF!</v>
      </c>
      <c r="H721" s="86" t="str">
        <f t="shared" si="14"/>
        <v>#REF!</v>
      </c>
      <c r="I721" s="86" t="str">
        <f t="shared" si="15"/>
        <v>#REF!</v>
      </c>
    </row>
    <row r="722">
      <c r="B722" s="86" t="str">
        <f t="shared" si="1"/>
        <v>#REF!</v>
      </c>
      <c r="C722" s="86" t="str">
        <f t="shared" si="9"/>
        <v>#REF!</v>
      </c>
      <c r="D722" s="86" t="str">
        <f t="shared" si="10"/>
        <v>#REF!</v>
      </c>
      <c r="E722" s="86" t="str">
        <f t="shared" si="11"/>
        <v>#REF!</v>
      </c>
      <c r="F722" s="86" t="str">
        <f t="shared" si="12"/>
        <v>#REF!</v>
      </c>
      <c r="G722" s="86" t="str">
        <f t="shared" si="13"/>
        <v>#REF!</v>
      </c>
      <c r="H722" s="86" t="str">
        <f t="shared" si="14"/>
        <v>#REF!</v>
      </c>
      <c r="I722" s="86" t="str">
        <f t="shared" si="15"/>
        <v>#REF!</v>
      </c>
    </row>
    <row r="723">
      <c r="B723" s="86" t="str">
        <f t="shared" si="1"/>
        <v>#REF!</v>
      </c>
      <c r="C723" s="86" t="str">
        <f t="shared" si="9"/>
        <v>#REF!</v>
      </c>
      <c r="D723" s="86" t="str">
        <f t="shared" si="10"/>
        <v>#REF!</v>
      </c>
      <c r="E723" s="86" t="str">
        <f t="shared" si="11"/>
        <v>#REF!</v>
      </c>
      <c r="F723" s="86" t="str">
        <f t="shared" si="12"/>
        <v>#REF!</v>
      </c>
      <c r="G723" s="86" t="str">
        <f t="shared" si="13"/>
        <v>#REF!</v>
      </c>
      <c r="H723" s="86" t="str">
        <f t="shared" si="14"/>
        <v>#REF!</v>
      </c>
      <c r="I723" s="86" t="str">
        <f t="shared" si="15"/>
        <v>#REF!</v>
      </c>
    </row>
    <row r="724">
      <c r="B724" s="86" t="str">
        <f t="shared" si="1"/>
        <v>#REF!</v>
      </c>
      <c r="C724" s="86" t="str">
        <f t="shared" si="9"/>
        <v>#REF!</v>
      </c>
      <c r="D724" s="86" t="str">
        <f t="shared" si="10"/>
        <v>#REF!</v>
      </c>
      <c r="E724" s="86" t="str">
        <f t="shared" si="11"/>
        <v>#REF!</v>
      </c>
      <c r="F724" s="86" t="str">
        <f t="shared" si="12"/>
        <v>#REF!</v>
      </c>
      <c r="G724" s="86" t="str">
        <f t="shared" si="13"/>
        <v>#REF!</v>
      </c>
      <c r="H724" s="86" t="str">
        <f t="shared" si="14"/>
        <v>#REF!</v>
      </c>
      <c r="I724" s="86" t="str">
        <f t="shared" si="15"/>
        <v>#REF!</v>
      </c>
    </row>
    <row r="725">
      <c r="B725" s="86" t="str">
        <f t="shared" si="1"/>
        <v>#REF!</v>
      </c>
      <c r="C725" s="86" t="str">
        <f t="shared" si="9"/>
        <v>#REF!</v>
      </c>
      <c r="D725" s="86" t="str">
        <f t="shared" si="10"/>
        <v>#REF!</v>
      </c>
      <c r="E725" s="86" t="str">
        <f t="shared" si="11"/>
        <v>#REF!</v>
      </c>
      <c r="F725" s="86" t="str">
        <f t="shared" si="12"/>
        <v>#REF!</v>
      </c>
      <c r="G725" s="86" t="str">
        <f t="shared" si="13"/>
        <v>#REF!</v>
      </c>
      <c r="H725" s="86" t="str">
        <f t="shared" si="14"/>
        <v>#REF!</v>
      </c>
      <c r="I725" s="86" t="str">
        <f t="shared" si="15"/>
        <v>#REF!</v>
      </c>
    </row>
    <row r="726">
      <c r="B726" s="86" t="str">
        <f t="shared" si="1"/>
        <v>#REF!</v>
      </c>
      <c r="C726" s="86" t="str">
        <f t="shared" si="9"/>
        <v>#REF!</v>
      </c>
      <c r="D726" s="86" t="str">
        <f t="shared" si="10"/>
        <v>#REF!</v>
      </c>
      <c r="E726" s="86" t="str">
        <f t="shared" si="11"/>
        <v>#REF!</v>
      </c>
      <c r="F726" s="86" t="str">
        <f t="shared" si="12"/>
        <v>#REF!</v>
      </c>
      <c r="G726" s="86" t="str">
        <f t="shared" si="13"/>
        <v>#REF!</v>
      </c>
      <c r="H726" s="86" t="str">
        <f t="shared" si="14"/>
        <v>#REF!</v>
      </c>
      <c r="I726" s="86" t="str">
        <f t="shared" si="15"/>
        <v>#REF!</v>
      </c>
    </row>
    <row r="727">
      <c r="B727" s="86" t="str">
        <f t="shared" si="1"/>
        <v>#REF!</v>
      </c>
      <c r="C727" s="86" t="str">
        <f t="shared" si="9"/>
        <v>#REF!</v>
      </c>
      <c r="D727" s="86" t="str">
        <f t="shared" si="10"/>
        <v>#REF!</v>
      </c>
      <c r="E727" s="86" t="str">
        <f t="shared" si="11"/>
        <v>#REF!</v>
      </c>
      <c r="F727" s="86" t="str">
        <f t="shared" si="12"/>
        <v>#REF!</v>
      </c>
      <c r="G727" s="86" t="str">
        <f t="shared" si="13"/>
        <v>#REF!</v>
      </c>
      <c r="H727" s="86" t="str">
        <f t="shared" si="14"/>
        <v>#REF!</v>
      </c>
      <c r="I727" s="86" t="str">
        <f t="shared" si="15"/>
        <v>#REF!</v>
      </c>
    </row>
    <row r="728">
      <c r="B728" s="86" t="str">
        <f t="shared" si="1"/>
        <v>#REF!</v>
      </c>
      <c r="C728" s="86" t="str">
        <f t="shared" si="9"/>
        <v>#REF!</v>
      </c>
      <c r="D728" s="86" t="str">
        <f t="shared" si="10"/>
        <v>#REF!</v>
      </c>
      <c r="E728" s="86" t="str">
        <f t="shared" si="11"/>
        <v>#REF!</v>
      </c>
      <c r="F728" s="86" t="str">
        <f t="shared" si="12"/>
        <v>#REF!</v>
      </c>
      <c r="G728" s="86" t="str">
        <f t="shared" si="13"/>
        <v>#REF!</v>
      </c>
      <c r="H728" s="86" t="str">
        <f t="shared" si="14"/>
        <v>#REF!</v>
      </c>
      <c r="I728" s="86" t="str">
        <f t="shared" si="15"/>
        <v>#REF!</v>
      </c>
    </row>
    <row r="729">
      <c r="B729" s="86" t="str">
        <f t="shared" si="1"/>
        <v>#REF!</v>
      </c>
      <c r="C729" s="86" t="str">
        <f t="shared" si="9"/>
        <v>#REF!</v>
      </c>
      <c r="D729" s="86" t="str">
        <f t="shared" si="10"/>
        <v>#REF!</v>
      </c>
      <c r="E729" s="86" t="str">
        <f t="shared" si="11"/>
        <v>#REF!</v>
      </c>
      <c r="F729" s="86" t="str">
        <f t="shared" si="12"/>
        <v>#REF!</v>
      </c>
      <c r="G729" s="86" t="str">
        <f t="shared" si="13"/>
        <v>#REF!</v>
      </c>
      <c r="H729" s="86" t="str">
        <f t="shared" si="14"/>
        <v>#REF!</v>
      </c>
      <c r="I729" s="86" t="str">
        <f t="shared" si="15"/>
        <v>#REF!</v>
      </c>
    </row>
    <row r="730">
      <c r="B730" s="86" t="str">
        <f t="shared" si="1"/>
        <v>#REF!</v>
      </c>
      <c r="C730" s="86" t="str">
        <f t="shared" si="9"/>
        <v>#REF!</v>
      </c>
      <c r="D730" s="86" t="str">
        <f t="shared" si="10"/>
        <v>#REF!</v>
      </c>
      <c r="E730" s="86" t="str">
        <f t="shared" si="11"/>
        <v>#REF!</v>
      </c>
      <c r="F730" s="86" t="str">
        <f t="shared" si="12"/>
        <v>#REF!</v>
      </c>
      <c r="G730" s="86" t="str">
        <f t="shared" si="13"/>
        <v>#REF!</v>
      </c>
      <c r="H730" s="86" t="str">
        <f t="shared" si="14"/>
        <v>#REF!</v>
      </c>
      <c r="I730" s="86" t="str">
        <f t="shared" si="15"/>
        <v>#REF!</v>
      </c>
    </row>
    <row r="731">
      <c r="B731" s="86" t="str">
        <f t="shared" si="1"/>
        <v>#REF!</v>
      </c>
      <c r="C731" s="86" t="str">
        <f t="shared" si="9"/>
        <v>#REF!</v>
      </c>
      <c r="D731" s="86" t="str">
        <f t="shared" si="10"/>
        <v>#REF!</v>
      </c>
      <c r="E731" s="86" t="str">
        <f t="shared" si="11"/>
        <v>#REF!</v>
      </c>
      <c r="F731" s="86" t="str">
        <f t="shared" si="12"/>
        <v>#REF!</v>
      </c>
      <c r="G731" s="86" t="str">
        <f t="shared" si="13"/>
        <v>#REF!</v>
      </c>
      <c r="H731" s="86" t="str">
        <f t="shared" si="14"/>
        <v>#REF!</v>
      </c>
      <c r="I731" s="86" t="str">
        <f t="shared" si="15"/>
        <v>#REF!</v>
      </c>
    </row>
    <row r="732">
      <c r="B732" s="86" t="str">
        <f t="shared" si="1"/>
        <v>#REF!</v>
      </c>
      <c r="C732" s="86" t="str">
        <f t="shared" si="9"/>
        <v>#REF!</v>
      </c>
      <c r="D732" s="86" t="str">
        <f t="shared" si="10"/>
        <v>#REF!</v>
      </c>
      <c r="E732" s="86" t="str">
        <f t="shared" si="11"/>
        <v>#REF!</v>
      </c>
      <c r="F732" s="86" t="str">
        <f t="shared" si="12"/>
        <v>#REF!</v>
      </c>
      <c r="G732" s="86" t="str">
        <f t="shared" si="13"/>
        <v>#REF!</v>
      </c>
      <c r="H732" s="86" t="str">
        <f t="shared" si="14"/>
        <v>#REF!</v>
      </c>
      <c r="I732" s="86" t="str">
        <f t="shared" si="15"/>
        <v>#REF!</v>
      </c>
    </row>
    <row r="733">
      <c r="B733" s="86" t="str">
        <f t="shared" si="1"/>
        <v>#REF!</v>
      </c>
      <c r="C733" s="86" t="str">
        <f t="shared" si="9"/>
        <v>#REF!</v>
      </c>
      <c r="D733" s="86" t="str">
        <f t="shared" si="10"/>
        <v>#REF!</v>
      </c>
      <c r="E733" s="86" t="str">
        <f t="shared" si="11"/>
        <v>#REF!</v>
      </c>
      <c r="F733" s="86" t="str">
        <f t="shared" si="12"/>
        <v>#REF!</v>
      </c>
      <c r="G733" s="86" t="str">
        <f t="shared" si="13"/>
        <v>#REF!</v>
      </c>
      <c r="H733" s="86" t="str">
        <f t="shared" si="14"/>
        <v>#REF!</v>
      </c>
      <c r="I733" s="86" t="str">
        <f t="shared" si="15"/>
        <v>#REF!</v>
      </c>
    </row>
    <row r="734">
      <c r="B734" s="86" t="str">
        <f t="shared" si="1"/>
        <v>#REF!</v>
      </c>
      <c r="C734" s="86" t="str">
        <f t="shared" si="9"/>
        <v>#REF!</v>
      </c>
      <c r="D734" s="86" t="str">
        <f t="shared" si="10"/>
        <v>#REF!</v>
      </c>
      <c r="E734" s="86" t="str">
        <f t="shared" si="11"/>
        <v>#REF!</v>
      </c>
      <c r="F734" s="86" t="str">
        <f t="shared" si="12"/>
        <v>#REF!</v>
      </c>
      <c r="G734" s="86" t="str">
        <f t="shared" si="13"/>
        <v>#REF!</v>
      </c>
      <c r="H734" s="86" t="str">
        <f t="shared" si="14"/>
        <v>#REF!</v>
      </c>
      <c r="I734" s="86" t="str">
        <f t="shared" si="15"/>
        <v>#REF!</v>
      </c>
    </row>
    <row r="735">
      <c r="B735" s="86" t="str">
        <f t="shared" si="1"/>
        <v>#REF!</v>
      </c>
      <c r="C735" s="86" t="str">
        <f t="shared" si="9"/>
        <v>#REF!</v>
      </c>
      <c r="D735" s="86" t="str">
        <f t="shared" si="10"/>
        <v>#REF!</v>
      </c>
      <c r="E735" s="86" t="str">
        <f t="shared" si="11"/>
        <v>#REF!</v>
      </c>
      <c r="F735" s="86" t="str">
        <f t="shared" si="12"/>
        <v>#REF!</v>
      </c>
      <c r="G735" s="86" t="str">
        <f t="shared" si="13"/>
        <v>#REF!</v>
      </c>
      <c r="H735" s="86" t="str">
        <f t="shared" si="14"/>
        <v>#REF!</v>
      </c>
      <c r="I735" s="86" t="str">
        <f t="shared" si="15"/>
        <v>#REF!</v>
      </c>
    </row>
    <row r="736">
      <c r="B736" s="86" t="str">
        <f t="shared" si="1"/>
        <v>#REF!</v>
      </c>
      <c r="C736" s="86" t="str">
        <f t="shared" si="9"/>
        <v>#REF!</v>
      </c>
      <c r="D736" s="86" t="str">
        <f t="shared" si="10"/>
        <v>#REF!</v>
      </c>
      <c r="E736" s="86" t="str">
        <f t="shared" si="11"/>
        <v>#REF!</v>
      </c>
      <c r="F736" s="86" t="str">
        <f t="shared" si="12"/>
        <v>#REF!</v>
      </c>
      <c r="G736" s="86" t="str">
        <f t="shared" si="13"/>
        <v>#REF!</v>
      </c>
      <c r="H736" s="86" t="str">
        <f t="shared" si="14"/>
        <v>#REF!</v>
      </c>
      <c r="I736" s="86" t="str">
        <f t="shared" si="15"/>
        <v>#REF!</v>
      </c>
    </row>
    <row r="737">
      <c r="B737" s="86" t="str">
        <f t="shared" si="1"/>
        <v>#REF!</v>
      </c>
      <c r="C737" s="86" t="str">
        <f t="shared" si="9"/>
        <v>#REF!</v>
      </c>
      <c r="D737" s="86" t="str">
        <f t="shared" si="10"/>
        <v>#REF!</v>
      </c>
      <c r="E737" s="86" t="str">
        <f t="shared" si="11"/>
        <v>#REF!</v>
      </c>
      <c r="F737" s="86" t="str">
        <f t="shared" si="12"/>
        <v>#REF!</v>
      </c>
      <c r="G737" s="86" t="str">
        <f t="shared" si="13"/>
        <v>#REF!</v>
      </c>
      <c r="H737" s="86" t="str">
        <f t="shared" si="14"/>
        <v>#REF!</v>
      </c>
      <c r="I737" s="86" t="str">
        <f t="shared" si="15"/>
        <v>#REF!</v>
      </c>
    </row>
    <row r="738">
      <c r="B738" s="86" t="str">
        <f t="shared" si="1"/>
        <v>#REF!</v>
      </c>
      <c r="C738" s="86" t="str">
        <f t="shared" si="9"/>
        <v>#REF!</v>
      </c>
      <c r="D738" s="86" t="str">
        <f t="shared" si="10"/>
        <v>#REF!</v>
      </c>
      <c r="E738" s="86" t="str">
        <f t="shared" si="11"/>
        <v>#REF!</v>
      </c>
      <c r="F738" s="86" t="str">
        <f t="shared" si="12"/>
        <v>#REF!</v>
      </c>
      <c r="G738" s="86" t="str">
        <f t="shared" si="13"/>
        <v>#REF!</v>
      </c>
      <c r="H738" s="86" t="str">
        <f t="shared" si="14"/>
        <v>#REF!</v>
      </c>
      <c r="I738" s="86" t="str">
        <f t="shared" si="15"/>
        <v>#REF!</v>
      </c>
    </row>
    <row r="739">
      <c r="B739" s="86" t="str">
        <f t="shared" si="1"/>
        <v>#REF!</v>
      </c>
      <c r="C739" s="86" t="str">
        <f t="shared" si="9"/>
        <v>#REF!</v>
      </c>
      <c r="D739" s="86" t="str">
        <f t="shared" si="10"/>
        <v>#REF!</v>
      </c>
      <c r="E739" s="86" t="str">
        <f t="shared" si="11"/>
        <v>#REF!</v>
      </c>
      <c r="F739" s="86" t="str">
        <f t="shared" si="12"/>
        <v>#REF!</v>
      </c>
      <c r="G739" s="86" t="str">
        <f t="shared" si="13"/>
        <v>#REF!</v>
      </c>
      <c r="H739" s="86" t="str">
        <f t="shared" si="14"/>
        <v>#REF!</v>
      </c>
      <c r="I739" s="86" t="str">
        <f t="shared" si="15"/>
        <v>#REF!</v>
      </c>
    </row>
    <row r="740">
      <c r="B740" s="86" t="str">
        <f t="shared" si="1"/>
        <v>#REF!</v>
      </c>
      <c r="C740" s="86" t="str">
        <f t="shared" si="9"/>
        <v>#REF!</v>
      </c>
      <c r="D740" s="86" t="str">
        <f t="shared" si="10"/>
        <v>#REF!</v>
      </c>
      <c r="E740" s="86" t="str">
        <f t="shared" si="11"/>
        <v>#REF!</v>
      </c>
      <c r="F740" s="86" t="str">
        <f t="shared" si="12"/>
        <v>#REF!</v>
      </c>
      <c r="G740" s="86" t="str">
        <f t="shared" si="13"/>
        <v>#REF!</v>
      </c>
      <c r="H740" s="86" t="str">
        <f t="shared" si="14"/>
        <v>#REF!</v>
      </c>
      <c r="I740" s="86" t="str">
        <f t="shared" si="15"/>
        <v>#REF!</v>
      </c>
    </row>
    <row r="741">
      <c r="B741" s="86" t="str">
        <f t="shared" si="1"/>
        <v>#REF!</v>
      </c>
      <c r="C741" s="86" t="str">
        <f t="shared" si="9"/>
        <v>#REF!</v>
      </c>
      <c r="D741" s="86" t="str">
        <f t="shared" si="10"/>
        <v>#REF!</v>
      </c>
      <c r="E741" s="86" t="str">
        <f t="shared" si="11"/>
        <v>#REF!</v>
      </c>
      <c r="F741" s="86" t="str">
        <f t="shared" si="12"/>
        <v>#REF!</v>
      </c>
      <c r="G741" s="86" t="str">
        <f t="shared" si="13"/>
        <v>#REF!</v>
      </c>
      <c r="H741" s="86" t="str">
        <f t="shared" si="14"/>
        <v>#REF!</v>
      </c>
      <c r="I741" s="86" t="str">
        <f t="shared" si="15"/>
        <v>#REF!</v>
      </c>
    </row>
    <row r="742">
      <c r="B742" s="86" t="str">
        <f t="shared" si="1"/>
        <v>#REF!</v>
      </c>
      <c r="C742" s="86" t="str">
        <f t="shared" si="9"/>
        <v>#REF!</v>
      </c>
      <c r="D742" s="86" t="str">
        <f t="shared" si="10"/>
        <v>#REF!</v>
      </c>
      <c r="E742" s="86" t="str">
        <f t="shared" si="11"/>
        <v>#REF!</v>
      </c>
      <c r="F742" s="86" t="str">
        <f t="shared" si="12"/>
        <v>#REF!</v>
      </c>
      <c r="G742" s="86" t="str">
        <f t="shared" si="13"/>
        <v>#REF!</v>
      </c>
      <c r="H742" s="86" t="str">
        <f t="shared" si="14"/>
        <v>#REF!</v>
      </c>
      <c r="I742" s="86" t="str">
        <f t="shared" si="15"/>
        <v>#REF!</v>
      </c>
    </row>
    <row r="743">
      <c r="B743" s="86" t="str">
        <f t="shared" si="1"/>
        <v>#REF!</v>
      </c>
      <c r="C743" s="86" t="str">
        <f t="shared" si="9"/>
        <v>#REF!</v>
      </c>
      <c r="D743" s="86" t="str">
        <f t="shared" si="10"/>
        <v>#REF!</v>
      </c>
      <c r="E743" s="86" t="str">
        <f t="shared" si="11"/>
        <v>#REF!</v>
      </c>
      <c r="F743" s="86" t="str">
        <f t="shared" si="12"/>
        <v>#REF!</v>
      </c>
      <c r="G743" s="86" t="str">
        <f t="shared" si="13"/>
        <v>#REF!</v>
      </c>
      <c r="H743" s="86" t="str">
        <f t="shared" si="14"/>
        <v>#REF!</v>
      </c>
      <c r="I743" s="86" t="str">
        <f t="shared" si="15"/>
        <v>#REF!</v>
      </c>
    </row>
    <row r="744">
      <c r="B744" s="86" t="str">
        <f t="shared" si="1"/>
        <v>#REF!</v>
      </c>
      <c r="C744" s="86" t="str">
        <f t="shared" si="9"/>
        <v>#REF!</v>
      </c>
      <c r="D744" s="86" t="str">
        <f t="shared" si="10"/>
        <v>#REF!</v>
      </c>
      <c r="E744" s="86" t="str">
        <f t="shared" si="11"/>
        <v>#REF!</v>
      </c>
      <c r="F744" s="86" t="str">
        <f t="shared" si="12"/>
        <v>#REF!</v>
      </c>
      <c r="G744" s="86" t="str">
        <f t="shared" si="13"/>
        <v>#REF!</v>
      </c>
      <c r="H744" s="86" t="str">
        <f t="shared" si="14"/>
        <v>#REF!</v>
      </c>
      <c r="I744" s="86" t="str">
        <f t="shared" si="15"/>
        <v>#REF!</v>
      </c>
    </row>
    <row r="745">
      <c r="B745" s="86" t="str">
        <f t="shared" si="1"/>
        <v>#REF!</v>
      </c>
      <c r="C745" s="86" t="str">
        <f t="shared" si="9"/>
        <v>#REF!</v>
      </c>
      <c r="D745" s="86" t="str">
        <f t="shared" si="10"/>
        <v>#REF!</v>
      </c>
      <c r="E745" s="86" t="str">
        <f t="shared" si="11"/>
        <v>#REF!</v>
      </c>
      <c r="F745" s="86" t="str">
        <f t="shared" si="12"/>
        <v>#REF!</v>
      </c>
      <c r="G745" s="86" t="str">
        <f t="shared" si="13"/>
        <v>#REF!</v>
      </c>
      <c r="H745" s="86" t="str">
        <f t="shared" si="14"/>
        <v>#REF!</v>
      </c>
      <c r="I745" s="86" t="str">
        <f t="shared" si="15"/>
        <v>#REF!</v>
      </c>
    </row>
    <row r="746">
      <c r="B746" s="86" t="str">
        <f t="shared" si="1"/>
        <v>#REF!</v>
      </c>
      <c r="C746" s="86" t="str">
        <f t="shared" si="9"/>
        <v>#REF!</v>
      </c>
      <c r="D746" s="86" t="str">
        <f t="shared" si="10"/>
        <v>#REF!</v>
      </c>
      <c r="E746" s="86" t="str">
        <f t="shared" si="11"/>
        <v>#REF!</v>
      </c>
      <c r="F746" s="86" t="str">
        <f t="shared" si="12"/>
        <v>#REF!</v>
      </c>
      <c r="G746" s="86" t="str">
        <f t="shared" si="13"/>
        <v>#REF!</v>
      </c>
      <c r="H746" s="86" t="str">
        <f t="shared" si="14"/>
        <v>#REF!</v>
      </c>
      <c r="I746" s="86" t="str">
        <f t="shared" si="15"/>
        <v>#REF!</v>
      </c>
    </row>
    <row r="747">
      <c r="B747" s="86" t="str">
        <f t="shared" si="1"/>
        <v>#REF!</v>
      </c>
      <c r="C747" s="86" t="str">
        <f t="shared" si="9"/>
        <v>#REF!</v>
      </c>
      <c r="D747" s="86" t="str">
        <f t="shared" si="10"/>
        <v>#REF!</v>
      </c>
      <c r="E747" s="86" t="str">
        <f t="shared" si="11"/>
        <v>#REF!</v>
      </c>
      <c r="F747" s="86" t="str">
        <f t="shared" si="12"/>
        <v>#REF!</v>
      </c>
      <c r="G747" s="86" t="str">
        <f t="shared" si="13"/>
        <v>#REF!</v>
      </c>
      <c r="H747" s="86" t="str">
        <f t="shared" si="14"/>
        <v>#REF!</v>
      </c>
      <c r="I747" s="86" t="str">
        <f t="shared" si="15"/>
        <v>#REF!</v>
      </c>
    </row>
    <row r="748">
      <c r="B748" s="86" t="str">
        <f t="shared" si="1"/>
        <v>#REF!</v>
      </c>
      <c r="C748" s="86" t="str">
        <f t="shared" si="9"/>
        <v>#REF!</v>
      </c>
      <c r="D748" s="86" t="str">
        <f t="shared" si="10"/>
        <v>#REF!</v>
      </c>
      <c r="E748" s="86" t="str">
        <f t="shared" si="11"/>
        <v>#REF!</v>
      </c>
      <c r="F748" s="86" t="str">
        <f t="shared" si="12"/>
        <v>#REF!</v>
      </c>
      <c r="G748" s="86" t="str">
        <f t="shared" si="13"/>
        <v>#REF!</v>
      </c>
      <c r="H748" s="86" t="str">
        <f t="shared" si="14"/>
        <v>#REF!</v>
      </c>
      <c r="I748" s="86" t="str">
        <f t="shared" si="15"/>
        <v>#REF!</v>
      </c>
    </row>
    <row r="749">
      <c r="B749" s="86" t="str">
        <f t="shared" si="1"/>
        <v>#REF!</v>
      </c>
      <c r="C749" s="86" t="str">
        <f t="shared" si="9"/>
        <v>#REF!</v>
      </c>
      <c r="D749" s="86" t="str">
        <f t="shared" si="10"/>
        <v>#REF!</v>
      </c>
      <c r="E749" s="86" t="str">
        <f t="shared" si="11"/>
        <v>#REF!</v>
      </c>
      <c r="F749" s="86" t="str">
        <f t="shared" si="12"/>
        <v>#REF!</v>
      </c>
      <c r="G749" s="86" t="str">
        <f t="shared" si="13"/>
        <v>#REF!</v>
      </c>
      <c r="H749" s="86" t="str">
        <f t="shared" si="14"/>
        <v>#REF!</v>
      </c>
      <c r="I749" s="86" t="str">
        <f t="shared" si="15"/>
        <v>#REF!</v>
      </c>
    </row>
    <row r="750">
      <c r="B750" s="86" t="str">
        <f t="shared" si="1"/>
        <v>#REF!</v>
      </c>
      <c r="C750" s="86" t="str">
        <f t="shared" si="9"/>
        <v>#REF!</v>
      </c>
      <c r="D750" s="86" t="str">
        <f t="shared" si="10"/>
        <v>#REF!</v>
      </c>
      <c r="E750" s="86" t="str">
        <f t="shared" si="11"/>
        <v>#REF!</v>
      </c>
      <c r="F750" s="86" t="str">
        <f t="shared" si="12"/>
        <v>#REF!</v>
      </c>
      <c r="G750" s="86" t="str">
        <f t="shared" si="13"/>
        <v>#REF!</v>
      </c>
      <c r="H750" s="86" t="str">
        <f t="shared" si="14"/>
        <v>#REF!</v>
      </c>
      <c r="I750" s="86" t="str">
        <f t="shared" si="15"/>
        <v>#REF!</v>
      </c>
    </row>
    <row r="751">
      <c r="B751" s="86" t="str">
        <f t="shared" si="1"/>
        <v>#REF!</v>
      </c>
      <c r="C751" s="86" t="str">
        <f t="shared" si="9"/>
        <v>#REF!</v>
      </c>
      <c r="D751" s="86" t="str">
        <f t="shared" si="10"/>
        <v>#REF!</v>
      </c>
      <c r="E751" s="86" t="str">
        <f t="shared" si="11"/>
        <v>#REF!</v>
      </c>
      <c r="F751" s="86" t="str">
        <f t="shared" si="12"/>
        <v>#REF!</v>
      </c>
      <c r="G751" s="86" t="str">
        <f t="shared" si="13"/>
        <v>#REF!</v>
      </c>
      <c r="H751" s="86" t="str">
        <f t="shared" si="14"/>
        <v>#REF!</v>
      </c>
      <c r="I751" s="86" t="str">
        <f t="shared" si="15"/>
        <v>#REF!</v>
      </c>
    </row>
    <row r="752">
      <c r="B752" s="86" t="str">
        <f t="shared" si="1"/>
        <v>#REF!</v>
      </c>
      <c r="C752" s="86" t="str">
        <f t="shared" si="9"/>
        <v>#REF!</v>
      </c>
      <c r="D752" s="86" t="str">
        <f t="shared" si="10"/>
        <v>#REF!</v>
      </c>
      <c r="E752" s="86" t="str">
        <f t="shared" si="11"/>
        <v>#REF!</v>
      </c>
      <c r="F752" s="86" t="str">
        <f t="shared" si="12"/>
        <v>#REF!</v>
      </c>
      <c r="G752" s="86" t="str">
        <f t="shared" si="13"/>
        <v>#REF!</v>
      </c>
      <c r="H752" s="86" t="str">
        <f t="shared" si="14"/>
        <v>#REF!</v>
      </c>
      <c r="I752" s="86" t="str">
        <f t="shared" si="15"/>
        <v>#REF!</v>
      </c>
    </row>
    <row r="753">
      <c r="B753" s="86" t="str">
        <f t="shared" si="1"/>
        <v>#REF!</v>
      </c>
      <c r="C753" s="86" t="str">
        <f t="shared" si="9"/>
        <v>#REF!</v>
      </c>
      <c r="D753" s="86" t="str">
        <f t="shared" si="10"/>
        <v>#REF!</v>
      </c>
      <c r="E753" s="86" t="str">
        <f t="shared" si="11"/>
        <v>#REF!</v>
      </c>
      <c r="F753" s="86" t="str">
        <f t="shared" si="12"/>
        <v>#REF!</v>
      </c>
      <c r="G753" s="86" t="str">
        <f t="shared" si="13"/>
        <v>#REF!</v>
      </c>
      <c r="H753" s="86" t="str">
        <f t="shared" si="14"/>
        <v>#REF!</v>
      </c>
      <c r="I753" s="86" t="str">
        <f t="shared" si="15"/>
        <v>#REF!</v>
      </c>
    </row>
    <row r="754">
      <c r="B754" s="86" t="str">
        <f t="shared" si="1"/>
        <v>#REF!</v>
      </c>
      <c r="C754" s="86" t="str">
        <f t="shared" si="9"/>
        <v>#REF!</v>
      </c>
      <c r="D754" s="86" t="str">
        <f t="shared" si="10"/>
        <v>#REF!</v>
      </c>
      <c r="E754" s="86" t="str">
        <f t="shared" si="11"/>
        <v>#REF!</v>
      </c>
      <c r="F754" s="86" t="str">
        <f t="shared" si="12"/>
        <v>#REF!</v>
      </c>
      <c r="G754" s="86" t="str">
        <f t="shared" si="13"/>
        <v>#REF!</v>
      </c>
      <c r="H754" s="86" t="str">
        <f t="shared" si="14"/>
        <v>#REF!</v>
      </c>
      <c r="I754" s="86" t="str">
        <f t="shared" si="15"/>
        <v>#REF!</v>
      </c>
    </row>
    <row r="755">
      <c r="B755" s="86" t="str">
        <f t="shared" si="1"/>
        <v>#REF!</v>
      </c>
      <c r="C755" s="86" t="str">
        <f t="shared" si="9"/>
        <v>#REF!</v>
      </c>
      <c r="D755" s="86" t="str">
        <f t="shared" si="10"/>
        <v>#REF!</v>
      </c>
      <c r="E755" s="86" t="str">
        <f t="shared" si="11"/>
        <v>#REF!</v>
      </c>
      <c r="F755" s="86" t="str">
        <f t="shared" si="12"/>
        <v>#REF!</v>
      </c>
      <c r="G755" s="86" t="str">
        <f t="shared" si="13"/>
        <v>#REF!</v>
      </c>
      <c r="H755" s="86" t="str">
        <f t="shared" si="14"/>
        <v>#REF!</v>
      </c>
      <c r="I755" s="86" t="str">
        <f t="shared" si="15"/>
        <v>#REF!</v>
      </c>
    </row>
    <row r="756">
      <c r="B756" s="86" t="str">
        <f t="shared" si="1"/>
        <v>#REF!</v>
      </c>
      <c r="C756" s="86" t="str">
        <f t="shared" si="9"/>
        <v>#REF!</v>
      </c>
      <c r="D756" s="86" t="str">
        <f t="shared" si="10"/>
        <v>#REF!</v>
      </c>
      <c r="E756" s="86" t="str">
        <f t="shared" si="11"/>
        <v>#REF!</v>
      </c>
      <c r="F756" s="86" t="str">
        <f t="shared" si="12"/>
        <v>#REF!</v>
      </c>
      <c r="G756" s="86" t="str">
        <f t="shared" si="13"/>
        <v>#REF!</v>
      </c>
      <c r="H756" s="86" t="str">
        <f t="shared" si="14"/>
        <v>#REF!</v>
      </c>
      <c r="I756" s="86" t="str">
        <f t="shared" si="15"/>
        <v>#REF!</v>
      </c>
    </row>
    <row r="757">
      <c r="B757" s="86" t="str">
        <f t="shared" si="1"/>
        <v>#REF!</v>
      </c>
      <c r="C757" s="86" t="str">
        <f t="shared" si="9"/>
        <v>#REF!</v>
      </c>
      <c r="D757" s="86" t="str">
        <f t="shared" si="10"/>
        <v>#REF!</v>
      </c>
      <c r="E757" s="86" t="str">
        <f t="shared" si="11"/>
        <v>#REF!</v>
      </c>
      <c r="F757" s="86" t="str">
        <f t="shared" si="12"/>
        <v>#REF!</v>
      </c>
      <c r="G757" s="86" t="str">
        <f t="shared" si="13"/>
        <v>#REF!</v>
      </c>
      <c r="H757" s="86" t="str">
        <f t="shared" si="14"/>
        <v>#REF!</v>
      </c>
      <c r="I757" s="86" t="str">
        <f t="shared" si="15"/>
        <v>#REF!</v>
      </c>
    </row>
    <row r="758">
      <c r="B758" s="86" t="str">
        <f t="shared" si="1"/>
        <v>#REF!</v>
      </c>
      <c r="C758" s="86" t="str">
        <f t="shared" si="9"/>
        <v>#REF!</v>
      </c>
      <c r="D758" s="86" t="str">
        <f t="shared" si="10"/>
        <v>#REF!</v>
      </c>
      <c r="E758" s="86" t="str">
        <f t="shared" si="11"/>
        <v>#REF!</v>
      </c>
      <c r="F758" s="86" t="str">
        <f t="shared" si="12"/>
        <v>#REF!</v>
      </c>
      <c r="G758" s="86" t="str">
        <f t="shared" si="13"/>
        <v>#REF!</v>
      </c>
      <c r="H758" s="86" t="str">
        <f t="shared" si="14"/>
        <v>#REF!</v>
      </c>
      <c r="I758" s="86" t="str">
        <f t="shared" si="15"/>
        <v>#REF!</v>
      </c>
    </row>
    <row r="759">
      <c r="B759" s="86" t="str">
        <f t="shared" si="1"/>
        <v>#REF!</v>
      </c>
      <c r="C759" s="86" t="str">
        <f t="shared" si="9"/>
        <v>#REF!</v>
      </c>
      <c r="D759" s="86" t="str">
        <f t="shared" si="10"/>
        <v>#REF!</v>
      </c>
      <c r="E759" s="86" t="str">
        <f t="shared" si="11"/>
        <v>#REF!</v>
      </c>
      <c r="F759" s="86" t="str">
        <f t="shared" si="12"/>
        <v>#REF!</v>
      </c>
      <c r="G759" s="86" t="str">
        <f t="shared" si="13"/>
        <v>#REF!</v>
      </c>
      <c r="H759" s="86" t="str">
        <f t="shared" si="14"/>
        <v>#REF!</v>
      </c>
      <c r="I759" s="86" t="str">
        <f t="shared" si="15"/>
        <v>#REF!</v>
      </c>
    </row>
    <row r="760">
      <c r="B760" s="86" t="str">
        <f t="shared" si="1"/>
        <v>#REF!</v>
      </c>
      <c r="C760" s="86" t="str">
        <f t="shared" si="9"/>
        <v>#REF!</v>
      </c>
      <c r="D760" s="86" t="str">
        <f t="shared" si="10"/>
        <v>#REF!</v>
      </c>
      <c r="E760" s="86" t="str">
        <f t="shared" si="11"/>
        <v>#REF!</v>
      </c>
      <c r="F760" s="86" t="str">
        <f t="shared" si="12"/>
        <v>#REF!</v>
      </c>
      <c r="G760" s="86" t="str">
        <f t="shared" si="13"/>
        <v>#REF!</v>
      </c>
      <c r="H760" s="86" t="str">
        <f t="shared" si="14"/>
        <v>#REF!</v>
      </c>
      <c r="I760" s="86" t="str">
        <f t="shared" si="15"/>
        <v>#REF!</v>
      </c>
    </row>
    <row r="761">
      <c r="B761" s="86" t="str">
        <f t="shared" si="1"/>
        <v>#REF!</v>
      </c>
      <c r="C761" s="86" t="str">
        <f t="shared" si="9"/>
        <v>#REF!</v>
      </c>
      <c r="D761" s="86" t="str">
        <f t="shared" si="10"/>
        <v>#REF!</v>
      </c>
      <c r="E761" s="86" t="str">
        <f t="shared" si="11"/>
        <v>#REF!</v>
      </c>
      <c r="F761" s="86" t="str">
        <f t="shared" si="12"/>
        <v>#REF!</v>
      </c>
      <c r="G761" s="86" t="str">
        <f t="shared" si="13"/>
        <v>#REF!</v>
      </c>
      <c r="H761" s="86" t="str">
        <f t="shared" si="14"/>
        <v>#REF!</v>
      </c>
      <c r="I761" s="86" t="str">
        <f t="shared" si="15"/>
        <v>#REF!</v>
      </c>
    </row>
    <row r="762">
      <c r="B762" s="86" t="str">
        <f t="shared" si="1"/>
        <v>#REF!</v>
      </c>
      <c r="C762" s="86" t="str">
        <f t="shared" si="9"/>
        <v>#REF!</v>
      </c>
      <c r="D762" s="86" t="str">
        <f t="shared" si="10"/>
        <v>#REF!</v>
      </c>
      <c r="E762" s="86" t="str">
        <f t="shared" si="11"/>
        <v>#REF!</v>
      </c>
      <c r="F762" s="86" t="str">
        <f t="shared" si="12"/>
        <v>#REF!</v>
      </c>
      <c r="G762" s="86" t="str">
        <f t="shared" si="13"/>
        <v>#REF!</v>
      </c>
      <c r="H762" s="86" t="str">
        <f t="shared" si="14"/>
        <v>#REF!</v>
      </c>
      <c r="I762" s="86" t="str">
        <f t="shared" si="15"/>
        <v>#REF!</v>
      </c>
    </row>
    <row r="763">
      <c r="B763" s="86" t="str">
        <f t="shared" si="1"/>
        <v>#REF!</v>
      </c>
      <c r="C763" s="86" t="str">
        <f t="shared" si="9"/>
        <v>#REF!</v>
      </c>
      <c r="D763" s="86" t="str">
        <f t="shared" si="10"/>
        <v>#REF!</v>
      </c>
      <c r="E763" s="86" t="str">
        <f t="shared" si="11"/>
        <v>#REF!</v>
      </c>
      <c r="F763" s="86" t="str">
        <f t="shared" si="12"/>
        <v>#REF!</v>
      </c>
      <c r="G763" s="86" t="str">
        <f t="shared" si="13"/>
        <v>#REF!</v>
      </c>
      <c r="H763" s="86" t="str">
        <f t="shared" si="14"/>
        <v>#REF!</v>
      </c>
      <c r="I763" s="86" t="str">
        <f t="shared" si="15"/>
        <v>#REF!</v>
      </c>
    </row>
    <row r="764">
      <c r="B764" s="86" t="str">
        <f t="shared" si="1"/>
        <v>#REF!</v>
      </c>
      <c r="C764" s="86" t="str">
        <f t="shared" si="9"/>
        <v>#REF!</v>
      </c>
      <c r="D764" s="86" t="str">
        <f t="shared" si="10"/>
        <v>#REF!</v>
      </c>
      <c r="E764" s="86" t="str">
        <f t="shared" si="11"/>
        <v>#REF!</v>
      </c>
      <c r="F764" s="86" t="str">
        <f t="shared" si="12"/>
        <v>#REF!</v>
      </c>
      <c r="G764" s="86" t="str">
        <f t="shared" si="13"/>
        <v>#REF!</v>
      </c>
      <c r="H764" s="86" t="str">
        <f t="shared" si="14"/>
        <v>#REF!</v>
      </c>
      <c r="I764" s="86" t="str">
        <f t="shared" si="15"/>
        <v>#REF!</v>
      </c>
    </row>
    <row r="765">
      <c r="B765" s="86" t="str">
        <f t="shared" si="1"/>
        <v>#REF!</v>
      </c>
      <c r="C765" s="86" t="str">
        <f t="shared" si="9"/>
        <v>#REF!</v>
      </c>
      <c r="D765" s="86" t="str">
        <f t="shared" si="10"/>
        <v>#REF!</v>
      </c>
      <c r="E765" s="86" t="str">
        <f t="shared" si="11"/>
        <v>#REF!</v>
      </c>
      <c r="F765" s="86" t="str">
        <f t="shared" si="12"/>
        <v>#REF!</v>
      </c>
      <c r="G765" s="86" t="str">
        <f t="shared" si="13"/>
        <v>#REF!</v>
      </c>
      <c r="H765" s="86" t="str">
        <f t="shared" si="14"/>
        <v>#REF!</v>
      </c>
      <c r="I765" s="86" t="str">
        <f t="shared" si="15"/>
        <v>#REF!</v>
      </c>
    </row>
    <row r="766">
      <c r="B766" s="86" t="str">
        <f t="shared" si="1"/>
        <v>#REF!</v>
      </c>
      <c r="C766" s="86" t="str">
        <f t="shared" si="9"/>
        <v>#REF!</v>
      </c>
      <c r="D766" s="86" t="str">
        <f t="shared" si="10"/>
        <v>#REF!</v>
      </c>
      <c r="E766" s="86" t="str">
        <f t="shared" si="11"/>
        <v>#REF!</v>
      </c>
      <c r="F766" s="86" t="str">
        <f t="shared" si="12"/>
        <v>#REF!</v>
      </c>
      <c r="G766" s="86" t="str">
        <f t="shared" si="13"/>
        <v>#REF!</v>
      </c>
      <c r="H766" s="86" t="str">
        <f t="shared" si="14"/>
        <v>#REF!</v>
      </c>
      <c r="I766" s="86" t="str">
        <f t="shared" si="15"/>
        <v>#REF!</v>
      </c>
    </row>
    <row r="767">
      <c r="B767" s="86" t="str">
        <f t="shared" si="1"/>
        <v>#REF!</v>
      </c>
      <c r="C767" s="86" t="str">
        <f t="shared" si="9"/>
        <v>#REF!</v>
      </c>
      <c r="D767" s="86" t="str">
        <f t="shared" si="10"/>
        <v>#REF!</v>
      </c>
      <c r="E767" s="86" t="str">
        <f t="shared" si="11"/>
        <v>#REF!</v>
      </c>
      <c r="F767" s="86" t="str">
        <f t="shared" si="12"/>
        <v>#REF!</v>
      </c>
      <c r="G767" s="86" t="str">
        <f t="shared" si="13"/>
        <v>#REF!</v>
      </c>
      <c r="H767" s="86" t="str">
        <f t="shared" si="14"/>
        <v>#REF!</v>
      </c>
      <c r="I767" s="86" t="str">
        <f t="shared" si="15"/>
        <v>#REF!</v>
      </c>
    </row>
    <row r="768">
      <c r="B768" s="86" t="str">
        <f t="shared" si="1"/>
        <v>#REF!</v>
      </c>
      <c r="C768" s="86" t="str">
        <f t="shared" si="9"/>
        <v>#REF!</v>
      </c>
      <c r="D768" s="86" t="str">
        <f t="shared" si="10"/>
        <v>#REF!</v>
      </c>
      <c r="E768" s="86" t="str">
        <f t="shared" si="11"/>
        <v>#REF!</v>
      </c>
      <c r="F768" s="86" t="str">
        <f t="shared" si="12"/>
        <v>#REF!</v>
      </c>
      <c r="G768" s="86" t="str">
        <f t="shared" si="13"/>
        <v>#REF!</v>
      </c>
      <c r="H768" s="86" t="str">
        <f t="shared" si="14"/>
        <v>#REF!</v>
      </c>
      <c r="I768" s="86" t="str">
        <f t="shared" si="15"/>
        <v>#REF!</v>
      </c>
    </row>
    <row r="769">
      <c r="B769" s="86" t="str">
        <f t="shared" si="1"/>
        <v>#REF!</v>
      </c>
      <c r="C769" s="86" t="str">
        <f t="shared" si="9"/>
        <v>#REF!</v>
      </c>
      <c r="D769" s="86" t="str">
        <f t="shared" si="10"/>
        <v>#REF!</v>
      </c>
      <c r="E769" s="86" t="str">
        <f t="shared" si="11"/>
        <v>#REF!</v>
      </c>
      <c r="F769" s="86" t="str">
        <f t="shared" si="12"/>
        <v>#REF!</v>
      </c>
      <c r="G769" s="86" t="str">
        <f t="shared" si="13"/>
        <v>#REF!</v>
      </c>
      <c r="H769" s="86" t="str">
        <f t="shared" si="14"/>
        <v>#REF!</v>
      </c>
      <c r="I769" s="86" t="str">
        <f t="shared" si="15"/>
        <v>#REF!</v>
      </c>
    </row>
    <row r="770">
      <c r="B770" s="86" t="str">
        <f t="shared" si="1"/>
        <v>#REF!</v>
      </c>
      <c r="C770" s="86" t="str">
        <f t="shared" si="9"/>
        <v>#REF!</v>
      </c>
      <c r="D770" s="86" t="str">
        <f t="shared" si="10"/>
        <v>#REF!</v>
      </c>
      <c r="E770" s="86" t="str">
        <f t="shared" si="11"/>
        <v>#REF!</v>
      </c>
      <c r="F770" s="86" t="str">
        <f t="shared" si="12"/>
        <v>#REF!</v>
      </c>
      <c r="G770" s="86" t="str">
        <f t="shared" si="13"/>
        <v>#REF!</v>
      </c>
      <c r="H770" s="86" t="str">
        <f t="shared" si="14"/>
        <v>#REF!</v>
      </c>
      <c r="I770" s="86" t="str">
        <f t="shared" si="15"/>
        <v>#REF!</v>
      </c>
    </row>
    <row r="771">
      <c r="B771" s="86" t="str">
        <f t="shared" si="1"/>
        <v>#REF!</v>
      </c>
      <c r="C771" s="86" t="str">
        <f t="shared" si="9"/>
        <v>#REF!</v>
      </c>
      <c r="D771" s="86" t="str">
        <f t="shared" si="10"/>
        <v>#REF!</v>
      </c>
      <c r="E771" s="86" t="str">
        <f t="shared" si="11"/>
        <v>#REF!</v>
      </c>
      <c r="F771" s="86" t="str">
        <f t="shared" si="12"/>
        <v>#REF!</v>
      </c>
      <c r="G771" s="86" t="str">
        <f t="shared" si="13"/>
        <v>#REF!</v>
      </c>
      <c r="H771" s="86" t="str">
        <f t="shared" si="14"/>
        <v>#REF!</v>
      </c>
      <c r="I771" s="86" t="str">
        <f t="shared" si="15"/>
        <v>#REF!</v>
      </c>
    </row>
    <row r="772">
      <c r="B772" s="86" t="str">
        <f t="shared" si="1"/>
        <v>#REF!</v>
      </c>
      <c r="C772" s="86" t="str">
        <f t="shared" si="9"/>
        <v>#REF!</v>
      </c>
      <c r="D772" s="86" t="str">
        <f t="shared" si="10"/>
        <v>#REF!</v>
      </c>
      <c r="E772" s="86" t="str">
        <f t="shared" si="11"/>
        <v>#REF!</v>
      </c>
      <c r="F772" s="86" t="str">
        <f t="shared" si="12"/>
        <v>#REF!</v>
      </c>
      <c r="G772" s="86" t="str">
        <f t="shared" si="13"/>
        <v>#REF!</v>
      </c>
      <c r="H772" s="86" t="str">
        <f t="shared" si="14"/>
        <v>#REF!</v>
      </c>
      <c r="I772" s="86" t="str">
        <f t="shared" si="15"/>
        <v>#REF!</v>
      </c>
    </row>
    <row r="773">
      <c r="B773" s="86" t="str">
        <f t="shared" si="1"/>
        <v>#REF!</v>
      </c>
      <c r="C773" s="86" t="str">
        <f t="shared" si="9"/>
        <v>#REF!</v>
      </c>
      <c r="D773" s="86" t="str">
        <f t="shared" si="10"/>
        <v>#REF!</v>
      </c>
      <c r="E773" s="86" t="str">
        <f t="shared" si="11"/>
        <v>#REF!</v>
      </c>
      <c r="F773" s="86" t="str">
        <f t="shared" si="12"/>
        <v>#REF!</v>
      </c>
      <c r="G773" s="86" t="str">
        <f t="shared" si="13"/>
        <v>#REF!</v>
      </c>
      <c r="H773" s="86" t="str">
        <f t="shared" si="14"/>
        <v>#REF!</v>
      </c>
      <c r="I773" s="86" t="str">
        <f t="shared" si="15"/>
        <v>#REF!</v>
      </c>
    </row>
    <row r="774">
      <c r="B774" s="86" t="str">
        <f t="shared" si="1"/>
        <v>#REF!</v>
      </c>
      <c r="C774" s="86" t="str">
        <f t="shared" si="9"/>
        <v>#REF!</v>
      </c>
      <c r="D774" s="86" t="str">
        <f t="shared" si="10"/>
        <v>#REF!</v>
      </c>
      <c r="E774" s="86" t="str">
        <f t="shared" si="11"/>
        <v>#REF!</v>
      </c>
      <c r="F774" s="86" t="str">
        <f t="shared" si="12"/>
        <v>#REF!</v>
      </c>
      <c r="G774" s="86" t="str">
        <f t="shared" si="13"/>
        <v>#REF!</v>
      </c>
      <c r="H774" s="86" t="str">
        <f t="shared" si="14"/>
        <v>#REF!</v>
      </c>
      <c r="I774" s="86" t="str">
        <f t="shared" si="15"/>
        <v>#REF!</v>
      </c>
    </row>
    <row r="775">
      <c r="B775" s="86" t="str">
        <f t="shared" si="1"/>
        <v>#REF!</v>
      </c>
      <c r="C775" s="86" t="str">
        <f t="shared" si="9"/>
        <v>#REF!</v>
      </c>
      <c r="D775" s="86" t="str">
        <f t="shared" si="10"/>
        <v>#REF!</v>
      </c>
      <c r="E775" s="86" t="str">
        <f t="shared" si="11"/>
        <v>#REF!</v>
      </c>
      <c r="F775" s="86" t="str">
        <f t="shared" si="12"/>
        <v>#REF!</v>
      </c>
      <c r="G775" s="86" t="str">
        <f t="shared" si="13"/>
        <v>#REF!</v>
      </c>
      <c r="H775" s="86" t="str">
        <f t="shared" si="14"/>
        <v>#REF!</v>
      </c>
      <c r="I775" s="86" t="str">
        <f t="shared" si="15"/>
        <v>#REF!</v>
      </c>
    </row>
    <row r="776">
      <c r="B776" s="86" t="str">
        <f t="shared" si="1"/>
        <v>#REF!</v>
      </c>
      <c r="C776" s="86" t="str">
        <f t="shared" si="9"/>
        <v>#REF!</v>
      </c>
      <c r="D776" s="86" t="str">
        <f t="shared" si="10"/>
        <v>#REF!</v>
      </c>
      <c r="E776" s="86" t="str">
        <f t="shared" si="11"/>
        <v>#REF!</v>
      </c>
      <c r="F776" s="86" t="str">
        <f t="shared" si="12"/>
        <v>#REF!</v>
      </c>
      <c r="G776" s="86" t="str">
        <f t="shared" si="13"/>
        <v>#REF!</v>
      </c>
      <c r="H776" s="86" t="str">
        <f t="shared" si="14"/>
        <v>#REF!</v>
      </c>
      <c r="I776" s="86" t="str">
        <f t="shared" si="15"/>
        <v>#REF!</v>
      </c>
    </row>
    <row r="777">
      <c r="B777" s="86" t="str">
        <f t="shared" si="1"/>
        <v>#REF!</v>
      </c>
      <c r="C777" s="86" t="str">
        <f t="shared" si="9"/>
        <v>#REF!</v>
      </c>
      <c r="D777" s="86" t="str">
        <f t="shared" si="10"/>
        <v>#REF!</v>
      </c>
      <c r="E777" s="86" t="str">
        <f t="shared" si="11"/>
        <v>#REF!</v>
      </c>
      <c r="F777" s="86" t="str">
        <f t="shared" si="12"/>
        <v>#REF!</v>
      </c>
      <c r="G777" s="86" t="str">
        <f t="shared" si="13"/>
        <v>#REF!</v>
      </c>
      <c r="H777" s="86" t="str">
        <f t="shared" si="14"/>
        <v>#REF!</v>
      </c>
      <c r="I777" s="86" t="str">
        <f t="shared" si="15"/>
        <v>#REF!</v>
      </c>
    </row>
    <row r="778">
      <c r="B778" s="86" t="str">
        <f t="shared" si="1"/>
        <v>#REF!</v>
      </c>
      <c r="C778" s="86" t="str">
        <f t="shared" si="9"/>
        <v>#REF!</v>
      </c>
      <c r="D778" s="86" t="str">
        <f t="shared" si="10"/>
        <v>#REF!</v>
      </c>
      <c r="E778" s="86" t="str">
        <f t="shared" si="11"/>
        <v>#REF!</v>
      </c>
      <c r="F778" s="86" t="str">
        <f t="shared" si="12"/>
        <v>#REF!</v>
      </c>
      <c r="G778" s="86" t="str">
        <f t="shared" si="13"/>
        <v>#REF!</v>
      </c>
      <c r="H778" s="86" t="str">
        <f t="shared" si="14"/>
        <v>#REF!</v>
      </c>
      <c r="I778" s="86" t="str">
        <f t="shared" si="15"/>
        <v>#REF!</v>
      </c>
    </row>
    <row r="779">
      <c r="B779" s="86" t="str">
        <f t="shared" si="1"/>
        <v>#REF!</v>
      </c>
      <c r="C779" s="86" t="str">
        <f t="shared" si="9"/>
        <v>#REF!</v>
      </c>
      <c r="D779" s="86" t="str">
        <f t="shared" si="10"/>
        <v>#REF!</v>
      </c>
      <c r="E779" s="86" t="str">
        <f t="shared" si="11"/>
        <v>#REF!</v>
      </c>
      <c r="F779" s="86" t="str">
        <f t="shared" si="12"/>
        <v>#REF!</v>
      </c>
      <c r="G779" s="86" t="str">
        <f t="shared" si="13"/>
        <v>#REF!</v>
      </c>
      <c r="H779" s="86" t="str">
        <f t="shared" si="14"/>
        <v>#REF!</v>
      </c>
      <c r="I779" s="86" t="str">
        <f t="shared" si="15"/>
        <v>#REF!</v>
      </c>
    </row>
    <row r="780">
      <c r="B780" s="86" t="str">
        <f t="shared" si="1"/>
        <v>#REF!</v>
      </c>
      <c r="C780" s="86" t="str">
        <f t="shared" si="9"/>
        <v>#REF!</v>
      </c>
      <c r="D780" s="86" t="str">
        <f t="shared" si="10"/>
        <v>#REF!</v>
      </c>
      <c r="E780" s="86" t="str">
        <f t="shared" si="11"/>
        <v>#REF!</v>
      </c>
      <c r="F780" s="86" t="str">
        <f t="shared" si="12"/>
        <v>#REF!</v>
      </c>
      <c r="G780" s="86" t="str">
        <f t="shared" si="13"/>
        <v>#REF!</v>
      </c>
      <c r="H780" s="86" t="str">
        <f t="shared" si="14"/>
        <v>#REF!</v>
      </c>
      <c r="I780" s="86" t="str">
        <f t="shared" si="15"/>
        <v>#REF!</v>
      </c>
    </row>
    <row r="781">
      <c r="B781" s="86" t="str">
        <f t="shared" si="1"/>
        <v>#REF!</v>
      </c>
      <c r="C781" s="86" t="str">
        <f t="shared" si="9"/>
        <v>#REF!</v>
      </c>
      <c r="D781" s="86" t="str">
        <f t="shared" si="10"/>
        <v>#REF!</v>
      </c>
      <c r="E781" s="86" t="str">
        <f t="shared" si="11"/>
        <v>#REF!</v>
      </c>
      <c r="F781" s="86" t="str">
        <f t="shared" si="12"/>
        <v>#REF!</v>
      </c>
      <c r="G781" s="86" t="str">
        <f t="shared" si="13"/>
        <v>#REF!</v>
      </c>
      <c r="H781" s="86" t="str">
        <f t="shared" si="14"/>
        <v>#REF!</v>
      </c>
      <c r="I781" s="86" t="str">
        <f t="shared" si="15"/>
        <v>#REF!</v>
      </c>
    </row>
    <row r="782">
      <c r="B782" s="86" t="str">
        <f t="shared" si="1"/>
        <v>#REF!</v>
      </c>
      <c r="C782" s="86" t="str">
        <f t="shared" si="9"/>
        <v>#REF!</v>
      </c>
      <c r="D782" s="86" t="str">
        <f t="shared" si="10"/>
        <v>#REF!</v>
      </c>
      <c r="E782" s="86" t="str">
        <f t="shared" si="11"/>
        <v>#REF!</v>
      </c>
      <c r="F782" s="86" t="str">
        <f t="shared" si="12"/>
        <v>#REF!</v>
      </c>
      <c r="G782" s="86" t="str">
        <f t="shared" si="13"/>
        <v>#REF!</v>
      </c>
      <c r="H782" s="86" t="str">
        <f t="shared" si="14"/>
        <v>#REF!</v>
      </c>
      <c r="I782" s="86" t="str">
        <f t="shared" si="15"/>
        <v>#REF!</v>
      </c>
    </row>
    <row r="783">
      <c r="B783" s="86" t="str">
        <f t="shared" si="1"/>
        <v>#REF!</v>
      </c>
      <c r="C783" s="86" t="str">
        <f t="shared" si="9"/>
        <v>#REF!</v>
      </c>
      <c r="D783" s="86" t="str">
        <f t="shared" si="10"/>
        <v>#REF!</v>
      </c>
      <c r="E783" s="86" t="str">
        <f t="shared" si="11"/>
        <v>#REF!</v>
      </c>
      <c r="F783" s="86" t="str">
        <f t="shared" si="12"/>
        <v>#REF!</v>
      </c>
      <c r="G783" s="86" t="str">
        <f t="shared" si="13"/>
        <v>#REF!</v>
      </c>
      <c r="H783" s="86" t="str">
        <f t="shared" si="14"/>
        <v>#REF!</v>
      </c>
      <c r="I783" s="86" t="str">
        <f t="shared" si="15"/>
        <v>#REF!</v>
      </c>
    </row>
    <row r="784">
      <c r="B784" s="86" t="str">
        <f t="shared" si="1"/>
        <v>#REF!</v>
      </c>
      <c r="C784" s="86" t="str">
        <f t="shared" si="9"/>
        <v>#REF!</v>
      </c>
      <c r="D784" s="86" t="str">
        <f t="shared" si="10"/>
        <v>#REF!</v>
      </c>
      <c r="E784" s="86" t="str">
        <f t="shared" si="11"/>
        <v>#REF!</v>
      </c>
      <c r="F784" s="86" t="str">
        <f t="shared" si="12"/>
        <v>#REF!</v>
      </c>
      <c r="G784" s="86" t="str">
        <f t="shared" si="13"/>
        <v>#REF!</v>
      </c>
      <c r="H784" s="86" t="str">
        <f t="shared" si="14"/>
        <v>#REF!</v>
      </c>
      <c r="I784" s="86" t="str">
        <f t="shared" si="15"/>
        <v>#REF!</v>
      </c>
    </row>
    <row r="785">
      <c r="B785" s="86" t="str">
        <f t="shared" si="1"/>
        <v>#REF!</v>
      </c>
      <c r="C785" s="86" t="str">
        <f t="shared" si="9"/>
        <v>#REF!</v>
      </c>
      <c r="D785" s="86" t="str">
        <f t="shared" si="10"/>
        <v>#REF!</v>
      </c>
      <c r="E785" s="86" t="str">
        <f t="shared" si="11"/>
        <v>#REF!</v>
      </c>
      <c r="F785" s="86" t="str">
        <f t="shared" si="12"/>
        <v>#REF!</v>
      </c>
      <c r="G785" s="86" t="str">
        <f t="shared" si="13"/>
        <v>#REF!</v>
      </c>
      <c r="H785" s="86" t="str">
        <f t="shared" si="14"/>
        <v>#REF!</v>
      </c>
      <c r="I785" s="86" t="str">
        <f t="shared" si="15"/>
        <v>#REF!</v>
      </c>
    </row>
    <row r="786">
      <c r="B786" s="86" t="str">
        <f t="shared" si="1"/>
        <v>#REF!</v>
      </c>
      <c r="C786" s="86" t="str">
        <f t="shared" si="9"/>
        <v>#REF!</v>
      </c>
      <c r="D786" s="86" t="str">
        <f t="shared" si="10"/>
        <v>#REF!</v>
      </c>
      <c r="E786" s="86" t="str">
        <f t="shared" si="11"/>
        <v>#REF!</v>
      </c>
      <c r="F786" s="86" t="str">
        <f t="shared" si="12"/>
        <v>#REF!</v>
      </c>
      <c r="G786" s="86" t="str">
        <f t="shared" si="13"/>
        <v>#REF!</v>
      </c>
      <c r="H786" s="86" t="str">
        <f t="shared" si="14"/>
        <v>#REF!</v>
      </c>
      <c r="I786" s="86" t="str">
        <f t="shared" si="15"/>
        <v>#REF!</v>
      </c>
    </row>
    <row r="787">
      <c r="B787" s="86" t="str">
        <f t="shared" si="1"/>
        <v>#REF!</v>
      </c>
      <c r="C787" s="86" t="str">
        <f t="shared" si="9"/>
        <v>#REF!</v>
      </c>
      <c r="D787" s="86" t="str">
        <f t="shared" si="10"/>
        <v>#REF!</v>
      </c>
      <c r="E787" s="86" t="str">
        <f t="shared" si="11"/>
        <v>#REF!</v>
      </c>
      <c r="F787" s="86" t="str">
        <f t="shared" si="12"/>
        <v>#REF!</v>
      </c>
      <c r="G787" s="86" t="str">
        <f t="shared" si="13"/>
        <v>#REF!</v>
      </c>
      <c r="H787" s="86" t="str">
        <f t="shared" si="14"/>
        <v>#REF!</v>
      </c>
      <c r="I787" s="86" t="str">
        <f t="shared" si="15"/>
        <v>#REF!</v>
      </c>
    </row>
    <row r="788">
      <c r="B788" s="86" t="str">
        <f t="shared" si="1"/>
        <v>#REF!</v>
      </c>
      <c r="C788" s="86" t="str">
        <f t="shared" si="9"/>
        <v>#REF!</v>
      </c>
      <c r="D788" s="86" t="str">
        <f t="shared" si="10"/>
        <v>#REF!</v>
      </c>
      <c r="E788" s="86" t="str">
        <f t="shared" si="11"/>
        <v>#REF!</v>
      </c>
      <c r="F788" s="86" t="str">
        <f t="shared" si="12"/>
        <v>#REF!</v>
      </c>
      <c r="G788" s="86" t="str">
        <f t="shared" si="13"/>
        <v>#REF!</v>
      </c>
      <c r="H788" s="86" t="str">
        <f t="shared" si="14"/>
        <v>#REF!</v>
      </c>
      <c r="I788" s="86" t="str">
        <f t="shared" si="15"/>
        <v>#REF!</v>
      </c>
    </row>
    <row r="789">
      <c r="B789" s="86" t="str">
        <f t="shared" si="1"/>
        <v>#REF!</v>
      </c>
      <c r="C789" s="86" t="str">
        <f t="shared" si="9"/>
        <v>#REF!</v>
      </c>
      <c r="D789" s="86" t="str">
        <f t="shared" si="10"/>
        <v>#REF!</v>
      </c>
      <c r="E789" s="86" t="str">
        <f t="shared" si="11"/>
        <v>#REF!</v>
      </c>
      <c r="F789" s="86" t="str">
        <f t="shared" si="12"/>
        <v>#REF!</v>
      </c>
      <c r="G789" s="86" t="str">
        <f t="shared" si="13"/>
        <v>#REF!</v>
      </c>
      <c r="H789" s="86" t="str">
        <f t="shared" si="14"/>
        <v>#REF!</v>
      </c>
      <c r="I789" s="86" t="str">
        <f t="shared" si="15"/>
        <v>#REF!</v>
      </c>
    </row>
    <row r="790">
      <c r="B790" s="86" t="str">
        <f t="shared" si="1"/>
        <v>#REF!</v>
      </c>
      <c r="C790" s="86" t="str">
        <f t="shared" si="9"/>
        <v>#REF!</v>
      </c>
      <c r="D790" s="86" t="str">
        <f t="shared" si="10"/>
        <v>#REF!</v>
      </c>
      <c r="E790" s="86" t="str">
        <f t="shared" si="11"/>
        <v>#REF!</v>
      </c>
      <c r="F790" s="86" t="str">
        <f t="shared" si="12"/>
        <v>#REF!</v>
      </c>
      <c r="G790" s="86" t="str">
        <f t="shared" si="13"/>
        <v>#REF!</v>
      </c>
      <c r="H790" s="86" t="str">
        <f t="shared" si="14"/>
        <v>#REF!</v>
      </c>
      <c r="I790" s="86" t="str">
        <f t="shared" si="15"/>
        <v>#REF!</v>
      </c>
    </row>
    <row r="791">
      <c r="B791" s="86" t="str">
        <f t="shared" si="1"/>
        <v>#REF!</v>
      </c>
      <c r="C791" s="86" t="str">
        <f t="shared" si="9"/>
        <v>#REF!</v>
      </c>
      <c r="D791" s="86" t="str">
        <f t="shared" si="10"/>
        <v>#REF!</v>
      </c>
      <c r="E791" s="86" t="str">
        <f t="shared" si="11"/>
        <v>#REF!</v>
      </c>
      <c r="F791" s="86" t="str">
        <f t="shared" si="12"/>
        <v>#REF!</v>
      </c>
      <c r="G791" s="86" t="str">
        <f t="shared" si="13"/>
        <v>#REF!</v>
      </c>
      <c r="H791" s="86" t="str">
        <f t="shared" si="14"/>
        <v>#REF!</v>
      </c>
      <c r="I791" s="86" t="str">
        <f t="shared" si="15"/>
        <v>#REF!</v>
      </c>
    </row>
    <row r="792">
      <c r="B792" s="86" t="str">
        <f t="shared" si="1"/>
        <v>#REF!</v>
      </c>
      <c r="C792" s="86" t="str">
        <f t="shared" si="9"/>
        <v>#REF!</v>
      </c>
      <c r="D792" s="86" t="str">
        <f t="shared" si="10"/>
        <v>#REF!</v>
      </c>
      <c r="E792" s="86" t="str">
        <f t="shared" si="11"/>
        <v>#REF!</v>
      </c>
      <c r="F792" s="86" t="str">
        <f t="shared" si="12"/>
        <v>#REF!</v>
      </c>
      <c r="G792" s="86" t="str">
        <f t="shared" si="13"/>
        <v>#REF!</v>
      </c>
      <c r="H792" s="86" t="str">
        <f t="shared" si="14"/>
        <v>#REF!</v>
      </c>
      <c r="I792" s="86" t="str">
        <f t="shared" si="15"/>
        <v>#REF!</v>
      </c>
    </row>
    <row r="793">
      <c r="B793" s="86" t="str">
        <f t="shared" si="1"/>
        <v>#REF!</v>
      </c>
      <c r="C793" s="86" t="str">
        <f t="shared" si="9"/>
        <v>#REF!</v>
      </c>
      <c r="D793" s="86" t="str">
        <f t="shared" si="10"/>
        <v>#REF!</v>
      </c>
      <c r="E793" s="86" t="str">
        <f t="shared" si="11"/>
        <v>#REF!</v>
      </c>
      <c r="F793" s="86" t="str">
        <f t="shared" si="12"/>
        <v>#REF!</v>
      </c>
      <c r="G793" s="86" t="str">
        <f t="shared" si="13"/>
        <v>#REF!</v>
      </c>
      <c r="H793" s="86" t="str">
        <f t="shared" si="14"/>
        <v>#REF!</v>
      </c>
      <c r="I793" s="86" t="str">
        <f t="shared" si="15"/>
        <v>#REF!</v>
      </c>
    </row>
    <row r="794">
      <c r="B794" s="86" t="str">
        <f t="shared" si="1"/>
        <v>#REF!</v>
      </c>
      <c r="C794" s="86" t="str">
        <f t="shared" si="9"/>
        <v>#REF!</v>
      </c>
      <c r="D794" s="86" t="str">
        <f t="shared" si="10"/>
        <v>#REF!</v>
      </c>
      <c r="E794" s="86" t="str">
        <f t="shared" si="11"/>
        <v>#REF!</v>
      </c>
      <c r="F794" s="86" t="str">
        <f t="shared" si="12"/>
        <v>#REF!</v>
      </c>
      <c r="G794" s="86" t="str">
        <f t="shared" si="13"/>
        <v>#REF!</v>
      </c>
      <c r="H794" s="86" t="str">
        <f t="shared" si="14"/>
        <v>#REF!</v>
      </c>
      <c r="I794" s="86" t="str">
        <f t="shared" si="15"/>
        <v>#REF!</v>
      </c>
    </row>
    <row r="795">
      <c r="B795" s="86" t="str">
        <f t="shared" si="1"/>
        <v>#REF!</v>
      </c>
      <c r="C795" s="86" t="str">
        <f t="shared" si="9"/>
        <v>#REF!</v>
      </c>
      <c r="D795" s="86" t="str">
        <f t="shared" si="10"/>
        <v>#REF!</v>
      </c>
      <c r="E795" s="86" t="str">
        <f t="shared" si="11"/>
        <v>#REF!</v>
      </c>
      <c r="F795" s="86" t="str">
        <f t="shared" si="12"/>
        <v>#REF!</v>
      </c>
      <c r="G795" s="86" t="str">
        <f t="shared" si="13"/>
        <v>#REF!</v>
      </c>
      <c r="H795" s="86" t="str">
        <f t="shared" si="14"/>
        <v>#REF!</v>
      </c>
      <c r="I795" s="86" t="str">
        <f t="shared" si="15"/>
        <v>#REF!</v>
      </c>
    </row>
    <row r="796">
      <c r="B796" s="86" t="str">
        <f t="shared" si="1"/>
        <v>#REF!</v>
      </c>
      <c r="C796" s="86" t="str">
        <f t="shared" si="9"/>
        <v>#REF!</v>
      </c>
      <c r="D796" s="86" t="str">
        <f t="shared" si="10"/>
        <v>#REF!</v>
      </c>
      <c r="E796" s="86" t="str">
        <f t="shared" si="11"/>
        <v>#REF!</v>
      </c>
      <c r="F796" s="86" t="str">
        <f t="shared" si="12"/>
        <v>#REF!</v>
      </c>
      <c r="G796" s="86" t="str">
        <f t="shared" si="13"/>
        <v>#REF!</v>
      </c>
      <c r="H796" s="86" t="str">
        <f t="shared" si="14"/>
        <v>#REF!</v>
      </c>
      <c r="I796" s="86" t="str">
        <f t="shared" si="15"/>
        <v>#REF!</v>
      </c>
    </row>
    <row r="797">
      <c r="B797" s="86" t="str">
        <f t="shared" si="1"/>
        <v>#REF!</v>
      </c>
      <c r="C797" s="86" t="str">
        <f t="shared" si="9"/>
        <v>#REF!</v>
      </c>
      <c r="D797" s="86" t="str">
        <f t="shared" si="10"/>
        <v>#REF!</v>
      </c>
      <c r="E797" s="86" t="str">
        <f t="shared" si="11"/>
        <v>#REF!</v>
      </c>
      <c r="F797" s="86" t="str">
        <f t="shared" si="12"/>
        <v>#REF!</v>
      </c>
      <c r="G797" s="86" t="str">
        <f t="shared" si="13"/>
        <v>#REF!</v>
      </c>
      <c r="H797" s="86" t="str">
        <f t="shared" si="14"/>
        <v>#REF!</v>
      </c>
      <c r="I797" s="86" t="str">
        <f t="shared" si="15"/>
        <v>#REF!</v>
      </c>
    </row>
    <row r="798">
      <c r="B798" s="86" t="str">
        <f t="shared" si="1"/>
        <v>#REF!</v>
      </c>
      <c r="C798" s="86" t="str">
        <f t="shared" si="9"/>
        <v>#REF!</v>
      </c>
      <c r="D798" s="86" t="str">
        <f t="shared" si="10"/>
        <v>#REF!</v>
      </c>
      <c r="E798" s="86" t="str">
        <f t="shared" si="11"/>
        <v>#REF!</v>
      </c>
      <c r="F798" s="86" t="str">
        <f t="shared" si="12"/>
        <v>#REF!</v>
      </c>
      <c r="G798" s="86" t="str">
        <f t="shared" si="13"/>
        <v>#REF!</v>
      </c>
      <c r="H798" s="86" t="str">
        <f t="shared" si="14"/>
        <v>#REF!</v>
      </c>
      <c r="I798" s="86" t="str">
        <f t="shared" si="15"/>
        <v>#REF!</v>
      </c>
    </row>
    <row r="799">
      <c r="B799" s="86" t="str">
        <f t="shared" si="1"/>
        <v>#REF!</v>
      </c>
      <c r="C799" s="86" t="str">
        <f t="shared" si="9"/>
        <v>#REF!</v>
      </c>
      <c r="D799" s="86" t="str">
        <f t="shared" si="10"/>
        <v>#REF!</v>
      </c>
      <c r="E799" s="86" t="str">
        <f t="shared" si="11"/>
        <v>#REF!</v>
      </c>
      <c r="F799" s="86" t="str">
        <f t="shared" si="12"/>
        <v>#REF!</v>
      </c>
      <c r="G799" s="86" t="str">
        <f t="shared" si="13"/>
        <v>#REF!</v>
      </c>
      <c r="H799" s="86" t="str">
        <f t="shared" si="14"/>
        <v>#REF!</v>
      </c>
      <c r="I799" s="86" t="str">
        <f t="shared" si="15"/>
        <v>#REF!</v>
      </c>
    </row>
    <row r="800">
      <c r="B800" s="86" t="str">
        <f t="shared" si="1"/>
        <v>#REF!</v>
      </c>
      <c r="C800" s="86" t="str">
        <f t="shared" si="9"/>
        <v>#REF!</v>
      </c>
      <c r="D800" s="86" t="str">
        <f t="shared" si="10"/>
        <v>#REF!</v>
      </c>
      <c r="E800" s="86" t="str">
        <f t="shared" si="11"/>
        <v>#REF!</v>
      </c>
      <c r="F800" s="86" t="str">
        <f t="shared" si="12"/>
        <v>#REF!</v>
      </c>
      <c r="G800" s="86" t="str">
        <f t="shared" si="13"/>
        <v>#REF!</v>
      </c>
      <c r="H800" s="86" t="str">
        <f t="shared" si="14"/>
        <v>#REF!</v>
      </c>
      <c r="I800" s="86" t="str">
        <f t="shared" si="15"/>
        <v>#REF!</v>
      </c>
    </row>
    <row r="801">
      <c r="B801" s="86" t="str">
        <f t="shared" si="1"/>
        <v>#REF!</v>
      </c>
      <c r="C801" s="86" t="str">
        <f t="shared" si="9"/>
        <v>#REF!</v>
      </c>
      <c r="D801" s="86" t="str">
        <f t="shared" si="10"/>
        <v>#REF!</v>
      </c>
      <c r="E801" s="86" t="str">
        <f t="shared" si="11"/>
        <v>#REF!</v>
      </c>
      <c r="F801" s="86" t="str">
        <f t="shared" si="12"/>
        <v>#REF!</v>
      </c>
      <c r="G801" s="86" t="str">
        <f t="shared" si="13"/>
        <v>#REF!</v>
      </c>
      <c r="H801" s="86" t="str">
        <f t="shared" si="14"/>
        <v>#REF!</v>
      </c>
      <c r="I801" s="86" t="str">
        <f t="shared" si="15"/>
        <v>#REF!</v>
      </c>
    </row>
    <row r="802">
      <c r="B802" s="86" t="str">
        <f t="shared" si="1"/>
        <v>#REF!</v>
      </c>
      <c r="C802" s="86" t="str">
        <f t="shared" si="9"/>
        <v>#REF!</v>
      </c>
      <c r="D802" s="86" t="str">
        <f t="shared" si="10"/>
        <v>#REF!</v>
      </c>
      <c r="E802" s="86" t="str">
        <f t="shared" si="11"/>
        <v>#REF!</v>
      </c>
      <c r="F802" s="86" t="str">
        <f t="shared" si="12"/>
        <v>#REF!</v>
      </c>
      <c r="G802" s="86" t="str">
        <f t="shared" si="13"/>
        <v>#REF!</v>
      </c>
      <c r="H802" s="86" t="str">
        <f t="shared" si="14"/>
        <v>#REF!</v>
      </c>
      <c r="I802" s="86" t="str">
        <f t="shared" si="15"/>
        <v>#REF!</v>
      </c>
    </row>
    <row r="803">
      <c r="B803" s="86" t="str">
        <f t="shared" si="1"/>
        <v>#REF!</v>
      </c>
      <c r="C803" s="86" t="str">
        <f t="shared" si="9"/>
        <v>#REF!</v>
      </c>
      <c r="D803" s="86" t="str">
        <f t="shared" si="10"/>
        <v>#REF!</v>
      </c>
      <c r="E803" s="86" t="str">
        <f t="shared" si="11"/>
        <v>#REF!</v>
      </c>
      <c r="F803" s="86" t="str">
        <f t="shared" si="12"/>
        <v>#REF!</v>
      </c>
      <c r="G803" s="86" t="str">
        <f t="shared" si="13"/>
        <v>#REF!</v>
      </c>
      <c r="H803" s="86" t="str">
        <f t="shared" si="14"/>
        <v>#REF!</v>
      </c>
      <c r="I803" s="86" t="str">
        <f t="shared" si="15"/>
        <v>#REF!</v>
      </c>
    </row>
    <row r="804">
      <c r="B804" s="86" t="str">
        <f t="shared" si="1"/>
        <v>#REF!</v>
      </c>
      <c r="C804" s="86" t="str">
        <f t="shared" si="9"/>
        <v>#REF!</v>
      </c>
      <c r="D804" s="86" t="str">
        <f t="shared" si="10"/>
        <v>#REF!</v>
      </c>
      <c r="E804" s="86" t="str">
        <f t="shared" si="11"/>
        <v>#REF!</v>
      </c>
      <c r="F804" s="86" t="str">
        <f t="shared" si="12"/>
        <v>#REF!</v>
      </c>
      <c r="G804" s="86" t="str">
        <f t="shared" si="13"/>
        <v>#REF!</v>
      </c>
      <c r="H804" s="86" t="str">
        <f t="shared" si="14"/>
        <v>#REF!</v>
      </c>
      <c r="I804" s="86" t="str">
        <f t="shared" si="15"/>
        <v>#REF!</v>
      </c>
    </row>
    <row r="805">
      <c r="B805" s="86" t="str">
        <f t="shared" si="1"/>
        <v>#REF!</v>
      </c>
      <c r="C805" s="86" t="str">
        <f t="shared" si="9"/>
        <v>#REF!</v>
      </c>
      <c r="D805" s="86" t="str">
        <f t="shared" si="10"/>
        <v>#REF!</v>
      </c>
      <c r="E805" s="86" t="str">
        <f t="shared" si="11"/>
        <v>#REF!</v>
      </c>
      <c r="F805" s="86" t="str">
        <f t="shared" si="12"/>
        <v>#REF!</v>
      </c>
      <c r="G805" s="86" t="str">
        <f t="shared" si="13"/>
        <v>#REF!</v>
      </c>
      <c r="H805" s="86" t="str">
        <f t="shared" si="14"/>
        <v>#REF!</v>
      </c>
      <c r="I805" s="86" t="str">
        <f t="shared" si="15"/>
        <v>#REF!</v>
      </c>
    </row>
    <row r="806">
      <c r="B806" s="86" t="str">
        <f t="shared" si="1"/>
        <v>#REF!</v>
      </c>
      <c r="C806" s="86" t="str">
        <f t="shared" si="9"/>
        <v>#REF!</v>
      </c>
      <c r="D806" s="86" t="str">
        <f t="shared" si="10"/>
        <v>#REF!</v>
      </c>
      <c r="E806" s="86" t="str">
        <f t="shared" si="11"/>
        <v>#REF!</v>
      </c>
      <c r="F806" s="86" t="str">
        <f t="shared" si="12"/>
        <v>#REF!</v>
      </c>
      <c r="G806" s="86" t="str">
        <f t="shared" si="13"/>
        <v>#REF!</v>
      </c>
      <c r="H806" s="86" t="str">
        <f t="shared" si="14"/>
        <v>#REF!</v>
      </c>
      <c r="I806" s="86" t="str">
        <f t="shared" si="15"/>
        <v>#REF!</v>
      </c>
    </row>
    <row r="807">
      <c r="B807" s="86" t="str">
        <f t="shared" si="1"/>
        <v>#REF!</v>
      </c>
      <c r="C807" s="86" t="str">
        <f t="shared" si="9"/>
        <v>#REF!</v>
      </c>
      <c r="D807" s="86" t="str">
        <f t="shared" si="10"/>
        <v>#REF!</v>
      </c>
      <c r="E807" s="86" t="str">
        <f t="shared" si="11"/>
        <v>#REF!</v>
      </c>
      <c r="F807" s="86" t="str">
        <f t="shared" si="12"/>
        <v>#REF!</v>
      </c>
      <c r="G807" s="86" t="str">
        <f t="shared" si="13"/>
        <v>#REF!</v>
      </c>
      <c r="H807" s="86" t="str">
        <f t="shared" si="14"/>
        <v>#REF!</v>
      </c>
      <c r="I807" s="86" t="str">
        <f t="shared" si="15"/>
        <v>#REF!</v>
      </c>
    </row>
    <row r="808">
      <c r="B808" s="86" t="str">
        <f t="shared" si="1"/>
        <v>#REF!</v>
      </c>
      <c r="C808" s="86" t="str">
        <f t="shared" si="9"/>
        <v>#REF!</v>
      </c>
      <c r="D808" s="86" t="str">
        <f t="shared" si="10"/>
        <v>#REF!</v>
      </c>
      <c r="E808" s="86" t="str">
        <f t="shared" si="11"/>
        <v>#REF!</v>
      </c>
      <c r="F808" s="86" t="str">
        <f t="shared" si="12"/>
        <v>#REF!</v>
      </c>
      <c r="G808" s="86" t="str">
        <f t="shared" si="13"/>
        <v>#REF!</v>
      </c>
      <c r="H808" s="86" t="str">
        <f t="shared" si="14"/>
        <v>#REF!</v>
      </c>
      <c r="I808" s="86" t="str">
        <f t="shared" si="15"/>
        <v>#REF!</v>
      </c>
    </row>
    <row r="809">
      <c r="B809" s="86" t="str">
        <f t="shared" si="1"/>
        <v>#REF!</v>
      </c>
      <c r="C809" s="86" t="str">
        <f t="shared" si="9"/>
        <v>#REF!</v>
      </c>
      <c r="D809" s="86" t="str">
        <f t="shared" si="10"/>
        <v>#REF!</v>
      </c>
      <c r="E809" s="86" t="str">
        <f t="shared" si="11"/>
        <v>#REF!</v>
      </c>
      <c r="F809" s="86" t="str">
        <f t="shared" si="12"/>
        <v>#REF!</v>
      </c>
      <c r="G809" s="86" t="str">
        <f t="shared" si="13"/>
        <v>#REF!</v>
      </c>
      <c r="H809" s="86" t="str">
        <f t="shared" si="14"/>
        <v>#REF!</v>
      </c>
      <c r="I809" s="86" t="str">
        <f t="shared" si="15"/>
        <v>#REF!</v>
      </c>
    </row>
    <row r="810">
      <c r="B810" s="86" t="str">
        <f t="shared" si="1"/>
        <v>#REF!</v>
      </c>
      <c r="C810" s="86" t="str">
        <f t="shared" si="9"/>
        <v>#REF!</v>
      </c>
      <c r="D810" s="86" t="str">
        <f t="shared" si="10"/>
        <v>#REF!</v>
      </c>
      <c r="E810" s="86" t="str">
        <f t="shared" si="11"/>
        <v>#REF!</v>
      </c>
      <c r="F810" s="86" t="str">
        <f t="shared" si="12"/>
        <v>#REF!</v>
      </c>
      <c r="G810" s="86" t="str">
        <f t="shared" si="13"/>
        <v>#REF!</v>
      </c>
      <c r="H810" s="86" t="str">
        <f t="shared" si="14"/>
        <v>#REF!</v>
      </c>
      <c r="I810" s="86" t="str">
        <f t="shared" si="15"/>
        <v>#REF!</v>
      </c>
    </row>
    <row r="811">
      <c r="B811" s="86" t="str">
        <f t="shared" si="1"/>
        <v>#REF!</v>
      </c>
      <c r="C811" s="86" t="str">
        <f t="shared" si="9"/>
        <v>#REF!</v>
      </c>
      <c r="D811" s="86" t="str">
        <f t="shared" si="10"/>
        <v>#REF!</v>
      </c>
      <c r="E811" s="86" t="str">
        <f t="shared" si="11"/>
        <v>#REF!</v>
      </c>
      <c r="F811" s="86" t="str">
        <f t="shared" si="12"/>
        <v>#REF!</v>
      </c>
      <c r="G811" s="86" t="str">
        <f t="shared" si="13"/>
        <v>#REF!</v>
      </c>
      <c r="H811" s="86" t="str">
        <f t="shared" si="14"/>
        <v>#REF!</v>
      </c>
      <c r="I811" s="86" t="str">
        <f t="shared" si="15"/>
        <v>#REF!</v>
      </c>
    </row>
    <row r="812">
      <c r="B812" s="86" t="str">
        <f t="shared" si="1"/>
        <v>#REF!</v>
      </c>
      <c r="C812" s="86" t="str">
        <f t="shared" si="9"/>
        <v>#REF!</v>
      </c>
      <c r="D812" s="86" t="str">
        <f t="shared" si="10"/>
        <v>#REF!</v>
      </c>
      <c r="E812" s="86" t="str">
        <f t="shared" si="11"/>
        <v>#REF!</v>
      </c>
      <c r="F812" s="86" t="str">
        <f t="shared" si="12"/>
        <v>#REF!</v>
      </c>
      <c r="G812" s="86" t="str">
        <f t="shared" si="13"/>
        <v>#REF!</v>
      </c>
      <c r="H812" s="86" t="str">
        <f t="shared" si="14"/>
        <v>#REF!</v>
      </c>
      <c r="I812" s="86" t="str">
        <f t="shared" si="15"/>
        <v>#REF!</v>
      </c>
    </row>
    <row r="813">
      <c r="B813" s="86" t="str">
        <f t="shared" si="1"/>
        <v>#REF!</v>
      </c>
      <c r="C813" s="86" t="str">
        <f t="shared" si="9"/>
        <v>#REF!</v>
      </c>
      <c r="D813" s="86" t="str">
        <f t="shared" si="10"/>
        <v>#REF!</v>
      </c>
      <c r="E813" s="86" t="str">
        <f t="shared" si="11"/>
        <v>#REF!</v>
      </c>
      <c r="F813" s="86" t="str">
        <f t="shared" si="12"/>
        <v>#REF!</v>
      </c>
      <c r="G813" s="86" t="str">
        <f t="shared" si="13"/>
        <v>#REF!</v>
      </c>
      <c r="H813" s="86" t="str">
        <f t="shared" si="14"/>
        <v>#REF!</v>
      </c>
      <c r="I813" s="86" t="str">
        <f t="shared" si="15"/>
        <v>#REF!</v>
      </c>
    </row>
    <row r="814">
      <c r="B814" s="86" t="str">
        <f t="shared" si="1"/>
        <v>#REF!</v>
      </c>
      <c r="C814" s="86" t="str">
        <f t="shared" si="9"/>
        <v>#REF!</v>
      </c>
      <c r="D814" s="86" t="str">
        <f t="shared" si="10"/>
        <v>#REF!</v>
      </c>
      <c r="E814" s="86" t="str">
        <f t="shared" si="11"/>
        <v>#REF!</v>
      </c>
      <c r="F814" s="86" t="str">
        <f t="shared" si="12"/>
        <v>#REF!</v>
      </c>
      <c r="G814" s="86" t="str">
        <f t="shared" si="13"/>
        <v>#REF!</v>
      </c>
      <c r="H814" s="86" t="str">
        <f t="shared" si="14"/>
        <v>#REF!</v>
      </c>
      <c r="I814" s="86" t="str">
        <f t="shared" si="15"/>
        <v>#REF!</v>
      </c>
    </row>
    <row r="815">
      <c r="B815" s="86" t="str">
        <f t="shared" si="1"/>
        <v>#REF!</v>
      </c>
      <c r="C815" s="86" t="str">
        <f t="shared" si="9"/>
        <v>#REF!</v>
      </c>
      <c r="D815" s="86" t="str">
        <f t="shared" si="10"/>
        <v>#REF!</v>
      </c>
      <c r="E815" s="86" t="str">
        <f t="shared" si="11"/>
        <v>#REF!</v>
      </c>
      <c r="F815" s="86" t="str">
        <f t="shared" si="12"/>
        <v>#REF!</v>
      </c>
      <c r="G815" s="86" t="str">
        <f t="shared" si="13"/>
        <v>#REF!</v>
      </c>
      <c r="H815" s="86" t="str">
        <f t="shared" si="14"/>
        <v>#REF!</v>
      </c>
      <c r="I815" s="86" t="str">
        <f t="shared" si="15"/>
        <v>#REF!</v>
      </c>
    </row>
    <row r="816">
      <c r="B816" s="86" t="str">
        <f t="shared" si="1"/>
        <v>#REF!</v>
      </c>
      <c r="C816" s="86" t="str">
        <f t="shared" si="9"/>
        <v>#REF!</v>
      </c>
      <c r="D816" s="86" t="str">
        <f t="shared" si="10"/>
        <v>#REF!</v>
      </c>
      <c r="E816" s="86" t="str">
        <f t="shared" si="11"/>
        <v>#REF!</v>
      </c>
      <c r="F816" s="86" t="str">
        <f t="shared" si="12"/>
        <v>#REF!</v>
      </c>
      <c r="G816" s="86" t="str">
        <f t="shared" si="13"/>
        <v>#REF!</v>
      </c>
      <c r="H816" s="86" t="str">
        <f t="shared" si="14"/>
        <v>#REF!</v>
      </c>
      <c r="I816" s="86" t="str">
        <f t="shared" si="15"/>
        <v>#REF!</v>
      </c>
    </row>
    <row r="817">
      <c r="B817" s="86" t="str">
        <f t="shared" si="1"/>
        <v>#REF!</v>
      </c>
      <c r="C817" s="86" t="str">
        <f t="shared" si="9"/>
        <v>#REF!</v>
      </c>
      <c r="D817" s="86" t="str">
        <f t="shared" si="10"/>
        <v>#REF!</v>
      </c>
      <c r="E817" s="86" t="str">
        <f t="shared" si="11"/>
        <v>#REF!</v>
      </c>
      <c r="F817" s="86" t="str">
        <f t="shared" si="12"/>
        <v>#REF!</v>
      </c>
      <c r="G817" s="86" t="str">
        <f t="shared" si="13"/>
        <v>#REF!</v>
      </c>
      <c r="H817" s="86" t="str">
        <f t="shared" si="14"/>
        <v>#REF!</v>
      </c>
      <c r="I817" s="86" t="str">
        <f t="shared" si="15"/>
        <v>#REF!</v>
      </c>
    </row>
    <row r="818">
      <c r="B818" s="86" t="str">
        <f t="shared" si="1"/>
        <v>#REF!</v>
      </c>
      <c r="C818" s="86" t="str">
        <f t="shared" si="9"/>
        <v>#REF!</v>
      </c>
      <c r="D818" s="86" t="str">
        <f t="shared" si="10"/>
        <v>#REF!</v>
      </c>
      <c r="E818" s="86" t="str">
        <f t="shared" si="11"/>
        <v>#REF!</v>
      </c>
      <c r="F818" s="86" t="str">
        <f t="shared" si="12"/>
        <v>#REF!</v>
      </c>
      <c r="G818" s="86" t="str">
        <f t="shared" si="13"/>
        <v>#REF!</v>
      </c>
      <c r="H818" s="86" t="str">
        <f t="shared" si="14"/>
        <v>#REF!</v>
      </c>
      <c r="I818" s="86" t="str">
        <f t="shared" si="15"/>
        <v>#REF!</v>
      </c>
    </row>
    <row r="819">
      <c r="B819" s="86" t="str">
        <f t="shared" si="1"/>
        <v>#REF!</v>
      </c>
      <c r="C819" s="86" t="str">
        <f t="shared" si="9"/>
        <v>#REF!</v>
      </c>
      <c r="D819" s="86" t="str">
        <f t="shared" si="10"/>
        <v>#REF!</v>
      </c>
      <c r="E819" s="86" t="str">
        <f t="shared" si="11"/>
        <v>#REF!</v>
      </c>
      <c r="F819" s="86" t="str">
        <f t="shared" si="12"/>
        <v>#REF!</v>
      </c>
      <c r="G819" s="86" t="str">
        <f t="shared" si="13"/>
        <v>#REF!</v>
      </c>
      <c r="H819" s="86" t="str">
        <f t="shared" si="14"/>
        <v>#REF!</v>
      </c>
      <c r="I819" s="86" t="str">
        <f t="shared" si="15"/>
        <v>#REF!</v>
      </c>
    </row>
    <row r="820">
      <c r="B820" s="86" t="str">
        <f t="shared" si="1"/>
        <v>#REF!</v>
      </c>
      <c r="C820" s="86" t="str">
        <f t="shared" si="9"/>
        <v>#REF!</v>
      </c>
      <c r="D820" s="86" t="str">
        <f t="shared" si="10"/>
        <v>#REF!</v>
      </c>
      <c r="E820" s="86" t="str">
        <f t="shared" si="11"/>
        <v>#REF!</v>
      </c>
      <c r="F820" s="86" t="str">
        <f t="shared" si="12"/>
        <v>#REF!</v>
      </c>
      <c r="G820" s="86" t="str">
        <f t="shared" si="13"/>
        <v>#REF!</v>
      </c>
      <c r="H820" s="86" t="str">
        <f t="shared" si="14"/>
        <v>#REF!</v>
      </c>
      <c r="I820" s="86" t="str">
        <f t="shared" si="15"/>
        <v>#REF!</v>
      </c>
    </row>
    <row r="821">
      <c r="B821" s="86" t="str">
        <f t="shared" si="1"/>
        <v>#REF!</v>
      </c>
      <c r="C821" s="86" t="str">
        <f t="shared" si="9"/>
        <v>#REF!</v>
      </c>
      <c r="D821" s="86" t="str">
        <f t="shared" si="10"/>
        <v>#REF!</v>
      </c>
      <c r="E821" s="86" t="str">
        <f t="shared" si="11"/>
        <v>#REF!</v>
      </c>
      <c r="F821" s="86" t="str">
        <f t="shared" si="12"/>
        <v>#REF!</v>
      </c>
      <c r="G821" s="86" t="str">
        <f t="shared" si="13"/>
        <v>#REF!</v>
      </c>
      <c r="H821" s="86" t="str">
        <f t="shared" si="14"/>
        <v>#REF!</v>
      </c>
      <c r="I821" s="86" t="str">
        <f t="shared" si="15"/>
        <v>#REF!</v>
      </c>
    </row>
    <row r="822">
      <c r="B822" s="86" t="str">
        <f t="shared" si="1"/>
        <v>#REF!</v>
      </c>
      <c r="C822" s="86" t="str">
        <f t="shared" si="9"/>
        <v>#REF!</v>
      </c>
      <c r="D822" s="86" t="str">
        <f t="shared" si="10"/>
        <v>#REF!</v>
      </c>
      <c r="E822" s="86" t="str">
        <f t="shared" si="11"/>
        <v>#REF!</v>
      </c>
      <c r="F822" s="86" t="str">
        <f t="shared" si="12"/>
        <v>#REF!</v>
      </c>
      <c r="G822" s="86" t="str">
        <f t="shared" si="13"/>
        <v>#REF!</v>
      </c>
      <c r="H822" s="86" t="str">
        <f t="shared" si="14"/>
        <v>#REF!</v>
      </c>
      <c r="I822" s="86" t="str">
        <f t="shared" si="15"/>
        <v>#REF!</v>
      </c>
    </row>
    <row r="823">
      <c r="B823" s="86" t="str">
        <f t="shared" si="1"/>
        <v>#REF!</v>
      </c>
      <c r="C823" s="86" t="str">
        <f t="shared" si="9"/>
        <v>#REF!</v>
      </c>
      <c r="D823" s="86" t="str">
        <f t="shared" si="10"/>
        <v>#REF!</v>
      </c>
      <c r="E823" s="86" t="str">
        <f t="shared" si="11"/>
        <v>#REF!</v>
      </c>
      <c r="F823" s="86" t="str">
        <f t="shared" si="12"/>
        <v>#REF!</v>
      </c>
      <c r="G823" s="86" t="str">
        <f t="shared" si="13"/>
        <v>#REF!</v>
      </c>
      <c r="H823" s="86" t="str">
        <f t="shared" si="14"/>
        <v>#REF!</v>
      </c>
      <c r="I823" s="86" t="str">
        <f t="shared" si="15"/>
        <v>#REF!</v>
      </c>
    </row>
    <row r="824">
      <c r="B824" s="86" t="str">
        <f t="shared" si="1"/>
        <v>#REF!</v>
      </c>
      <c r="C824" s="86" t="str">
        <f t="shared" si="9"/>
        <v>#REF!</v>
      </c>
      <c r="D824" s="86" t="str">
        <f t="shared" si="10"/>
        <v>#REF!</v>
      </c>
      <c r="E824" s="86" t="str">
        <f t="shared" si="11"/>
        <v>#REF!</v>
      </c>
      <c r="F824" s="86" t="str">
        <f t="shared" si="12"/>
        <v>#REF!</v>
      </c>
      <c r="G824" s="86" t="str">
        <f t="shared" si="13"/>
        <v>#REF!</v>
      </c>
      <c r="H824" s="86" t="str">
        <f t="shared" si="14"/>
        <v>#REF!</v>
      </c>
      <c r="I824" s="86" t="str">
        <f t="shared" si="15"/>
        <v>#REF!</v>
      </c>
    </row>
    <row r="825">
      <c r="B825" s="86" t="str">
        <f t="shared" si="1"/>
        <v>#REF!</v>
      </c>
      <c r="C825" s="86" t="str">
        <f t="shared" si="9"/>
        <v>#REF!</v>
      </c>
      <c r="D825" s="86" t="str">
        <f t="shared" si="10"/>
        <v>#REF!</v>
      </c>
      <c r="E825" s="86" t="str">
        <f t="shared" si="11"/>
        <v>#REF!</v>
      </c>
      <c r="F825" s="86" t="str">
        <f t="shared" si="12"/>
        <v>#REF!</v>
      </c>
      <c r="G825" s="86" t="str">
        <f t="shared" si="13"/>
        <v>#REF!</v>
      </c>
      <c r="H825" s="86" t="str">
        <f t="shared" si="14"/>
        <v>#REF!</v>
      </c>
      <c r="I825" s="86" t="str">
        <f t="shared" si="15"/>
        <v>#REF!</v>
      </c>
    </row>
    <row r="826">
      <c r="B826" s="86" t="str">
        <f t="shared" si="1"/>
        <v>#REF!</v>
      </c>
      <c r="C826" s="86" t="str">
        <f t="shared" si="9"/>
        <v>#REF!</v>
      </c>
      <c r="D826" s="86" t="str">
        <f t="shared" si="10"/>
        <v>#REF!</v>
      </c>
      <c r="E826" s="86" t="str">
        <f t="shared" si="11"/>
        <v>#REF!</v>
      </c>
      <c r="F826" s="86" t="str">
        <f t="shared" si="12"/>
        <v>#REF!</v>
      </c>
      <c r="G826" s="86" t="str">
        <f t="shared" si="13"/>
        <v>#REF!</v>
      </c>
      <c r="H826" s="86" t="str">
        <f t="shared" si="14"/>
        <v>#REF!</v>
      </c>
      <c r="I826" s="86" t="str">
        <f t="shared" si="15"/>
        <v>#REF!</v>
      </c>
    </row>
    <row r="827">
      <c r="B827" s="86" t="str">
        <f t="shared" si="1"/>
        <v>#REF!</v>
      </c>
      <c r="C827" s="86" t="str">
        <f t="shared" si="9"/>
        <v>#REF!</v>
      </c>
      <c r="D827" s="86" t="str">
        <f t="shared" si="10"/>
        <v>#REF!</v>
      </c>
      <c r="E827" s="86" t="str">
        <f t="shared" si="11"/>
        <v>#REF!</v>
      </c>
      <c r="F827" s="86" t="str">
        <f t="shared" si="12"/>
        <v>#REF!</v>
      </c>
      <c r="G827" s="86" t="str">
        <f t="shared" si="13"/>
        <v>#REF!</v>
      </c>
      <c r="H827" s="86" t="str">
        <f t="shared" si="14"/>
        <v>#REF!</v>
      </c>
      <c r="I827" s="86" t="str">
        <f t="shared" si="15"/>
        <v>#REF!</v>
      </c>
    </row>
    <row r="828">
      <c r="B828" s="86" t="str">
        <f t="shared" si="1"/>
        <v>#REF!</v>
      </c>
      <c r="C828" s="86" t="str">
        <f t="shared" si="9"/>
        <v>#REF!</v>
      </c>
      <c r="D828" s="86" t="str">
        <f t="shared" si="10"/>
        <v>#REF!</v>
      </c>
      <c r="E828" s="86" t="str">
        <f t="shared" si="11"/>
        <v>#REF!</v>
      </c>
      <c r="F828" s="86" t="str">
        <f t="shared" si="12"/>
        <v>#REF!</v>
      </c>
      <c r="G828" s="86" t="str">
        <f t="shared" si="13"/>
        <v>#REF!</v>
      </c>
      <c r="H828" s="86" t="str">
        <f t="shared" si="14"/>
        <v>#REF!</v>
      </c>
      <c r="I828" s="86" t="str">
        <f t="shared" si="15"/>
        <v>#REF!</v>
      </c>
    </row>
    <row r="829">
      <c r="B829" s="86" t="str">
        <f t="shared" si="1"/>
        <v>#REF!</v>
      </c>
      <c r="C829" s="86" t="str">
        <f t="shared" si="9"/>
        <v>#REF!</v>
      </c>
      <c r="D829" s="86" t="str">
        <f t="shared" si="10"/>
        <v>#REF!</v>
      </c>
      <c r="E829" s="86" t="str">
        <f t="shared" si="11"/>
        <v>#REF!</v>
      </c>
      <c r="F829" s="86" t="str">
        <f t="shared" si="12"/>
        <v>#REF!</v>
      </c>
      <c r="G829" s="86" t="str">
        <f t="shared" si="13"/>
        <v>#REF!</v>
      </c>
      <c r="H829" s="86" t="str">
        <f t="shared" si="14"/>
        <v>#REF!</v>
      </c>
      <c r="I829" s="86" t="str">
        <f t="shared" si="15"/>
        <v>#REF!</v>
      </c>
    </row>
    <row r="830">
      <c r="B830" s="86" t="str">
        <f t="shared" si="1"/>
        <v>#REF!</v>
      </c>
      <c r="C830" s="86" t="str">
        <f t="shared" si="9"/>
        <v>#REF!</v>
      </c>
      <c r="D830" s="86" t="str">
        <f t="shared" si="10"/>
        <v>#REF!</v>
      </c>
      <c r="E830" s="86" t="str">
        <f t="shared" si="11"/>
        <v>#REF!</v>
      </c>
      <c r="F830" s="86" t="str">
        <f t="shared" si="12"/>
        <v>#REF!</v>
      </c>
      <c r="G830" s="86" t="str">
        <f t="shared" si="13"/>
        <v>#REF!</v>
      </c>
      <c r="H830" s="86" t="str">
        <f t="shared" si="14"/>
        <v>#REF!</v>
      </c>
      <c r="I830" s="86" t="str">
        <f t="shared" si="15"/>
        <v>#REF!</v>
      </c>
    </row>
    <row r="831">
      <c r="B831" s="86" t="str">
        <f t="shared" si="1"/>
        <v>#REF!</v>
      </c>
      <c r="C831" s="86" t="str">
        <f t="shared" si="9"/>
        <v>#REF!</v>
      </c>
      <c r="D831" s="86" t="str">
        <f t="shared" si="10"/>
        <v>#REF!</v>
      </c>
      <c r="E831" s="86" t="str">
        <f t="shared" si="11"/>
        <v>#REF!</v>
      </c>
      <c r="F831" s="86" t="str">
        <f t="shared" si="12"/>
        <v>#REF!</v>
      </c>
      <c r="G831" s="86" t="str">
        <f t="shared" si="13"/>
        <v>#REF!</v>
      </c>
      <c r="H831" s="86" t="str">
        <f t="shared" si="14"/>
        <v>#REF!</v>
      </c>
      <c r="I831" s="86" t="str">
        <f t="shared" si="15"/>
        <v>#REF!</v>
      </c>
    </row>
    <row r="832">
      <c r="B832" s="86" t="str">
        <f t="shared" si="1"/>
        <v>#REF!</v>
      </c>
      <c r="C832" s="86" t="str">
        <f t="shared" si="9"/>
        <v>#REF!</v>
      </c>
      <c r="D832" s="86" t="str">
        <f t="shared" si="10"/>
        <v>#REF!</v>
      </c>
      <c r="E832" s="86" t="str">
        <f t="shared" si="11"/>
        <v>#REF!</v>
      </c>
      <c r="F832" s="86" t="str">
        <f t="shared" si="12"/>
        <v>#REF!</v>
      </c>
      <c r="G832" s="86" t="str">
        <f t="shared" si="13"/>
        <v>#REF!</v>
      </c>
      <c r="H832" s="86" t="str">
        <f t="shared" si="14"/>
        <v>#REF!</v>
      </c>
      <c r="I832" s="86" t="str">
        <f t="shared" si="15"/>
        <v>#REF!</v>
      </c>
    </row>
    <row r="833">
      <c r="B833" s="86" t="str">
        <f t="shared" si="1"/>
        <v>#REF!</v>
      </c>
      <c r="C833" s="86" t="str">
        <f t="shared" si="9"/>
        <v>#REF!</v>
      </c>
      <c r="D833" s="86" t="str">
        <f t="shared" si="10"/>
        <v>#REF!</v>
      </c>
      <c r="E833" s="86" t="str">
        <f t="shared" si="11"/>
        <v>#REF!</v>
      </c>
      <c r="F833" s="86" t="str">
        <f t="shared" si="12"/>
        <v>#REF!</v>
      </c>
      <c r="G833" s="86" t="str">
        <f t="shared" si="13"/>
        <v>#REF!</v>
      </c>
      <c r="H833" s="86" t="str">
        <f t="shared" si="14"/>
        <v>#REF!</v>
      </c>
      <c r="I833" s="86" t="str">
        <f t="shared" si="15"/>
        <v>#REF!</v>
      </c>
    </row>
    <row r="834">
      <c r="B834" s="86" t="str">
        <f t="shared" si="1"/>
        <v>#REF!</v>
      </c>
      <c r="C834" s="86" t="str">
        <f t="shared" si="9"/>
        <v>#REF!</v>
      </c>
      <c r="D834" s="86" t="str">
        <f t="shared" si="10"/>
        <v>#REF!</v>
      </c>
      <c r="E834" s="86" t="str">
        <f t="shared" si="11"/>
        <v>#REF!</v>
      </c>
      <c r="F834" s="86" t="str">
        <f t="shared" si="12"/>
        <v>#REF!</v>
      </c>
      <c r="G834" s="86" t="str">
        <f t="shared" si="13"/>
        <v>#REF!</v>
      </c>
      <c r="H834" s="86" t="str">
        <f t="shared" si="14"/>
        <v>#REF!</v>
      </c>
      <c r="I834" s="86" t="str">
        <f t="shared" si="15"/>
        <v>#REF!</v>
      </c>
    </row>
    <row r="835">
      <c r="B835" s="86" t="str">
        <f t="shared" si="1"/>
        <v>#REF!</v>
      </c>
      <c r="C835" s="86" t="str">
        <f t="shared" si="9"/>
        <v>#REF!</v>
      </c>
      <c r="D835" s="86" t="str">
        <f t="shared" si="10"/>
        <v>#REF!</v>
      </c>
      <c r="E835" s="86" t="str">
        <f t="shared" si="11"/>
        <v>#REF!</v>
      </c>
      <c r="F835" s="86" t="str">
        <f t="shared" si="12"/>
        <v>#REF!</v>
      </c>
      <c r="G835" s="86" t="str">
        <f t="shared" si="13"/>
        <v>#REF!</v>
      </c>
      <c r="H835" s="86" t="str">
        <f t="shared" si="14"/>
        <v>#REF!</v>
      </c>
      <c r="I835" s="86" t="str">
        <f t="shared" si="15"/>
        <v>#REF!</v>
      </c>
    </row>
    <row r="836">
      <c r="B836" s="86" t="str">
        <f t="shared" si="1"/>
        <v>#REF!</v>
      </c>
      <c r="C836" s="86" t="str">
        <f t="shared" si="9"/>
        <v>#REF!</v>
      </c>
      <c r="D836" s="86" t="str">
        <f t="shared" si="10"/>
        <v>#REF!</v>
      </c>
      <c r="E836" s="86" t="str">
        <f t="shared" si="11"/>
        <v>#REF!</v>
      </c>
      <c r="F836" s="86" t="str">
        <f t="shared" si="12"/>
        <v>#REF!</v>
      </c>
      <c r="G836" s="86" t="str">
        <f t="shared" si="13"/>
        <v>#REF!</v>
      </c>
      <c r="H836" s="86" t="str">
        <f t="shared" si="14"/>
        <v>#REF!</v>
      </c>
      <c r="I836" s="86" t="str">
        <f t="shared" si="15"/>
        <v>#REF!</v>
      </c>
    </row>
    <row r="837">
      <c r="B837" s="86" t="str">
        <f t="shared" si="1"/>
        <v>#REF!</v>
      </c>
      <c r="C837" s="86" t="str">
        <f t="shared" si="9"/>
        <v>#REF!</v>
      </c>
      <c r="D837" s="86" t="str">
        <f t="shared" si="10"/>
        <v>#REF!</v>
      </c>
      <c r="E837" s="86" t="str">
        <f t="shared" si="11"/>
        <v>#REF!</v>
      </c>
      <c r="F837" s="86" t="str">
        <f t="shared" si="12"/>
        <v>#REF!</v>
      </c>
      <c r="G837" s="86" t="str">
        <f t="shared" si="13"/>
        <v>#REF!</v>
      </c>
      <c r="H837" s="86" t="str">
        <f t="shared" si="14"/>
        <v>#REF!</v>
      </c>
      <c r="I837" s="86" t="str">
        <f t="shared" si="15"/>
        <v>#REF!</v>
      </c>
    </row>
    <row r="838">
      <c r="B838" s="86" t="str">
        <f t="shared" si="1"/>
        <v>#REF!</v>
      </c>
      <c r="C838" s="86" t="str">
        <f t="shared" si="9"/>
        <v>#REF!</v>
      </c>
      <c r="D838" s="86" t="str">
        <f t="shared" si="10"/>
        <v>#REF!</v>
      </c>
      <c r="E838" s="86" t="str">
        <f t="shared" si="11"/>
        <v>#REF!</v>
      </c>
      <c r="F838" s="86" t="str">
        <f t="shared" si="12"/>
        <v>#REF!</v>
      </c>
      <c r="G838" s="86" t="str">
        <f t="shared" si="13"/>
        <v>#REF!</v>
      </c>
      <c r="H838" s="86" t="str">
        <f t="shared" si="14"/>
        <v>#REF!</v>
      </c>
      <c r="I838" s="86" t="str">
        <f t="shared" si="15"/>
        <v>#REF!</v>
      </c>
    </row>
    <row r="839">
      <c r="B839" s="86" t="str">
        <f t="shared" si="1"/>
        <v>#REF!</v>
      </c>
      <c r="C839" s="86" t="str">
        <f t="shared" si="9"/>
        <v>#REF!</v>
      </c>
      <c r="D839" s="86" t="str">
        <f t="shared" si="10"/>
        <v>#REF!</v>
      </c>
      <c r="E839" s="86" t="str">
        <f t="shared" si="11"/>
        <v>#REF!</v>
      </c>
      <c r="F839" s="86" t="str">
        <f t="shared" si="12"/>
        <v>#REF!</v>
      </c>
      <c r="G839" s="86" t="str">
        <f t="shared" si="13"/>
        <v>#REF!</v>
      </c>
      <c r="H839" s="86" t="str">
        <f t="shared" si="14"/>
        <v>#REF!</v>
      </c>
      <c r="I839" s="86" t="str">
        <f t="shared" si="15"/>
        <v>#REF!</v>
      </c>
    </row>
    <row r="840">
      <c r="B840" s="86" t="str">
        <f t="shared" si="1"/>
        <v>#REF!</v>
      </c>
      <c r="C840" s="86" t="str">
        <f t="shared" si="9"/>
        <v>#REF!</v>
      </c>
      <c r="D840" s="86" t="str">
        <f t="shared" si="10"/>
        <v>#REF!</v>
      </c>
      <c r="E840" s="86" t="str">
        <f t="shared" si="11"/>
        <v>#REF!</v>
      </c>
      <c r="F840" s="86" t="str">
        <f t="shared" si="12"/>
        <v>#REF!</v>
      </c>
      <c r="G840" s="86" t="str">
        <f t="shared" si="13"/>
        <v>#REF!</v>
      </c>
      <c r="H840" s="86" t="str">
        <f t="shared" si="14"/>
        <v>#REF!</v>
      </c>
      <c r="I840" s="86" t="str">
        <f t="shared" si="15"/>
        <v>#REF!</v>
      </c>
    </row>
    <row r="841">
      <c r="B841" s="86" t="str">
        <f t="shared" si="1"/>
        <v>#REF!</v>
      </c>
      <c r="C841" s="86" t="str">
        <f t="shared" si="9"/>
        <v>#REF!</v>
      </c>
      <c r="D841" s="86" t="str">
        <f t="shared" si="10"/>
        <v>#REF!</v>
      </c>
      <c r="E841" s="86" t="str">
        <f t="shared" si="11"/>
        <v>#REF!</v>
      </c>
      <c r="F841" s="86" t="str">
        <f t="shared" si="12"/>
        <v>#REF!</v>
      </c>
      <c r="G841" s="86" t="str">
        <f t="shared" si="13"/>
        <v>#REF!</v>
      </c>
      <c r="H841" s="86" t="str">
        <f t="shared" si="14"/>
        <v>#REF!</v>
      </c>
      <c r="I841" s="86" t="str">
        <f t="shared" si="15"/>
        <v>#REF!</v>
      </c>
    </row>
    <row r="842">
      <c r="B842" s="86" t="str">
        <f t="shared" si="1"/>
        <v>#REF!</v>
      </c>
      <c r="C842" s="86" t="str">
        <f t="shared" si="9"/>
        <v>#REF!</v>
      </c>
      <c r="D842" s="86" t="str">
        <f t="shared" si="10"/>
        <v>#REF!</v>
      </c>
      <c r="E842" s="86" t="str">
        <f t="shared" si="11"/>
        <v>#REF!</v>
      </c>
      <c r="F842" s="86" t="str">
        <f t="shared" si="12"/>
        <v>#REF!</v>
      </c>
      <c r="G842" s="86" t="str">
        <f t="shared" si="13"/>
        <v>#REF!</v>
      </c>
      <c r="H842" s="86" t="str">
        <f t="shared" si="14"/>
        <v>#REF!</v>
      </c>
      <c r="I842" s="86" t="str">
        <f t="shared" si="15"/>
        <v>#REF!</v>
      </c>
    </row>
    <row r="843">
      <c r="B843" s="86" t="str">
        <f t="shared" si="1"/>
        <v>#REF!</v>
      </c>
      <c r="C843" s="86" t="str">
        <f t="shared" si="9"/>
        <v>#REF!</v>
      </c>
      <c r="D843" s="86" t="str">
        <f t="shared" si="10"/>
        <v>#REF!</v>
      </c>
      <c r="E843" s="86" t="str">
        <f t="shared" si="11"/>
        <v>#REF!</v>
      </c>
      <c r="F843" s="86" t="str">
        <f t="shared" si="12"/>
        <v>#REF!</v>
      </c>
      <c r="G843" s="86" t="str">
        <f t="shared" si="13"/>
        <v>#REF!</v>
      </c>
      <c r="H843" s="86" t="str">
        <f t="shared" si="14"/>
        <v>#REF!</v>
      </c>
      <c r="I843" s="86" t="str">
        <f t="shared" si="15"/>
        <v>#REF!</v>
      </c>
    </row>
    <row r="844">
      <c r="B844" s="86" t="str">
        <f t="shared" si="1"/>
        <v>#REF!</v>
      </c>
      <c r="C844" s="86" t="str">
        <f t="shared" si="9"/>
        <v>#REF!</v>
      </c>
      <c r="D844" s="86" t="str">
        <f t="shared" si="10"/>
        <v>#REF!</v>
      </c>
      <c r="E844" s="86" t="str">
        <f t="shared" si="11"/>
        <v>#REF!</v>
      </c>
      <c r="F844" s="86" t="str">
        <f t="shared" si="12"/>
        <v>#REF!</v>
      </c>
      <c r="G844" s="86" t="str">
        <f t="shared" si="13"/>
        <v>#REF!</v>
      </c>
      <c r="H844" s="86" t="str">
        <f t="shared" si="14"/>
        <v>#REF!</v>
      </c>
      <c r="I844" s="86" t="str">
        <f t="shared" si="15"/>
        <v>#REF!</v>
      </c>
    </row>
    <row r="845">
      <c r="B845" s="86" t="str">
        <f t="shared" si="1"/>
        <v>#REF!</v>
      </c>
      <c r="C845" s="86" t="str">
        <f t="shared" si="9"/>
        <v>#REF!</v>
      </c>
      <c r="D845" s="86" t="str">
        <f t="shared" si="10"/>
        <v>#REF!</v>
      </c>
      <c r="E845" s="86" t="str">
        <f t="shared" si="11"/>
        <v>#REF!</v>
      </c>
      <c r="F845" s="86" t="str">
        <f t="shared" si="12"/>
        <v>#REF!</v>
      </c>
      <c r="G845" s="86" t="str">
        <f t="shared" si="13"/>
        <v>#REF!</v>
      </c>
      <c r="H845" s="86" t="str">
        <f t="shared" si="14"/>
        <v>#REF!</v>
      </c>
      <c r="I845" s="86" t="str">
        <f t="shared" si="15"/>
        <v>#REF!</v>
      </c>
    </row>
    <row r="846">
      <c r="B846" s="86" t="str">
        <f t="shared" si="1"/>
        <v>#REF!</v>
      </c>
      <c r="C846" s="86" t="str">
        <f t="shared" si="9"/>
        <v>#REF!</v>
      </c>
      <c r="D846" s="86" t="str">
        <f t="shared" si="10"/>
        <v>#REF!</v>
      </c>
      <c r="E846" s="86" t="str">
        <f t="shared" si="11"/>
        <v>#REF!</v>
      </c>
      <c r="F846" s="86" t="str">
        <f t="shared" si="12"/>
        <v>#REF!</v>
      </c>
      <c r="G846" s="86" t="str">
        <f t="shared" si="13"/>
        <v>#REF!</v>
      </c>
      <c r="H846" s="86" t="str">
        <f t="shared" si="14"/>
        <v>#REF!</v>
      </c>
      <c r="I846" s="86" t="str">
        <f t="shared" si="15"/>
        <v>#REF!</v>
      </c>
    </row>
    <row r="847">
      <c r="B847" s="86" t="str">
        <f t="shared" si="1"/>
        <v>#REF!</v>
      </c>
      <c r="C847" s="86" t="str">
        <f t="shared" si="9"/>
        <v>#REF!</v>
      </c>
      <c r="D847" s="86" t="str">
        <f t="shared" si="10"/>
        <v>#REF!</v>
      </c>
      <c r="E847" s="86" t="str">
        <f t="shared" si="11"/>
        <v>#REF!</v>
      </c>
      <c r="F847" s="86" t="str">
        <f t="shared" si="12"/>
        <v>#REF!</v>
      </c>
      <c r="G847" s="86" t="str">
        <f t="shared" si="13"/>
        <v>#REF!</v>
      </c>
      <c r="H847" s="86" t="str">
        <f t="shared" si="14"/>
        <v>#REF!</v>
      </c>
      <c r="I847" s="86" t="str">
        <f t="shared" si="15"/>
        <v>#REF!</v>
      </c>
    </row>
    <row r="848">
      <c r="B848" s="86" t="str">
        <f t="shared" si="1"/>
        <v>#REF!</v>
      </c>
      <c r="C848" s="86" t="str">
        <f t="shared" si="9"/>
        <v>#REF!</v>
      </c>
      <c r="D848" s="86" t="str">
        <f t="shared" si="10"/>
        <v>#REF!</v>
      </c>
      <c r="E848" s="86" t="str">
        <f t="shared" si="11"/>
        <v>#REF!</v>
      </c>
      <c r="F848" s="86" t="str">
        <f t="shared" si="12"/>
        <v>#REF!</v>
      </c>
      <c r="G848" s="86" t="str">
        <f t="shared" si="13"/>
        <v>#REF!</v>
      </c>
      <c r="H848" s="86" t="str">
        <f t="shared" si="14"/>
        <v>#REF!</v>
      </c>
      <c r="I848" s="86" t="str">
        <f t="shared" si="15"/>
        <v>#REF!</v>
      </c>
    </row>
    <row r="849">
      <c r="B849" s="86" t="str">
        <f t="shared" si="1"/>
        <v>#REF!</v>
      </c>
      <c r="C849" s="86" t="str">
        <f t="shared" si="9"/>
        <v>#REF!</v>
      </c>
      <c r="D849" s="86" t="str">
        <f t="shared" si="10"/>
        <v>#REF!</v>
      </c>
      <c r="E849" s="86" t="str">
        <f t="shared" si="11"/>
        <v>#REF!</v>
      </c>
      <c r="F849" s="86" t="str">
        <f t="shared" si="12"/>
        <v>#REF!</v>
      </c>
      <c r="G849" s="86" t="str">
        <f t="shared" si="13"/>
        <v>#REF!</v>
      </c>
      <c r="H849" s="86" t="str">
        <f t="shared" si="14"/>
        <v>#REF!</v>
      </c>
      <c r="I849" s="86" t="str">
        <f t="shared" si="15"/>
        <v>#REF!</v>
      </c>
    </row>
    <row r="850">
      <c r="B850" s="86" t="str">
        <f t="shared" si="1"/>
        <v>#REF!</v>
      </c>
      <c r="C850" s="86" t="str">
        <f t="shared" si="9"/>
        <v>#REF!</v>
      </c>
      <c r="D850" s="86" t="str">
        <f t="shared" si="10"/>
        <v>#REF!</v>
      </c>
      <c r="E850" s="86" t="str">
        <f t="shared" si="11"/>
        <v>#REF!</v>
      </c>
      <c r="F850" s="86" t="str">
        <f t="shared" si="12"/>
        <v>#REF!</v>
      </c>
      <c r="G850" s="86" t="str">
        <f t="shared" si="13"/>
        <v>#REF!</v>
      </c>
      <c r="H850" s="86" t="str">
        <f t="shared" si="14"/>
        <v>#REF!</v>
      </c>
      <c r="I850" s="86" t="str">
        <f t="shared" si="15"/>
        <v>#REF!</v>
      </c>
    </row>
    <row r="851">
      <c r="B851" s="86" t="str">
        <f t="shared" si="1"/>
        <v>#REF!</v>
      </c>
      <c r="C851" s="86" t="str">
        <f t="shared" si="9"/>
        <v>#REF!</v>
      </c>
      <c r="D851" s="86" t="str">
        <f t="shared" si="10"/>
        <v>#REF!</v>
      </c>
      <c r="E851" s="86" t="str">
        <f t="shared" si="11"/>
        <v>#REF!</v>
      </c>
      <c r="F851" s="86" t="str">
        <f t="shared" si="12"/>
        <v>#REF!</v>
      </c>
      <c r="G851" s="86" t="str">
        <f t="shared" si="13"/>
        <v>#REF!</v>
      </c>
      <c r="H851" s="86" t="str">
        <f t="shared" si="14"/>
        <v>#REF!</v>
      </c>
      <c r="I851" s="86" t="str">
        <f t="shared" si="15"/>
        <v>#REF!</v>
      </c>
    </row>
    <row r="852">
      <c r="B852" s="86" t="str">
        <f t="shared" si="1"/>
        <v>#REF!</v>
      </c>
      <c r="C852" s="86" t="str">
        <f t="shared" si="9"/>
        <v>#REF!</v>
      </c>
      <c r="D852" s="86" t="str">
        <f t="shared" si="10"/>
        <v>#REF!</v>
      </c>
      <c r="E852" s="86" t="str">
        <f t="shared" si="11"/>
        <v>#REF!</v>
      </c>
      <c r="F852" s="86" t="str">
        <f t="shared" si="12"/>
        <v>#REF!</v>
      </c>
      <c r="G852" s="86" t="str">
        <f t="shared" si="13"/>
        <v>#REF!</v>
      </c>
      <c r="H852" s="86" t="str">
        <f t="shared" si="14"/>
        <v>#REF!</v>
      </c>
      <c r="I852" s="86" t="str">
        <f t="shared" si="15"/>
        <v>#REF!</v>
      </c>
    </row>
    <row r="853">
      <c r="B853" s="86" t="str">
        <f t="shared" si="1"/>
        <v>#REF!</v>
      </c>
      <c r="C853" s="86" t="str">
        <f t="shared" si="9"/>
        <v>#REF!</v>
      </c>
      <c r="D853" s="86" t="str">
        <f t="shared" si="10"/>
        <v>#REF!</v>
      </c>
      <c r="E853" s="86" t="str">
        <f t="shared" si="11"/>
        <v>#REF!</v>
      </c>
      <c r="F853" s="86" t="str">
        <f t="shared" si="12"/>
        <v>#REF!</v>
      </c>
      <c r="G853" s="86" t="str">
        <f t="shared" si="13"/>
        <v>#REF!</v>
      </c>
      <c r="H853" s="86" t="str">
        <f t="shared" si="14"/>
        <v>#REF!</v>
      </c>
      <c r="I853" s="86" t="str">
        <f t="shared" si="15"/>
        <v>#REF!</v>
      </c>
    </row>
    <row r="854">
      <c r="B854" s="86" t="str">
        <f t="shared" si="1"/>
        <v>#REF!</v>
      </c>
      <c r="C854" s="86" t="str">
        <f t="shared" si="9"/>
        <v>#REF!</v>
      </c>
      <c r="D854" s="86" t="str">
        <f t="shared" si="10"/>
        <v>#REF!</v>
      </c>
      <c r="E854" s="86" t="str">
        <f t="shared" si="11"/>
        <v>#REF!</v>
      </c>
      <c r="F854" s="86" t="str">
        <f t="shared" si="12"/>
        <v>#REF!</v>
      </c>
      <c r="G854" s="86" t="str">
        <f t="shared" si="13"/>
        <v>#REF!</v>
      </c>
      <c r="H854" s="86" t="str">
        <f t="shared" si="14"/>
        <v>#REF!</v>
      </c>
      <c r="I854" s="86" t="str">
        <f t="shared" si="15"/>
        <v>#REF!</v>
      </c>
    </row>
    <row r="855">
      <c r="B855" s="86" t="str">
        <f t="shared" si="1"/>
        <v>#REF!</v>
      </c>
      <c r="C855" s="86" t="str">
        <f t="shared" si="9"/>
        <v>#REF!</v>
      </c>
      <c r="D855" s="86" t="str">
        <f t="shared" si="10"/>
        <v>#REF!</v>
      </c>
      <c r="E855" s="86" t="str">
        <f t="shared" si="11"/>
        <v>#REF!</v>
      </c>
      <c r="F855" s="86" t="str">
        <f t="shared" si="12"/>
        <v>#REF!</v>
      </c>
      <c r="G855" s="86" t="str">
        <f t="shared" si="13"/>
        <v>#REF!</v>
      </c>
      <c r="H855" s="86" t="str">
        <f t="shared" si="14"/>
        <v>#REF!</v>
      </c>
      <c r="I855" s="86" t="str">
        <f t="shared" si="15"/>
        <v>#REF!</v>
      </c>
    </row>
    <row r="856">
      <c r="B856" s="86" t="str">
        <f t="shared" si="1"/>
        <v>#REF!</v>
      </c>
      <c r="C856" s="86" t="str">
        <f t="shared" si="9"/>
        <v>#REF!</v>
      </c>
      <c r="D856" s="86" t="str">
        <f t="shared" si="10"/>
        <v>#REF!</v>
      </c>
      <c r="E856" s="86" t="str">
        <f t="shared" si="11"/>
        <v>#REF!</v>
      </c>
      <c r="F856" s="86" t="str">
        <f t="shared" si="12"/>
        <v>#REF!</v>
      </c>
      <c r="G856" s="86" t="str">
        <f t="shared" si="13"/>
        <v>#REF!</v>
      </c>
      <c r="H856" s="86" t="str">
        <f t="shared" si="14"/>
        <v>#REF!</v>
      </c>
      <c r="I856" s="86" t="str">
        <f t="shared" si="15"/>
        <v>#REF!</v>
      </c>
    </row>
    <row r="857">
      <c r="B857" s="86" t="str">
        <f t="shared" si="1"/>
        <v>#REF!</v>
      </c>
      <c r="C857" s="86" t="str">
        <f t="shared" si="9"/>
        <v>#REF!</v>
      </c>
      <c r="D857" s="86" t="str">
        <f t="shared" si="10"/>
        <v>#REF!</v>
      </c>
      <c r="E857" s="86" t="str">
        <f t="shared" si="11"/>
        <v>#REF!</v>
      </c>
      <c r="F857" s="86" t="str">
        <f t="shared" si="12"/>
        <v>#REF!</v>
      </c>
      <c r="G857" s="86" t="str">
        <f t="shared" si="13"/>
        <v>#REF!</v>
      </c>
      <c r="H857" s="86" t="str">
        <f t="shared" si="14"/>
        <v>#REF!</v>
      </c>
      <c r="I857" s="86" t="str">
        <f t="shared" si="15"/>
        <v>#REF!</v>
      </c>
    </row>
    <row r="858">
      <c r="B858" s="86" t="str">
        <f t="shared" si="1"/>
        <v>#REF!</v>
      </c>
      <c r="C858" s="86" t="str">
        <f t="shared" si="9"/>
        <v>#REF!</v>
      </c>
      <c r="D858" s="86" t="str">
        <f t="shared" si="10"/>
        <v>#REF!</v>
      </c>
      <c r="E858" s="86" t="str">
        <f t="shared" si="11"/>
        <v>#REF!</v>
      </c>
      <c r="F858" s="86" t="str">
        <f t="shared" si="12"/>
        <v>#REF!</v>
      </c>
      <c r="G858" s="86" t="str">
        <f t="shared" si="13"/>
        <v>#REF!</v>
      </c>
      <c r="H858" s="86" t="str">
        <f t="shared" si="14"/>
        <v>#REF!</v>
      </c>
      <c r="I858" s="86" t="str">
        <f t="shared" si="15"/>
        <v>#REF!</v>
      </c>
    </row>
    <row r="859">
      <c r="B859" s="86" t="str">
        <f t="shared" si="1"/>
        <v>#REF!</v>
      </c>
      <c r="C859" s="86" t="str">
        <f t="shared" si="9"/>
        <v>#REF!</v>
      </c>
      <c r="D859" s="86" t="str">
        <f t="shared" si="10"/>
        <v>#REF!</v>
      </c>
      <c r="E859" s="86" t="str">
        <f t="shared" si="11"/>
        <v>#REF!</v>
      </c>
      <c r="F859" s="86" t="str">
        <f t="shared" si="12"/>
        <v>#REF!</v>
      </c>
      <c r="G859" s="86" t="str">
        <f t="shared" si="13"/>
        <v>#REF!</v>
      </c>
      <c r="H859" s="86" t="str">
        <f t="shared" si="14"/>
        <v>#REF!</v>
      </c>
      <c r="I859" s="86" t="str">
        <f t="shared" si="15"/>
        <v>#REF!</v>
      </c>
    </row>
    <row r="860">
      <c r="B860" s="86" t="str">
        <f t="shared" si="1"/>
        <v>#REF!</v>
      </c>
      <c r="C860" s="86" t="str">
        <f t="shared" si="9"/>
        <v>#REF!</v>
      </c>
      <c r="D860" s="86" t="str">
        <f t="shared" si="10"/>
        <v>#REF!</v>
      </c>
      <c r="E860" s="86" t="str">
        <f t="shared" si="11"/>
        <v>#REF!</v>
      </c>
      <c r="F860" s="86" t="str">
        <f t="shared" si="12"/>
        <v>#REF!</v>
      </c>
      <c r="G860" s="86" t="str">
        <f t="shared" si="13"/>
        <v>#REF!</v>
      </c>
      <c r="H860" s="86" t="str">
        <f t="shared" si="14"/>
        <v>#REF!</v>
      </c>
      <c r="I860" s="86" t="str">
        <f t="shared" si="15"/>
        <v>#REF!</v>
      </c>
    </row>
    <row r="861">
      <c r="B861" s="86" t="str">
        <f t="shared" si="1"/>
        <v>#REF!</v>
      </c>
      <c r="C861" s="86" t="str">
        <f t="shared" si="9"/>
        <v>#REF!</v>
      </c>
      <c r="D861" s="86" t="str">
        <f t="shared" si="10"/>
        <v>#REF!</v>
      </c>
      <c r="E861" s="86" t="str">
        <f t="shared" si="11"/>
        <v>#REF!</v>
      </c>
      <c r="F861" s="86" t="str">
        <f t="shared" si="12"/>
        <v>#REF!</v>
      </c>
      <c r="G861" s="86" t="str">
        <f t="shared" si="13"/>
        <v>#REF!</v>
      </c>
      <c r="H861" s="86" t="str">
        <f t="shared" si="14"/>
        <v>#REF!</v>
      </c>
      <c r="I861" s="86" t="str">
        <f t="shared" si="15"/>
        <v>#REF!</v>
      </c>
    </row>
    <row r="862">
      <c r="B862" s="86" t="str">
        <f t="shared" si="1"/>
        <v>#REF!</v>
      </c>
      <c r="C862" s="86" t="str">
        <f t="shared" si="9"/>
        <v>#REF!</v>
      </c>
      <c r="D862" s="86" t="str">
        <f t="shared" si="10"/>
        <v>#REF!</v>
      </c>
      <c r="E862" s="86" t="str">
        <f t="shared" si="11"/>
        <v>#REF!</v>
      </c>
      <c r="F862" s="86" t="str">
        <f t="shared" si="12"/>
        <v>#REF!</v>
      </c>
      <c r="G862" s="86" t="str">
        <f t="shared" si="13"/>
        <v>#REF!</v>
      </c>
      <c r="H862" s="86" t="str">
        <f t="shared" si="14"/>
        <v>#REF!</v>
      </c>
      <c r="I862" s="86" t="str">
        <f t="shared" si="15"/>
        <v>#REF!</v>
      </c>
    </row>
    <row r="863">
      <c r="B863" s="86" t="str">
        <f t="shared" si="1"/>
        <v>#REF!</v>
      </c>
      <c r="C863" s="86" t="str">
        <f t="shared" si="9"/>
        <v>#REF!</v>
      </c>
      <c r="D863" s="86" t="str">
        <f t="shared" si="10"/>
        <v>#REF!</v>
      </c>
      <c r="E863" s="86" t="str">
        <f t="shared" si="11"/>
        <v>#REF!</v>
      </c>
      <c r="F863" s="86" t="str">
        <f t="shared" si="12"/>
        <v>#REF!</v>
      </c>
      <c r="G863" s="86" t="str">
        <f t="shared" si="13"/>
        <v>#REF!</v>
      </c>
      <c r="H863" s="86" t="str">
        <f t="shared" si="14"/>
        <v>#REF!</v>
      </c>
      <c r="I863" s="86" t="str">
        <f t="shared" si="15"/>
        <v>#REF!</v>
      </c>
    </row>
    <row r="864">
      <c r="B864" s="86" t="str">
        <f t="shared" si="1"/>
        <v>#REF!</v>
      </c>
      <c r="C864" s="86" t="str">
        <f t="shared" si="9"/>
        <v>#REF!</v>
      </c>
      <c r="D864" s="86" t="str">
        <f t="shared" si="10"/>
        <v>#REF!</v>
      </c>
      <c r="E864" s="86" t="str">
        <f t="shared" si="11"/>
        <v>#REF!</v>
      </c>
      <c r="F864" s="86" t="str">
        <f t="shared" si="12"/>
        <v>#REF!</v>
      </c>
      <c r="G864" s="86" t="str">
        <f t="shared" si="13"/>
        <v>#REF!</v>
      </c>
      <c r="H864" s="86" t="str">
        <f t="shared" si="14"/>
        <v>#REF!</v>
      </c>
      <c r="I864" s="86" t="str">
        <f t="shared" si="15"/>
        <v>#REF!</v>
      </c>
    </row>
    <row r="865">
      <c r="B865" s="86" t="str">
        <f t="shared" si="1"/>
        <v>#REF!</v>
      </c>
      <c r="C865" s="86" t="str">
        <f t="shared" si="9"/>
        <v>#REF!</v>
      </c>
      <c r="D865" s="86" t="str">
        <f t="shared" si="10"/>
        <v>#REF!</v>
      </c>
      <c r="E865" s="86" t="str">
        <f t="shared" si="11"/>
        <v>#REF!</v>
      </c>
      <c r="F865" s="86" t="str">
        <f t="shared" si="12"/>
        <v>#REF!</v>
      </c>
      <c r="G865" s="86" t="str">
        <f t="shared" si="13"/>
        <v>#REF!</v>
      </c>
      <c r="H865" s="86" t="str">
        <f t="shared" si="14"/>
        <v>#REF!</v>
      </c>
      <c r="I865" s="86" t="str">
        <f t="shared" si="15"/>
        <v>#REF!</v>
      </c>
    </row>
    <row r="866">
      <c r="B866" s="86" t="str">
        <f t="shared" si="1"/>
        <v>#REF!</v>
      </c>
      <c r="C866" s="86" t="str">
        <f t="shared" si="9"/>
        <v>#REF!</v>
      </c>
      <c r="D866" s="86" t="str">
        <f t="shared" si="10"/>
        <v>#REF!</v>
      </c>
      <c r="E866" s="86" t="str">
        <f t="shared" si="11"/>
        <v>#REF!</v>
      </c>
      <c r="F866" s="86" t="str">
        <f t="shared" si="12"/>
        <v>#REF!</v>
      </c>
      <c r="G866" s="86" t="str">
        <f t="shared" si="13"/>
        <v>#REF!</v>
      </c>
      <c r="H866" s="86" t="str">
        <f t="shared" si="14"/>
        <v>#REF!</v>
      </c>
      <c r="I866" s="86" t="str">
        <f t="shared" si="15"/>
        <v>#REF!</v>
      </c>
    </row>
    <row r="867">
      <c r="B867" s="86" t="str">
        <f t="shared" si="1"/>
        <v>#REF!</v>
      </c>
      <c r="C867" s="86" t="str">
        <f t="shared" si="9"/>
        <v>#REF!</v>
      </c>
      <c r="D867" s="86" t="str">
        <f t="shared" si="10"/>
        <v>#REF!</v>
      </c>
      <c r="E867" s="86" t="str">
        <f t="shared" si="11"/>
        <v>#REF!</v>
      </c>
      <c r="F867" s="86" t="str">
        <f t="shared" si="12"/>
        <v>#REF!</v>
      </c>
      <c r="G867" s="86" t="str">
        <f t="shared" si="13"/>
        <v>#REF!</v>
      </c>
      <c r="H867" s="86" t="str">
        <f t="shared" si="14"/>
        <v>#REF!</v>
      </c>
      <c r="I867" s="86" t="str">
        <f t="shared" si="15"/>
        <v>#REF!</v>
      </c>
    </row>
    <row r="868">
      <c r="B868" s="86" t="str">
        <f t="shared" si="1"/>
        <v>#REF!</v>
      </c>
      <c r="C868" s="86" t="str">
        <f t="shared" si="9"/>
        <v>#REF!</v>
      </c>
      <c r="D868" s="86" t="str">
        <f t="shared" si="10"/>
        <v>#REF!</v>
      </c>
      <c r="E868" s="86" t="str">
        <f t="shared" si="11"/>
        <v>#REF!</v>
      </c>
      <c r="F868" s="86" t="str">
        <f t="shared" si="12"/>
        <v>#REF!</v>
      </c>
      <c r="G868" s="86" t="str">
        <f t="shared" si="13"/>
        <v>#REF!</v>
      </c>
      <c r="H868" s="86" t="str">
        <f t="shared" si="14"/>
        <v>#REF!</v>
      </c>
      <c r="I868" s="86" t="str">
        <f t="shared" si="15"/>
        <v>#REF!</v>
      </c>
    </row>
    <row r="869">
      <c r="B869" s="86" t="str">
        <f t="shared" si="1"/>
        <v>#REF!</v>
      </c>
      <c r="C869" s="86" t="str">
        <f t="shared" si="9"/>
        <v>#REF!</v>
      </c>
      <c r="D869" s="86" t="str">
        <f t="shared" si="10"/>
        <v>#REF!</v>
      </c>
      <c r="E869" s="86" t="str">
        <f t="shared" si="11"/>
        <v>#REF!</v>
      </c>
      <c r="F869" s="86" t="str">
        <f t="shared" si="12"/>
        <v>#REF!</v>
      </c>
      <c r="G869" s="86" t="str">
        <f t="shared" si="13"/>
        <v>#REF!</v>
      </c>
      <c r="H869" s="86" t="str">
        <f t="shared" si="14"/>
        <v>#REF!</v>
      </c>
      <c r="I869" s="86" t="str">
        <f t="shared" si="15"/>
        <v>#REF!</v>
      </c>
    </row>
    <row r="870">
      <c r="B870" s="86" t="str">
        <f t="shared" si="1"/>
        <v>#REF!</v>
      </c>
      <c r="C870" s="86" t="str">
        <f t="shared" si="9"/>
        <v>#REF!</v>
      </c>
      <c r="D870" s="86" t="str">
        <f t="shared" si="10"/>
        <v>#REF!</v>
      </c>
      <c r="E870" s="86" t="str">
        <f t="shared" si="11"/>
        <v>#REF!</v>
      </c>
      <c r="F870" s="86" t="str">
        <f t="shared" si="12"/>
        <v>#REF!</v>
      </c>
      <c r="G870" s="86" t="str">
        <f t="shared" si="13"/>
        <v>#REF!</v>
      </c>
      <c r="H870" s="86" t="str">
        <f t="shared" si="14"/>
        <v>#REF!</v>
      </c>
      <c r="I870" s="86" t="str">
        <f t="shared" si="15"/>
        <v>#REF!</v>
      </c>
    </row>
    <row r="871">
      <c r="B871" s="86" t="str">
        <f t="shared" si="1"/>
        <v>#REF!</v>
      </c>
      <c r="C871" s="86" t="str">
        <f t="shared" si="9"/>
        <v>#REF!</v>
      </c>
      <c r="D871" s="86" t="str">
        <f t="shared" si="10"/>
        <v>#REF!</v>
      </c>
      <c r="E871" s="86" t="str">
        <f t="shared" si="11"/>
        <v>#REF!</v>
      </c>
      <c r="F871" s="86" t="str">
        <f t="shared" si="12"/>
        <v>#REF!</v>
      </c>
      <c r="G871" s="86" t="str">
        <f t="shared" si="13"/>
        <v>#REF!</v>
      </c>
      <c r="H871" s="86" t="str">
        <f t="shared" si="14"/>
        <v>#REF!</v>
      </c>
      <c r="I871" s="86" t="str">
        <f t="shared" si="15"/>
        <v>#REF!</v>
      </c>
    </row>
    <row r="872">
      <c r="B872" s="86" t="str">
        <f t="shared" si="1"/>
        <v>#REF!</v>
      </c>
      <c r="C872" s="86" t="str">
        <f t="shared" si="9"/>
        <v>#REF!</v>
      </c>
      <c r="D872" s="86" t="str">
        <f t="shared" si="10"/>
        <v>#REF!</v>
      </c>
      <c r="E872" s="86" t="str">
        <f t="shared" si="11"/>
        <v>#REF!</v>
      </c>
      <c r="F872" s="86" t="str">
        <f t="shared" si="12"/>
        <v>#REF!</v>
      </c>
      <c r="G872" s="86" t="str">
        <f t="shared" si="13"/>
        <v>#REF!</v>
      </c>
      <c r="H872" s="86" t="str">
        <f t="shared" si="14"/>
        <v>#REF!</v>
      </c>
      <c r="I872" s="86" t="str">
        <f t="shared" si="15"/>
        <v>#REF!</v>
      </c>
    </row>
    <row r="873">
      <c r="B873" s="86" t="str">
        <f t="shared" si="1"/>
        <v>#REF!</v>
      </c>
      <c r="C873" s="86" t="str">
        <f t="shared" si="9"/>
        <v>#REF!</v>
      </c>
      <c r="D873" s="86" t="str">
        <f t="shared" si="10"/>
        <v>#REF!</v>
      </c>
      <c r="E873" s="86" t="str">
        <f t="shared" si="11"/>
        <v>#REF!</v>
      </c>
      <c r="F873" s="86" t="str">
        <f t="shared" si="12"/>
        <v>#REF!</v>
      </c>
      <c r="G873" s="86" t="str">
        <f t="shared" si="13"/>
        <v>#REF!</v>
      </c>
      <c r="H873" s="86" t="str">
        <f t="shared" si="14"/>
        <v>#REF!</v>
      </c>
      <c r="I873" s="86" t="str">
        <f t="shared" si="15"/>
        <v>#REF!</v>
      </c>
    </row>
    <row r="874">
      <c r="B874" s="86" t="str">
        <f t="shared" si="1"/>
        <v>#REF!</v>
      </c>
      <c r="C874" s="86" t="str">
        <f t="shared" si="9"/>
        <v>#REF!</v>
      </c>
      <c r="D874" s="86" t="str">
        <f t="shared" si="10"/>
        <v>#REF!</v>
      </c>
      <c r="E874" s="86" t="str">
        <f t="shared" si="11"/>
        <v>#REF!</v>
      </c>
      <c r="F874" s="86" t="str">
        <f t="shared" si="12"/>
        <v>#REF!</v>
      </c>
      <c r="G874" s="86" t="str">
        <f t="shared" si="13"/>
        <v>#REF!</v>
      </c>
      <c r="H874" s="86" t="str">
        <f t="shared" si="14"/>
        <v>#REF!</v>
      </c>
      <c r="I874" s="86" t="str">
        <f t="shared" si="15"/>
        <v>#REF!</v>
      </c>
    </row>
    <row r="875">
      <c r="B875" s="86" t="str">
        <f t="shared" si="1"/>
        <v>#REF!</v>
      </c>
      <c r="C875" s="86" t="str">
        <f t="shared" si="9"/>
        <v>#REF!</v>
      </c>
      <c r="D875" s="86" t="str">
        <f t="shared" si="10"/>
        <v>#REF!</v>
      </c>
      <c r="E875" s="86" t="str">
        <f t="shared" si="11"/>
        <v>#REF!</v>
      </c>
      <c r="F875" s="86" t="str">
        <f t="shared" si="12"/>
        <v>#REF!</v>
      </c>
      <c r="G875" s="86" t="str">
        <f t="shared" si="13"/>
        <v>#REF!</v>
      </c>
      <c r="H875" s="86" t="str">
        <f t="shared" si="14"/>
        <v>#REF!</v>
      </c>
      <c r="I875" s="86" t="str">
        <f t="shared" si="15"/>
        <v>#REF!</v>
      </c>
    </row>
    <row r="876">
      <c r="B876" s="86" t="str">
        <f t="shared" si="1"/>
        <v>#REF!</v>
      </c>
      <c r="C876" s="86" t="str">
        <f t="shared" si="9"/>
        <v>#REF!</v>
      </c>
      <c r="D876" s="86" t="str">
        <f t="shared" si="10"/>
        <v>#REF!</v>
      </c>
      <c r="E876" s="86" t="str">
        <f t="shared" si="11"/>
        <v>#REF!</v>
      </c>
      <c r="F876" s="86" t="str">
        <f t="shared" si="12"/>
        <v>#REF!</v>
      </c>
      <c r="G876" s="86" t="str">
        <f t="shared" si="13"/>
        <v>#REF!</v>
      </c>
      <c r="H876" s="86" t="str">
        <f t="shared" si="14"/>
        <v>#REF!</v>
      </c>
      <c r="I876" s="86" t="str">
        <f t="shared" si="15"/>
        <v>#REF!</v>
      </c>
    </row>
    <row r="877">
      <c r="B877" s="86" t="str">
        <f t="shared" si="1"/>
        <v>#REF!</v>
      </c>
      <c r="C877" s="86" t="str">
        <f t="shared" si="9"/>
        <v>#REF!</v>
      </c>
      <c r="D877" s="86" t="str">
        <f t="shared" si="10"/>
        <v>#REF!</v>
      </c>
      <c r="E877" s="86" t="str">
        <f t="shared" si="11"/>
        <v>#REF!</v>
      </c>
      <c r="F877" s="86" t="str">
        <f t="shared" si="12"/>
        <v>#REF!</v>
      </c>
      <c r="G877" s="86" t="str">
        <f t="shared" si="13"/>
        <v>#REF!</v>
      </c>
      <c r="H877" s="86" t="str">
        <f t="shared" si="14"/>
        <v>#REF!</v>
      </c>
      <c r="I877" s="86" t="str">
        <f t="shared" si="15"/>
        <v>#REF!</v>
      </c>
    </row>
    <row r="878">
      <c r="B878" s="86" t="str">
        <f t="shared" si="1"/>
        <v>#REF!</v>
      </c>
      <c r="C878" s="86" t="str">
        <f t="shared" si="9"/>
        <v>#REF!</v>
      </c>
      <c r="D878" s="86" t="str">
        <f t="shared" si="10"/>
        <v>#REF!</v>
      </c>
      <c r="E878" s="86" t="str">
        <f t="shared" si="11"/>
        <v>#REF!</v>
      </c>
      <c r="F878" s="86" t="str">
        <f t="shared" si="12"/>
        <v>#REF!</v>
      </c>
      <c r="G878" s="86" t="str">
        <f t="shared" si="13"/>
        <v>#REF!</v>
      </c>
      <c r="H878" s="86" t="str">
        <f t="shared" si="14"/>
        <v>#REF!</v>
      </c>
      <c r="I878" s="86" t="str">
        <f t="shared" si="15"/>
        <v>#REF!</v>
      </c>
    </row>
    <row r="879">
      <c r="B879" s="86" t="str">
        <f t="shared" si="1"/>
        <v>#REF!</v>
      </c>
      <c r="C879" s="86" t="str">
        <f t="shared" si="9"/>
        <v>#REF!</v>
      </c>
      <c r="D879" s="86" t="str">
        <f t="shared" si="10"/>
        <v>#REF!</v>
      </c>
      <c r="E879" s="86" t="str">
        <f t="shared" si="11"/>
        <v>#REF!</v>
      </c>
      <c r="F879" s="86" t="str">
        <f t="shared" si="12"/>
        <v>#REF!</v>
      </c>
      <c r="G879" s="86" t="str">
        <f t="shared" si="13"/>
        <v>#REF!</v>
      </c>
      <c r="H879" s="86" t="str">
        <f t="shared" si="14"/>
        <v>#REF!</v>
      </c>
      <c r="I879" s="86" t="str">
        <f t="shared" si="15"/>
        <v>#REF!</v>
      </c>
    </row>
    <row r="880">
      <c r="B880" s="86" t="str">
        <f t="shared" si="1"/>
        <v>#REF!</v>
      </c>
      <c r="C880" s="86" t="str">
        <f t="shared" si="9"/>
        <v>#REF!</v>
      </c>
      <c r="D880" s="86" t="str">
        <f t="shared" si="10"/>
        <v>#REF!</v>
      </c>
      <c r="E880" s="86" t="str">
        <f t="shared" si="11"/>
        <v>#REF!</v>
      </c>
      <c r="F880" s="86" t="str">
        <f t="shared" si="12"/>
        <v>#REF!</v>
      </c>
      <c r="G880" s="86" t="str">
        <f t="shared" si="13"/>
        <v>#REF!</v>
      </c>
      <c r="H880" s="86" t="str">
        <f t="shared" si="14"/>
        <v>#REF!</v>
      </c>
      <c r="I880" s="86" t="str">
        <f t="shared" si="15"/>
        <v>#REF!</v>
      </c>
    </row>
    <row r="881">
      <c r="B881" s="86" t="str">
        <f t="shared" si="1"/>
        <v>#REF!</v>
      </c>
      <c r="C881" s="86" t="str">
        <f t="shared" si="9"/>
        <v>#REF!</v>
      </c>
      <c r="D881" s="86" t="str">
        <f t="shared" si="10"/>
        <v>#REF!</v>
      </c>
      <c r="E881" s="86" t="str">
        <f t="shared" si="11"/>
        <v>#REF!</v>
      </c>
      <c r="F881" s="86" t="str">
        <f t="shared" si="12"/>
        <v>#REF!</v>
      </c>
      <c r="G881" s="86" t="str">
        <f t="shared" si="13"/>
        <v>#REF!</v>
      </c>
      <c r="H881" s="86" t="str">
        <f t="shared" si="14"/>
        <v>#REF!</v>
      </c>
      <c r="I881" s="86" t="str">
        <f t="shared" si="15"/>
        <v>#REF!</v>
      </c>
    </row>
    <row r="882">
      <c r="B882" s="86" t="str">
        <f t="shared" si="1"/>
        <v>#REF!</v>
      </c>
      <c r="C882" s="86" t="str">
        <f t="shared" si="9"/>
        <v>#REF!</v>
      </c>
      <c r="D882" s="86" t="str">
        <f t="shared" si="10"/>
        <v>#REF!</v>
      </c>
      <c r="E882" s="86" t="str">
        <f t="shared" si="11"/>
        <v>#REF!</v>
      </c>
      <c r="F882" s="86" t="str">
        <f t="shared" si="12"/>
        <v>#REF!</v>
      </c>
      <c r="G882" s="86" t="str">
        <f t="shared" si="13"/>
        <v>#REF!</v>
      </c>
      <c r="H882" s="86" t="str">
        <f t="shared" si="14"/>
        <v>#REF!</v>
      </c>
      <c r="I882" s="86" t="str">
        <f t="shared" si="15"/>
        <v>#REF!</v>
      </c>
    </row>
    <row r="883">
      <c r="B883" s="86" t="str">
        <f t="shared" si="1"/>
        <v>#REF!</v>
      </c>
      <c r="C883" s="86" t="str">
        <f t="shared" si="9"/>
        <v>#REF!</v>
      </c>
      <c r="D883" s="86" t="str">
        <f t="shared" si="10"/>
        <v>#REF!</v>
      </c>
      <c r="E883" s="86" t="str">
        <f t="shared" si="11"/>
        <v>#REF!</v>
      </c>
      <c r="F883" s="86" t="str">
        <f t="shared" si="12"/>
        <v>#REF!</v>
      </c>
      <c r="G883" s="86" t="str">
        <f t="shared" si="13"/>
        <v>#REF!</v>
      </c>
      <c r="H883" s="86" t="str">
        <f t="shared" si="14"/>
        <v>#REF!</v>
      </c>
      <c r="I883" s="86" t="str">
        <f t="shared" si="15"/>
        <v>#REF!</v>
      </c>
    </row>
    <row r="884">
      <c r="B884" s="86" t="str">
        <f t="shared" si="1"/>
        <v>#REF!</v>
      </c>
      <c r="C884" s="86" t="str">
        <f t="shared" si="9"/>
        <v>#REF!</v>
      </c>
      <c r="D884" s="86" t="str">
        <f t="shared" si="10"/>
        <v>#REF!</v>
      </c>
      <c r="E884" s="86" t="str">
        <f t="shared" si="11"/>
        <v>#REF!</v>
      </c>
      <c r="F884" s="86" t="str">
        <f t="shared" si="12"/>
        <v>#REF!</v>
      </c>
      <c r="G884" s="86" t="str">
        <f t="shared" si="13"/>
        <v>#REF!</v>
      </c>
      <c r="H884" s="86" t="str">
        <f t="shared" si="14"/>
        <v>#REF!</v>
      </c>
      <c r="I884" s="86" t="str">
        <f t="shared" si="15"/>
        <v>#REF!</v>
      </c>
    </row>
    <row r="885">
      <c r="B885" s="86" t="str">
        <f t="shared" si="1"/>
        <v>#REF!</v>
      </c>
      <c r="C885" s="86" t="str">
        <f t="shared" si="9"/>
        <v>#REF!</v>
      </c>
      <c r="D885" s="86" t="str">
        <f t="shared" si="10"/>
        <v>#REF!</v>
      </c>
      <c r="E885" s="86" t="str">
        <f t="shared" si="11"/>
        <v>#REF!</v>
      </c>
      <c r="F885" s="86" t="str">
        <f t="shared" si="12"/>
        <v>#REF!</v>
      </c>
      <c r="G885" s="86" t="str">
        <f t="shared" si="13"/>
        <v>#REF!</v>
      </c>
      <c r="H885" s="86" t="str">
        <f t="shared" si="14"/>
        <v>#REF!</v>
      </c>
      <c r="I885" s="86" t="str">
        <f t="shared" si="15"/>
        <v>#REF!</v>
      </c>
    </row>
    <row r="886">
      <c r="B886" s="86" t="str">
        <f t="shared" si="1"/>
        <v>#REF!</v>
      </c>
      <c r="C886" s="86" t="str">
        <f t="shared" si="9"/>
        <v>#REF!</v>
      </c>
      <c r="D886" s="86" t="str">
        <f t="shared" si="10"/>
        <v>#REF!</v>
      </c>
      <c r="E886" s="86" t="str">
        <f t="shared" si="11"/>
        <v>#REF!</v>
      </c>
      <c r="F886" s="86" t="str">
        <f t="shared" si="12"/>
        <v>#REF!</v>
      </c>
      <c r="G886" s="86" t="str">
        <f t="shared" si="13"/>
        <v>#REF!</v>
      </c>
      <c r="H886" s="86" t="str">
        <f t="shared" si="14"/>
        <v>#REF!</v>
      </c>
      <c r="I886" s="86" t="str">
        <f t="shared" si="15"/>
        <v>#REF!</v>
      </c>
    </row>
    <row r="887">
      <c r="B887" s="86" t="str">
        <f t="shared" si="1"/>
        <v>#REF!</v>
      </c>
      <c r="C887" s="86" t="str">
        <f t="shared" si="9"/>
        <v>#REF!</v>
      </c>
      <c r="D887" s="86" t="str">
        <f t="shared" si="10"/>
        <v>#REF!</v>
      </c>
      <c r="E887" s="86" t="str">
        <f t="shared" si="11"/>
        <v>#REF!</v>
      </c>
      <c r="F887" s="86" t="str">
        <f t="shared" si="12"/>
        <v>#REF!</v>
      </c>
      <c r="G887" s="86" t="str">
        <f t="shared" si="13"/>
        <v>#REF!</v>
      </c>
      <c r="H887" s="86" t="str">
        <f t="shared" si="14"/>
        <v>#REF!</v>
      </c>
      <c r="I887" s="86" t="str">
        <f t="shared" si="15"/>
        <v>#REF!</v>
      </c>
    </row>
    <row r="888">
      <c r="B888" s="86" t="str">
        <f t="shared" si="1"/>
        <v>#REF!</v>
      </c>
      <c r="C888" s="86" t="str">
        <f t="shared" si="9"/>
        <v>#REF!</v>
      </c>
      <c r="D888" s="86" t="str">
        <f t="shared" si="10"/>
        <v>#REF!</v>
      </c>
      <c r="E888" s="86" t="str">
        <f t="shared" si="11"/>
        <v>#REF!</v>
      </c>
      <c r="F888" s="86" t="str">
        <f t="shared" si="12"/>
        <v>#REF!</v>
      </c>
      <c r="G888" s="86" t="str">
        <f t="shared" si="13"/>
        <v>#REF!</v>
      </c>
      <c r="H888" s="86" t="str">
        <f t="shared" si="14"/>
        <v>#REF!</v>
      </c>
      <c r="I888" s="86" t="str">
        <f t="shared" si="15"/>
        <v>#REF!</v>
      </c>
    </row>
    <row r="889">
      <c r="B889" s="86" t="str">
        <f t="shared" si="1"/>
        <v>#REF!</v>
      </c>
      <c r="C889" s="86" t="str">
        <f t="shared" si="9"/>
        <v>#REF!</v>
      </c>
      <c r="D889" s="86" t="str">
        <f t="shared" si="10"/>
        <v>#REF!</v>
      </c>
      <c r="E889" s="86" t="str">
        <f t="shared" si="11"/>
        <v>#REF!</v>
      </c>
      <c r="F889" s="86" t="str">
        <f t="shared" si="12"/>
        <v>#REF!</v>
      </c>
      <c r="G889" s="86" t="str">
        <f t="shared" si="13"/>
        <v>#REF!</v>
      </c>
      <c r="H889" s="86" t="str">
        <f t="shared" si="14"/>
        <v>#REF!</v>
      </c>
      <c r="I889" s="86" t="str">
        <f t="shared" si="15"/>
        <v>#REF!</v>
      </c>
    </row>
    <row r="890">
      <c r="B890" s="86" t="str">
        <f t="shared" si="1"/>
        <v>#REF!</v>
      </c>
      <c r="C890" s="86" t="str">
        <f t="shared" si="9"/>
        <v>#REF!</v>
      </c>
      <c r="D890" s="86" t="str">
        <f t="shared" si="10"/>
        <v>#REF!</v>
      </c>
      <c r="E890" s="86" t="str">
        <f t="shared" si="11"/>
        <v>#REF!</v>
      </c>
      <c r="F890" s="86" t="str">
        <f t="shared" si="12"/>
        <v>#REF!</v>
      </c>
      <c r="G890" s="86" t="str">
        <f t="shared" si="13"/>
        <v>#REF!</v>
      </c>
      <c r="H890" s="86" t="str">
        <f t="shared" si="14"/>
        <v>#REF!</v>
      </c>
      <c r="I890" s="86" t="str">
        <f t="shared" si="15"/>
        <v>#REF!</v>
      </c>
    </row>
    <row r="891">
      <c r="B891" s="86" t="str">
        <f t="shared" si="1"/>
        <v>#REF!</v>
      </c>
      <c r="C891" s="86" t="str">
        <f t="shared" si="9"/>
        <v>#REF!</v>
      </c>
      <c r="D891" s="86" t="str">
        <f t="shared" si="10"/>
        <v>#REF!</v>
      </c>
      <c r="E891" s="86" t="str">
        <f t="shared" si="11"/>
        <v>#REF!</v>
      </c>
      <c r="F891" s="86" t="str">
        <f t="shared" si="12"/>
        <v>#REF!</v>
      </c>
      <c r="G891" s="86" t="str">
        <f t="shared" si="13"/>
        <v>#REF!</v>
      </c>
      <c r="H891" s="86" t="str">
        <f t="shared" si="14"/>
        <v>#REF!</v>
      </c>
      <c r="I891" s="86" t="str">
        <f t="shared" si="15"/>
        <v>#REF!</v>
      </c>
    </row>
    <row r="892">
      <c r="B892" s="86" t="str">
        <f t="shared" si="1"/>
        <v>#REF!</v>
      </c>
      <c r="C892" s="86" t="str">
        <f t="shared" si="9"/>
        <v>#REF!</v>
      </c>
      <c r="D892" s="86" t="str">
        <f t="shared" si="10"/>
        <v>#REF!</v>
      </c>
      <c r="E892" s="86" t="str">
        <f t="shared" si="11"/>
        <v>#REF!</v>
      </c>
      <c r="F892" s="86" t="str">
        <f t="shared" si="12"/>
        <v>#REF!</v>
      </c>
      <c r="G892" s="86" t="str">
        <f t="shared" si="13"/>
        <v>#REF!</v>
      </c>
      <c r="H892" s="86" t="str">
        <f t="shared" si="14"/>
        <v>#REF!</v>
      </c>
      <c r="I892" s="86" t="str">
        <f t="shared" si="15"/>
        <v>#REF!</v>
      </c>
    </row>
    <row r="893">
      <c r="B893" s="86" t="str">
        <f t="shared" si="1"/>
        <v>#REF!</v>
      </c>
      <c r="C893" s="86" t="str">
        <f t="shared" si="9"/>
        <v>#REF!</v>
      </c>
      <c r="D893" s="86" t="str">
        <f t="shared" si="10"/>
        <v>#REF!</v>
      </c>
      <c r="E893" s="86" t="str">
        <f t="shared" si="11"/>
        <v>#REF!</v>
      </c>
      <c r="F893" s="86" t="str">
        <f t="shared" si="12"/>
        <v>#REF!</v>
      </c>
      <c r="G893" s="86" t="str">
        <f t="shared" si="13"/>
        <v>#REF!</v>
      </c>
      <c r="H893" s="86" t="str">
        <f t="shared" si="14"/>
        <v>#REF!</v>
      </c>
      <c r="I893" s="86" t="str">
        <f t="shared" si="15"/>
        <v>#REF!</v>
      </c>
    </row>
    <row r="894">
      <c r="B894" s="86" t="str">
        <f t="shared" si="1"/>
        <v>#REF!</v>
      </c>
      <c r="C894" s="86" t="str">
        <f t="shared" si="9"/>
        <v>#REF!</v>
      </c>
      <c r="D894" s="86" t="str">
        <f t="shared" si="10"/>
        <v>#REF!</v>
      </c>
      <c r="E894" s="86" t="str">
        <f t="shared" si="11"/>
        <v>#REF!</v>
      </c>
      <c r="F894" s="86" t="str">
        <f t="shared" si="12"/>
        <v>#REF!</v>
      </c>
      <c r="G894" s="86" t="str">
        <f t="shared" si="13"/>
        <v>#REF!</v>
      </c>
      <c r="H894" s="86" t="str">
        <f t="shared" si="14"/>
        <v>#REF!</v>
      </c>
      <c r="I894" s="86" t="str">
        <f t="shared" si="15"/>
        <v>#REF!</v>
      </c>
    </row>
    <row r="895">
      <c r="B895" s="86" t="str">
        <f t="shared" si="1"/>
        <v>#REF!</v>
      </c>
      <c r="C895" s="86" t="str">
        <f t="shared" si="9"/>
        <v>#REF!</v>
      </c>
      <c r="D895" s="86" t="str">
        <f t="shared" si="10"/>
        <v>#REF!</v>
      </c>
      <c r="E895" s="86" t="str">
        <f t="shared" si="11"/>
        <v>#REF!</v>
      </c>
      <c r="F895" s="86" t="str">
        <f t="shared" si="12"/>
        <v>#REF!</v>
      </c>
      <c r="G895" s="86" t="str">
        <f t="shared" si="13"/>
        <v>#REF!</v>
      </c>
      <c r="H895" s="86" t="str">
        <f t="shared" si="14"/>
        <v>#REF!</v>
      </c>
      <c r="I895" s="86" t="str">
        <f t="shared" si="15"/>
        <v>#REF!</v>
      </c>
    </row>
    <row r="896">
      <c r="B896" s="86" t="str">
        <f t="shared" si="1"/>
        <v>#REF!</v>
      </c>
      <c r="C896" s="86" t="str">
        <f t="shared" si="9"/>
        <v>#REF!</v>
      </c>
      <c r="D896" s="86" t="str">
        <f t="shared" si="10"/>
        <v>#REF!</v>
      </c>
      <c r="E896" s="86" t="str">
        <f t="shared" si="11"/>
        <v>#REF!</v>
      </c>
      <c r="F896" s="86" t="str">
        <f t="shared" si="12"/>
        <v>#REF!</v>
      </c>
      <c r="G896" s="86" t="str">
        <f t="shared" si="13"/>
        <v>#REF!</v>
      </c>
      <c r="H896" s="86" t="str">
        <f t="shared" si="14"/>
        <v>#REF!</v>
      </c>
      <c r="I896" s="86" t="str">
        <f t="shared" si="15"/>
        <v>#REF!</v>
      </c>
    </row>
    <row r="897">
      <c r="B897" s="86" t="str">
        <f t="shared" si="1"/>
        <v>#REF!</v>
      </c>
      <c r="C897" s="86" t="str">
        <f t="shared" si="9"/>
        <v>#REF!</v>
      </c>
      <c r="D897" s="86" t="str">
        <f t="shared" si="10"/>
        <v>#REF!</v>
      </c>
      <c r="E897" s="86" t="str">
        <f t="shared" si="11"/>
        <v>#REF!</v>
      </c>
      <c r="F897" s="86" t="str">
        <f t="shared" si="12"/>
        <v>#REF!</v>
      </c>
      <c r="G897" s="86" t="str">
        <f t="shared" si="13"/>
        <v>#REF!</v>
      </c>
      <c r="H897" s="86" t="str">
        <f t="shared" si="14"/>
        <v>#REF!</v>
      </c>
      <c r="I897" s="86" t="str">
        <f t="shared" si="15"/>
        <v>#REF!</v>
      </c>
    </row>
    <row r="898">
      <c r="B898" s="86" t="str">
        <f t="shared" si="1"/>
        <v>#REF!</v>
      </c>
      <c r="C898" s="86" t="str">
        <f t="shared" si="9"/>
        <v>#REF!</v>
      </c>
      <c r="D898" s="86" t="str">
        <f t="shared" si="10"/>
        <v>#REF!</v>
      </c>
      <c r="E898" s="86" t="str">
        <f t="shared" si="11"/>
        <v>#REF!</v>
      </c>
      <c r="F898" s="86" t="str">
        <f t="shared" si="12"/>
        <v>#REF!</v>
      </c>
      <c r="G898" s="86" t="str">
        <f t="shared" si="13"/>
        <v>#REF!</v>
      </c>
      <c r="H898" s="86" t="str">
        <f t="shared" si="14"/>
        <v>#REF!</v>
      </c>
      <c r="I898" s="86" t="str">
        <f t="shared" si="15"/>
        <v>#REF!</v>
      </c>
    </row>
    <row r="899">
      <c r="B899" s="86" t="str">
        <f t="shared" si="1"/>
        <v>#REF!</v>
      </c>
      <c r="C899" s="86" t="str">
        <f t="shared" si="9"/>
        <v>#REF!</v>
      </c>
      <c r="D899" s="86" t="str">
        <f t="shared" si="10"/>
        <v>#REF!</v>
      </c>
      <c r="E899" s="86" t="str">
        <f t="shared" si="11"/>
        <v>#REF!</v>
      </c>
      <c r="F899" s="86" t="str">
        <f t="shared" si="12"/>
        <v>#REF!</v>
      </c>
      <c r="G899" s="86" t="str">
        <f t="shared" si="13"/>
        <v>#REF!</v>
      </c>
      <c r="H899" s="86" t="str">
        <f t="shared" si="14"/>
        <v>#REF!</v>
      </c>
      <c r="I899" s="86" t="str">
        <f t="shared" si="15"/>
        <v>#REF!</v>
      </c>
    </row>
    <row r="900">
      <c r="B900" s="86" t="str">
        <f t="shared" si="1"/>
        <v>#REF!</v>
      </c>
      <c r="C900" s="86" t="str">
        <f t="shared" si="9"/>
        <v>#REF!</v>
      </c>
      <c r="D900" s="86" t="str">
        <f t="shared" si="10"/>
        <v>#REF!</v>
      </c>
      <c r="E900" s="86" t="str">
        <f t="shared" si="11"/>
        <v>#REF!</v>
      </c>
      <c r="F900" s="86" t="str">
        <f t="shared" si="12"/>
        <v>#REF!</v>
      </c>
      <c r="G900" s="86" t="str">
        <f t="shared" si="13"/>
        <v>#REF!</v>
      </c>
      <c r="H900" s="86" t="str">
        <f t="shared" si="14"/>
        <v>#REF!</v>
      </c>
      <c r="I900" s="86" t="str">
        <f t="shared" si="15"/>
        <v>#REF!</v>
      </c>
    </row>
    <row r="901">
      <c r="B901" s="86" t="str">
        <f t="shared" si="1"/>
        <v>#REF!</v>
      </c>
      <c r="C901" s="86" t="str">
        <f t="shared" si="9"/>
        <v>#REF!</v>
      </c>
      <c r="D901" s="86" t="str">
        <f t="shared" si="10"/>
        <v>#REF!</v>
      </c>
      <c r="E901" s="86" t="str">
        <f t="shared" si="11"/>
        <v>#REF!</v>
      </c>
      <c r="F901" s="86" t="str">
        <f t="shared" si="12"/>
        <v>#REF!</v>
      </c>
      <c r="G901" s="86" t="str">
        <f t="shared" si="13"/>
        <v>#REF!</v>
      </c>
      <c r="H901" s="86" t="str">
        <f t="shared" si="14"/>
        <v>#REF!</v>
      </c>
      <c r="I901" s="86" t="str">
        <f t="shared" si="15"/>
        <v>#REF!</v>
      </c>
    </row>
    <row r="902">
      <c r="B902" s="86" t="str">
        <f t="shared" si="1"/>
        <v>#REF!</v>
      </c>
      <c r="C902" s="86" t="str">
        <f t="shared" si="9"/>
        <v>#REF!</v>
      </c>
      <c r="D902" s="86" t="str">
        <f t="shared" si="10"/>
        <v>#REF!</v>
      </c>
      <c r="E902" s="86" t="str">
        <f t="shared" si="11"/>
        <v>#REF!</v>
      </c>
      <c r="F902" s="86" t="str">
        <f t="shared" si="12"/>
        <v>#REF!</v>
      </c>
      <c r="G902" s="86" t="str">
        <f t="shared" si="13"/>
        <v>#REF!</v>
      </c>
      <c r="H902" s="86" t="str">
        <f t="shared" si="14"/>
        <v>#REF!</v>
      </c>
      <c r="I902" s="86" t="str">
        <f t="shared" si="15"/>
        <v>#REF!</v>
      </c>
    </row>
    <row r="903">
      <c r="B903" s="86" t="str">
        <f t="shared" si="1"/>
        <v>#REF!</v>
      </c>
      <c r="C903" s="86" t="str">
        <f t="shared" si="9"/>
        <v>#REF!</v>
      </c>
      <c r="D903" s="86" t="str">
        <f t="shared" si="10"/>
        <v>#REF!</v>
      </c>
      <c r="E903" s="86" t="str">
        <f t="shared" si="11"/>
        <v>#REF!</v>
      </c>
      <c r="F903" s="86" t="str">
        <f t="shared" si="12"/>
        <v>#REF!</v>
      </c>
      <c r="G903" s="86" t="str">
        <f t="shared" si="13"/>
        <v>#REF!</v>
      </c>
      <c r="H903" s="86" t="str">
        <f t="shared" si="14"/>
        <v>#REF!</v>
      </c>
      <c r="I903" s="86" t="str">
        <f t="shared" si="15"/>
        <v>#REF!</v>
      </c>
    </row>
    <row r="904">
      <c r="B904" s="86" t="str">
        <f t="shared" si="1"/>
        <v>#REF!</v>
      </c>
      <c r="C904" s="86" t="str">
        <f t="shared" si="9"/>
        <v>#REF!</v>
      </c>
      <c r="D904" s="86" t="str">
        <f t="shared" si="10"/>
        <v>#REF!</v>
      </c>
      <c r="E904" s="86" t="str">
        <f t="shared" si="11"/>
        <v>#REF!</v>
      </c>
      <c r="F904" s="86" t="str">
        <f t="shared" si="12"/>
        <v>#REF!</v>
      </c>
      <c r="G904" s="86" t="str">
        <f t="shared" si="13"/>
        <v>#REF!</v>
      </c>
      <c r="H904" s="86" t="str">
        <f t="shared" si="14"/>
        <v>#REF!</v>
      </c>
      <c r="I904" s="86" t="str">
        <f t="shared" si="15"/>
        <v>#REF!</v>
      </c>
    </row>
    <row r="905">
      <c r="B905" s="86" t="str">
        <f t="shared" si="1"/>
        <v>#REF!</v>
      </c>
      <c r="C905" s="86" t="str">
        <f t="shared" si="9"/>
        <v>#REF!</v>
      </c>
      <c r="D905" s="86" t="str">
        <f t="shared" si="10"/>
        <v>#REF!</v>
      </c>
      <c r="E905" s="86" t="str">
        <f t="shared" si="11"/>
        <v>#REF!</v>
      </c>
      <c r="F905" s="86" t="str">
        <f t="shared" si="12"/>
        <v>#REF!</v>
      </c>
      <c r="G905" s="86" t="str">
        <f t="shared" si="13"/>
        <v>#REF!</v>
      </c>
      <c r="H905" s="86" t="str">
        <f t="shared" si="14"/>
        <v>#REF!</v>
      </c>
      <c r="I905" s="86" t="str">
        <f t="shared" si="15"/>
        <v>#REF!</v>
      </c>
    </row>
    <row r="906">
      <c r="B906" s="86" t="str">
        <f t="shared" si="1"/>
        <v>#REF!</v>
      </c>
      <c r="C906" s="86" t="str">
        <f t="shared" si="9"/>
        <v>#REF!</v>
      </c>
      <c r="D906" s="86" t="str">
        <f t="shared" si="10"/>
        <v>#REF!</v>
      </c>
      <c r="E906" s="86" t="str">
        <f t="shared" si="11"/>
        <v>#REF!</v>
      </c>
      <c r="F906" s="86" t="str">
        <f t="shared" si="12"/>
        <v>#REF!</v>
      </c>
      <c r="G906" s="86" t="str">
        <f t="shared" si="13"/>
        <v>#REF!</v>
      </c>
      <c r="H906" s="86" t="str">
        <f t="shared" si="14"/>
        <v>#REF!</v>
      </c>
      <c r="I906" s="86" t="str">
        <f t="shared" si="15"/>
        <v>#REF!</v>
      </c>
    </row>
    <row r="907">
      <c r="B907" s="86" t="str">
        <f t="shared" si="1"/>
        <v>#REF!</v>
      </c>
      <c r="C907" s="86" t="str">
        <f t="shared" si="9"/>
        <v>#REF!</v>
      </c>
      <c r="D907" s="86" t="str">
        <f t="shared" si="10"/>
        <v>#REF!</v>
      </c>
      <c r="E907" s="86" t="str">
        <f t="shared" si="11"/>
        <v>#REF!</v>
      </c>
      <c r="F907" s="86" t="str">
        <f t="shared" si="12"/>
        <v>#REF!</v>
      </c>
      <c r="G907" s="86" t="str">
        <f t="shared" si="13"/>
        <v>#REF!</v>
      </c>
      <c r="H907" s="86" t="str">
        <f t="shared" si="14"/>
        <v>#REF!</v>
      </c>
      <c r="I907" s="86" t="str">
        <f t="shared" si="15"/>
        <v>#REF!</v>
      </c>
    </row>
    <row r="908">
      <c r="B908" s="86" t="str">
        <f t="shared" si="1"/>
        <v>#REF!</v>
      </c>
      <c r="C908" s="86" t="str">
        <f t="shared" si="9"/>
        <v>#REF!</v>
      </c>
      <c r="D908" s="86" t="str">
        <f t="shared" si="10"/>
        <v>#REF!</v>
      </c>
      <c r="E908" s="86" t="str">
        <f t="shared" si="11"/>
        <v>#REF!</v>
      </c>
      <c r="F908" s="86" t="str">
        <f t="shared" si="12"/>
        <v>#REF!</v>
      </c>
      <c r="G908" s="86" t="str">
        <f t="shared" si="13"/>
        <v>#REF!</v>
      </c>
      <c r="H908" s="86" t="str">
        <f t="shared" si="14"/>
        <v>#REF!</v>
      </c>
      <c r="I908" s="86" t="str">
        <f t="shared" si="15"/>
        <v>#REF!</v>
      </c>
    </row>
    <row r="909">
      <c r="B909" s="86" t="str">
        <f t="shared" si="1"/>
        <v>#REF!</v>
      </c>
      <c r="C909" s="86" t="str">
        <f t="shared" si="9"/>
        <v>#REF!</v>
      </c>
      <c r="D909" s="86" t="str">
        <f t="shared" si="10"/>
        <v>#REF!</v>
      </c>
      <c r="E909" s="86" t="str">
        <f t="shared" si="11"/>
        <v>#REF!</v>
      </c>
      <c r="F909" s="86" t="str">
        <f t="shared" si="12"/>
        <v>#REF!</v>
      </c>
      <c r="G909" s="86" t="str">
        <f t="shared" si="13"/>
        <v>#REF!</v>
      </c>
      <c r="H909" s="86" t="str">
        <f t="shared" si="14"/>
        <v>#REF!</v>
      </c>
      <c r="I909" s="86" t="str">
        <f t="shared" si="15"/>
        <v>#REF!</v>
      </c>
    </row>
    <row r="910">
      <c r="B910" s="86" t="str">
        <f t="shared" si="1"/>
        <v>#REF!</v>
      </c>
      <c r="C910" s="86" t="str">
        <f t="shared" si="9"/>
        <v>#REF!</v>
      </c>
      <c r="D910" s="86" t="str">
        <f t="shared" si="10"/>
        <v>#REF!</v>
      </c>
      <c r="E910" s="86" t="str">
        <f t="shared" si="11"/>
        <v>#REF!</v>
      </c>
      <c r="F910" s="86" t="str">
        <f t="shared" si="12"/>
        <v>#REF!</v>
      </c>
      <c r="G910" s="86" t="str">
        <f t="shared" si="13"/>
        <v>#REF!</v>
      </c>
      <c r="H910" s="86" t="str">
        <f t="shared" si="14"/>
        <v>#REF!</v>
      </c>
      <c r="I910" s="86" t="str">
        <f t="shared" si="15"/>
        <v>#REF!</v>
      </c>
    </row>
    <row r="911">
      <c r="B911" s="86" t="str">
        <f t="shared" si="1"/>
        <v>#REF!</v>
      </c>
      <c r="C911" s="86" t="str">
        <f t="shared" si="9"/>
        <v>#REF!</v>
      </c>
      <c r="D911" s="86" t="str">
        <f t="shared" si="10"/>
        <v>#REF!</v>
      </c>
      <c r="E911" s="86" t="str">
        <f t="shared" si="11"/>
        <v>#REF!</v>
      </c>
      <c r="F911" s="86" t="str">
        <f t="shared" si="12"/>
        <v>#REF!</v>
      </c>
      <c r="G911" s="86" t="str">
        <f t="shared" si="13"/>
        <v>#REF!</v>
      </c>
      <c r="H911" s="86" t="str">
        <f t="shared" si="14"/>
        <v>#REF!</v>
      </c>
      <c r="I911" s="86" t="str">
        <f t="shared" si="15"/>
        <v>#REF!</v>
      </c>
    </row>
    <row r="912">
      <c r="B912" s="86" t="str">
        <f t="shared" si="1"/>
        <v>#REF!</v>
      </c>
      <c r="C912" s="86" t="str">
        <f t="shared" si="9"/>
        <v>#REF!</v>
      </c>
      <c r="D912" s="86" t="str">
        <f t="shared" si="10"/>
        <v>#REF!</v>
      </c>
      <c r="E912" s="86" t="str">
        <f t="shared" si="11"/>
        <v>#REF!</v>
      </c>
      <c r="F912" s="86" t="str">
        <f t="shared" si="12"/>
        <v>#REF!</v>
      </c>
      <c r="G912" s="86" t="str">
        <f t="shared" si="13"/>
        <v>#REF!</v>
      </c>
      <c r="H912" s="86" t="str">
        <f t="shared" si="14"/>
        <v>#REF!</v>
      </c>
      <c r="I912" s="86" t="str">
        <f t="shared" si="15"/>
        <v>#REF!</v>
      </c>
    </row>
    <row r="913">
      <c r="B913" s="86" t="str">
        <f t="shared" si="1"/>
        <v>#REF!</v>
      </c>
      <c r="C913" s="86" t="str">
        <f t="shared" si="9"/>
        <v>#REF!</v>
      </c>
      <c r="D913" s="86" t="str">
        <f t="shared" si="10"/>
        <v>#REF!</v>
      </c>
      <c r="E913" s="86" t="str">
        <f t="shared" si="11"/>
        <v>#REF!</v>
      </c>
      <c r="F913" s="86" t="str">
        <f t="shared" si="12"/>
        <v>#REF!</v>
      </c>
      <c r="G913" s="86" t="str">
        <f t="shared" si="13"/>
        <v>#REF!</v>
      </c>
      <c r="H913" s="86" t="str">
        <f t="shared" si="14"/>
        <v>#REF!</v>
      </c>
      <c r="I913" s="86" t="str">
        <f t="shared" si="15"/>
        <v>#REF!</v>
      </c>
    </row>
    <row r="914">
      <c r="B914" s="86" t="str">
        <f t="shared" si="1"/>
        <v>#REF!</v>
      </c>
      <c r="C914" s="86" t="str">
        <f t="shared" si="9"/>
        <v>#REF!</v>
      </c>
      <c r="D914" s="86" t="str">
        <f t="shared" si="10"/>
        <v>#REF!</v>
      </c>
      <c r="E914" s="86" t="str">
        <f t="shared" si="11"/>
        <v>#REF!</v>
      </c>
      <c r="F914" s="86" t="str">
        <f t="shared" si="12"/>
        <v>#REF!</v>
      </c>
      <c r="G914" s="86" t="str">
        <f t="shared" si="13"/>
        <v>#REF!</v>
      </c>
      <c r="H914" s="86" t="str">
        <f t="shared" si="14"/>
        <v>#REF!</v>
      </c>
      <c r="I914" s="86" t="str">
        <f t="shared" si="15"/>
        <v>#REF!</v>
      </c>
    </row>
    <row r="915">
      <c r="B915" s="86" t="str">
        <f t="shared" si="1"/>
        <v>#REF!</v>
      </c>
      <c r="C915" s="86" t="str">
        <f t="shared" si="9"/>
        <v>#REF!</v>
      </c>
      <c r="D915" s="86" t="str">
        <f t="shared" si="10"/>
        <v>#REF!</v>
      </c>
      <c r="E915" s="86" t="str">
        <f t="shared" si="11"/>
        <v>#REF!</v>
      </c>
      <c r="F915" s="86" t="str">
        <f t="shared" si="12"/>
        <v>#REF!</v>
      </c>
      <c r="G915" s="86" t="str">
        <f t="shared" si="13"/>
        <v>#REF!</v>
      </c>
      <c r="H915" s="86" t="str">
        <f t="shared" si="14"/>
        <v>#REF!</v>
      </c>
      <c r="I915" s="86" t="str">
        <f t="shared" si="15"/>
        <v>#REF!</v>
      </c>
    </row>
    <row r="916">
      <c r="B916" s="86" t="str">
        <f t="shared" si="1"/>
        <v>#REF!</v>
      </c>
      <c r="C916" s="86" t="str">
        <f t="shared" si="9"/>
        <v>#REF!</v>
      </c>
      <c r="D916" s="86" t="str">
        <f t="shared" si="10"/>
        <v>#REF!</v>
      </c>
      <c r="E916" s="86" t="str">
        <f t="shared" si="11"/>
        <v>#REF!</v>
      </c>
      <c r="F916" s="86" t="str">
        <f t="shared" si="12"/>
        <v>#REF!</v>
      </c>
      <c r="G916" s="86" t="str">
        <f t="shared" si="13"/>
        <v>#REF!</v>
      </c>
      <c r="H916" s="86" t="str">
        <f t="shared" si="14"/>
        <v>#REF!</v>
      </c>
      <c r="I916" s="86" t="str">
        <f t="shared" si="15"/>
        <v>#REF!</v>
      </c>
    </row>
    <row r="917">
      <c r="B917" s="86" t="str">
        <f t="shared" si="1"/>
        <v>#REF!</v>
      </c>
      <c r="C917" s="86" t="str">
        <f t="shared" si="9"/>
        <v>#REF!</v>
      </c>
      <c r="D917" s="86" t="str">
        <f t="shared" si="10"/>
        <v>#REF!</v>
      </c>
      <c r="E917" s="86" t="str">
        <f t="shared" si="11"/>
        <v>#REF!</v>
      </c>
      <c r="F917" s="86" t="str">
        <f t="shared" si="12"/>
        <v>#REF!</v>
      </c>
      <c r="G917" s="86" t="str">
        <f t="shared" si="13"/>
        <v>#REF!</v>
      </c>
      <c r="H917" s="86" t="str">
        <f t="shared" si="14"/>
        <v>#REF!</v>
      </c>
      <c r="I917" s="86" t="str">
        <f t="shared" si="15"/>
        <v>#REF!</v>
      </c>
    </row>
    <row r="918">
      <c r="B918" s="86" t="str">
        <f t="shared" si="1"/>
        <v>#REF!</v>
      </c>
      <c r="C918" s="86" t="str">
        <f t="shared" si="9"/>
        <v>#REF!</v>
      </c>
      <c r="D918" s="86" t="str">
        <f t="shared" si="10"/>
        <v>#REF!</v>
      </c>
      <c r="E918" s="86" t="str">
        <f t="shared" si="11"/>
        <v>#REF!</v>
      </c>
      <c r="F918" s="86" t="str">
        <f t="shared" si="12"/>
        <v>#REF!</v>
      </c>
      <c r="G918" s="86" t="str">
        <f t="shared" si="13"/>
        <v>#REF!</v>
      </c>
      <c r="H918" s="86" t="str">
        <f t="shared" si="14"/>
        <v>#REF!</v>
      </c>
      <c r="I918" s="86" t="str">
        <f t="shared" si="15"/>
        <v>#REF!</v>
      </c>
    </row>
    <row r="919">
      <c r="B919" s="86" t="str">
        <f t="shared" si="1"/>
        <v>#REF!</v>
      </c>
      <c r="C919" s="86" t="str">
        <f t="shared" si="9"/>
        <v>#REF!</v>
      </c>
      <c r="D919" s="86" t="str">
        <f t="shared" si="10"/>
        <v>#REF!</v>
      </c>
      <c r="E919" s="86" t="str">
        <f t="shared" si="11"/>
        <v>#REF!</v>
      </c>
      <c r="F919" s="86" t="str">
        <f t="shared" si="12"/>
        <v>#REF!</v>
      </c>
      <c r="G919" s="86" t="str">
        <f t="shared" si="13"/>
        <v>#REF!</v>
      </c>
      <c r="H919" s="86" t="str">
        <f t="shared" si="14"/>
        <v>#REF!</v>
      </c>
      <c r="I919" s="86" t="str">
        <f t="shared" si="15"/>
        <v>#REF!</v>
      </c>
    </row>
    <row r="920">
      <c r="B920" s="86" t="str">
        <f t="shared" si="1"/>
        <v>#REF!</v>
      </c>
      <c r="C920" s="86" t="str">
        <f t="shared" si="9"/>
        <v>#REF!</v>
      </c>
      <c r="D920" s="86" t="str">
        <f t="shared" si="10"/>
        <v>#REF!</v>
      </c>
      <c r="E920" s="86" t="str">
        <f t="shared" si="11"/>
        <v>#REF!</v>
      </c>
      <c r="F920" s="86" t="str">
        <f t="shared" si="12"/>
        <v>#REF!</v>
      </c>
      <c r="G920" s="86" t="str">
        <f t="shared" si="13"/>
        <v>#REF!</v>
      </c>
      <c r="H920" s="86" t="str">
        <f t="shared" si="14"/>
        <v>#REF!</v>
      </c>
      <c r="I920" s="86" t="str">
        <f t="shared" si="15"/>
        <v>#REF!</v>
      </c>
    </row>
    <row r="921">
      <c r="B921" s="86" t="str">
        <f t="shared" si="1"/>
        <v>#REF!</v>
      </c>
      <c r="C921" s="86" t="str">
        <f t="shared" si="9"/>
        <v>#REF!</v>
      </c>
      <c r="D921" s="86" t="str">
        <f t="shared" si="10"/>
        <v>#REF!</v>
      </c>
      <c r="E921" s="86" t="str">
        <f t="shared" si="11"/>
        <v>#REF!</v>
      </c>
      <c r="F921" s="86" t="str">
        <f t="shared" si="12"/>
        <v>#REF!</v>
      </c>
      <c r="G921" s="86" t="str">
        <f t="shared" si="13"/>
        <v>#REF!</v>
      </c>
      <c r="H921" s="86" t="str">
        <f t="shared" si="14"/>
        <v>#REF!</v>
      </c>
      <c r="I921" s="86" t="str">
        <f t="shared" si="15"/>
        <v>#REF!</v>
      </c>
    </row>
    <row r="922">
      <c r="B922" s="86" t="str">
        <f t="shared" si="1"/>
        <v>#REF!</v>
      </c>
      <c r="C922" s="86" t="str">
        <f t="shared" si="9"/>
        <v>#REF!</v>
      </c>
      <c r="D922" s="86" t="str">
        <f t="shared" si="10"/>
        <v>#REF!</v>
      </c>
      <c r="E922" s="86" t="str">
        <f t="shared" si="11"/>
        <v>#REF!</v>
      </c>
      <c r="F922" s="86" t="str">
        <f t="shared" si="12"/>
        <v>#REF!</v>
      </c>
      <c r="G922" s="86" t="str">
        <f t="shared" si="13"/>
        <v>#REF!</v>
      </c>
      <c r="H922" s="86" t="str">
        <f t="shared" si="14"/>
        <v>#REF!</v>
      </c>
      <c r="I922" s="86" t="str">
        <f t="shared" si="15"/>
        <v>#REF!</v>
      </c>
    </row>
    <row r="923">
      <c r="B923" s="86" t="str">
        <f t="shared" si="1"/>
        <v>#REF!</v>
      </c>
      <c r="C923" s="86" t="str">
        <f t="shared" si="9"/>
        <v>#REF!</v>
      </c>
      <c r="D923" s="86" t="str">
        <f t="shared" si="10"/>
        <v>#REF!</v>
      </c>
      <c r="E923" s="86" t="str">
        <f t="shared" si="11"/>
        <v>#REF!</v>
      </c>
      <c r="F923" s="86" t="str">
        <f t="shared" si="12"/>
        <v>#REF!</v>
      </c>
      <c r="G923" s="86" t="str">
        <f t="shared" si="13"/>
        <v>#REF!</v>
      </c>
      <c r="H923" s="86" t="str">
        <f t="shared" si="14"/>
        <v>#REF!</v>
      </c>
      <c r="I923" s="86" t="str">
        <f t="shared" si="15"/>
        <v>#REF!</v>
      </c>
    </row>
    <row r="924">
      <c r="B924" s="86" t="str">
        <f t="shared" si="1"/>
        <v>#REF!</v>
      </c>
      <c r="C924" s="86" t="str">
        <f t="shared" si="9"/>
        <v>#REF!</v>
      </c>
      <c r="D924" s="86" t="str">
        <f t="shared" si="10"/>
        <v>#REF!</v>
      </c>
      <c r="E924" s="86" t="str">
        <f t="shared" si="11"/>
        <v>#REF!</v>
      </c>
      <c r="F924" s="86" t="str">
        <f t="shared" si="12"/>
        <v>#REF!</v>
      </c>
      <c r="G924" s="86" t="str">
        <f t="shared" si="13"/>
        <v>#REF!</v>
      </c>
      <c r="H924" s="86" t="str">
        <f t="shared" si="14"/>
        <v>#REF!</v>
      </c>
      <c r="I924" s="86" t="str">
        <f t="shared" si="15"/>
        <v>#REF!</v>
      </c>
    </row>
    <row r="925">
      <c r="B925" s="86" t="str">
        <f t="shared" si="1"/>
        <v>#REF!</v>
      </c>
      <c r="C925" s="86" t="str">
        <f t="shared" si="9"/>
        <v>#REF!</v>
      </c>
      <c r="D925" s="86" t="str">
        <f t="shared" si="10"/>
        <v>#REF!</v>
      </c>
      <c r="E925" s="86" t="str">
        <f t="shared" si="11"/>
        <v>#REF!</v>
      </c>
      <c r="F925" s="86" t="str">
        <f t="shared" si="12"/>
        <v>#REF!</v>
      </c>
      <c r="G925" s="86" t="str">
        <f t="shared" si="13"/>
        <v>#REF!</v>
      </c>
      <c r="H925" s="86" t="str">
        <f t="shared" si="14"/>
        <v>#REF!</v>
      </c>
      <c r="I925" s="86" t="str">
        <f t="shared" si="15"/>
        <v>#REF!</v>
      </c>
    </row>
    <row r="926">
      <c r="B926" s="86" t="str">
        <f t="shared" si="1"/>
        <v>#REF!</v>
      </c>
      <c r="C926" s="86" t="str">
        <f t="shared" si="9"/>
        <v>#REF!</v>
      </c>
      <c r="D926" s="86" t="str">
        <f t="shared" si="10"/>
        <v>#REF!</v>
      </c>
      <c r="E926" s="86" t="str">
        <f t="shared" si="11"/>
        <v>#REF!</v>
      </c>
      <c r="F926" s="86" t="str">
        <f t="shared" si="12"/>
        <v>#REF!</v>
      </c>
      <c r="G926" s="86" t="str">
        <f t="shared" si="13"/>
        <v>#REF!</v>
      </c>
      <c r="H926" s="86" t="str">
        <f t="shared" si="14"/>
        <v>#REF!</v>
      </c>
      <c r="I926" s="86" t="str">
        <f t="shared" si="15"/>
        <v>#REF!</v>
      </c>
    </row>
    <row r="927">
      <c r="B927" s="86" t="str">
        <f t="shared" si="1"/>
        <v>#REF!</v>
      </c>
      <c r="C927" s="86" t="str">
        <f t="shared" si="9"/>
        <v>#REF!</v>
      </c>
      <c r="D927" s="86" t="str">
        <f t="shared" si="10"/>
        <v>#REF!</v>
      </c>
      <c r="E927" s="86" t="str">
        <f t="shared" si="11"/>
        <v>#REF!</v>
      </c>
      <c r="F927" s="86" t="str">
        <f t="shared" si="12"/>
        <v>#REF!</v>
      </c>
      <c r="G927" s="86" t="str">
        <f t="shared" si="13"/>
        <v>#REF!</v>
      </c>
      <c r="H927" s="86" t="str">
        <f t="shared" si="14"/>
        <v>#REF!</v>
      </c>
      <c r="I927" s="86" t="str">
        <f t="shared" si="15"/>
        <v>#REF!</v>
      </c>
    </row>
    <row r="928">
      <c r="B928" s="86" t="str">
        <f t="shared" si="1"/>
        <v>#REF!</v>
      </c>
      <c r="C928" s="86" t="str">
        <f t="shared" si="9"/>
        <v>#REF!</v>
      </c>
      <c r="D928" s="86" t="str">
        <f t="shared" si="10"/>
        <v>#REF!</v>
      </c>
      <c r="E928" s="86" t="str">
        <f t="shared" si="11"/>
        <v>#REF!</v>
      </c>
      <c r="F928" s="86" t="str">
        <f t="shared" si="12"/>
        <v>#REF!</v>
      </c>
      <c r="G928" s="86" t="str">
        <f t="shared" si="13"/>
        <v>#REF!</v>
      </c>
      <c r="H928" s="86" t="str">
        <f t="shared" si="14"/>
        <v>#REF!</v>
      </c>
      <c r="I928" s="86" t="str">
        <f t="shared" si="15"/>
        <v>#REF!</v>
      </c>
    </row>
    <row r="929">
      <c r="B929" s="86" t="str">
        <f t="shared" si="1"/>
        <v>#REF!</v>
      </c>
      <c r="C929" s="86" t="str">
        <f t="shared" si="9"/>
        <v>#REF!</v>
      </c>
      <c r="D929" s="86" t="str">
        <f t="shared" si="10"/>
        <v>#REF!</v>
      </c>
      <c r="E929" s="86" t="str">
        <f t="shared" si="11"/>
        <v>#REF!</v>
      </c>
      <c r="F929" s="86" t="str">
        <f t="shared" si="12"/>
        <v>#REF!</v>
      </c>
      <c r="G929" s="86" t="str">
        <f t="shared" si="13"/>
        <v>#REF!</v>
      </c>
      <c r="H929" s="86" t="str">
        <f t="shared" si="14"/>
        <v>#REF!</v>
      </c>
      <c r="I929" s="86" t="str">
        <f t="shared" si="15"/>
        <v>#REF!</v>
      </c>
    </row>
    <row r="930">
      <c r="B930" s="86" t="str">
        <f t="shared" si="1"/>
        <v>#REF!</v>
      </c>
      <c r="C930" s="86" t="str">
        <f t="shared" si="9"/>
        <v>#REF!</v>
      </c>
      <c r="D930" s="86" t="str">
        <f t="shared" si="10"/>
        <v>#REF!</v>
      </c>
      <c r="E930" s="86" t="str">
        <f t="shared" si="11"/>
        <v>#REF!</v>
      </c>
      <c r="F930" s="86" t="str">
        <f t="shared" si="12"/>
        <v>#REF!</v>
      </c>
      <c r="G930" s="86" t="str">
        <f t="shared" si="13"/>
        <v>#REF!</v>
      </c>
      <c r="H930" s="86" t="str">
        <f t="shared" si="14"/>
        <v>#REF!</v>
      </c>
      <c r="I930" s="86" t="str">
        <f t="shared" si="15"/>
        <v>#REF!</v>
      </c>
    </row>
    <row r="931">
      <c r="B931" s="86" t="str">
        <f t="shared" si="1"/>
        <v>#REF!</v>
      </c>
      <c r="C931" s="86" t="str">
        <f t="shared" si="9"/>
        <v>#REF!</v>
      </c>
      <c r="D931" s="86" t="str">
        <f t="shared" si="10"/>
        <v>#REF!</v>
      </c>
      <c r="E931" s="86" t="str">
        <f t="shared" si="11"/>
        <v>#REF!</v>
      </c>
      <c r="F931" s="86" t="str">
        <f t="shared" si="12"/>
        <v>#REF!</v>
      </c>
      <c r="G931" s="86" t="str">
        <f t="shared" si="13"/>
        <v>#REF!</v>
      </c>
      <c r="H931" s="86" t="str">
        <f t="shared" si="14"/>
        <v>#REF!</v>
      </c>
      <c r="I931" s="86" t="str">
        <f t="shared" si="15"/>
        <v>#REF!</v>
      </c>
    </row>
    <row r="932">
      <c r="B932" s="86" t="str">
        <f t="shared" si="1"/>
        <v>#REF!</v>
      </c>
      <c r="C932" s="86" t="str">
        <f t="shared" si="9"/>
        <v>#REF!</v>
      </c>
      <c r="D932" s="86" t="str">
        <f t="shared" si="10"/>
        <v>#REF!</v>
      </c>
      <c r="E932" s="86" t="str">
        <f t="shared" si="11"/>
        <v>#REF!</v>
      </c>
      <c r="F932" s="86" t="str">
        <f t="shared" si="12"/>
        <v>#REF!</v>
      </c>
      <c r="G932" s="86" t="str">
        <f t="shared" si="13"/>
        <v>#REF!</v>
      </c>
      <c r="H932" s="86" t="str">
        <f t="shared" si="14"/>
        <v>#REF!</v>
      </c>
      <c r="I932" s="86" t="str">
        <f t="shared" si="15"/>
        <v>#REF!</v>
      </c>
    </row>
    <row r="933">
      <c r="B933" s="86" t="str">
        <f t="shared" si="1"/>
        <v>#REF!</v>
      </c>
      <c r="C933" s="86" t="str">
        <f t="shared" si="9"/>
        <v>#REF!</v>
      </c>
      <c r="D933" s="86" t="str">
        <f t="shared" si="10"/>
        <v>#REF!</v>
      </c>
      <c r="E933" s="86" t="str">
        <f t="shared" si="11"/>
        <v>#REF!</v>
      </c>
      <c r="F933" s="86" t="str">
        <f t="shared" si="12"/>
        <v>#REF!</v>
      </c>
      <c r="G933" s="86" t="str">
        <f t="shared" si="13"/>
        <v>#REF!</v>
      </c>
      <c r="H933" s="86" t="str">
        <f t="shared" si="14"/>
        <v>#REF!</v>
      </c>
      <c r="I933" s="86" t="str">
        <f t="shared" si="15"/>
        <v>#REF!</v>
      </c>
    </row>
    <row r="934">
      <c r="B934" s="86" t="str">
        <f t="shared" si="1"/>
        <v>#REF!</v>
      </c>
      <c r="C934" s="86" t="str">
        <f t="shared" si="9"/>
        <v>#REF!</v>
      </c>
      <c r="D934" s="86" t="str">
        <f t="shared" si="10"/>
        <v>#REF!</v>
      </c>
      <c r="E934" s="86" t="str">
        <f t="shared" si="11"/>
        <v>#REF!</v>
      </c>
      <c r="F934" s="86" t="str">
        <f t="shared" si="12"/>
        <v>#REF!</v>
      </c>
      <c r="G934" s="86" t="str">
        <f t="shared" si="13"/>
        <v>#REF!</v>
      </c>
      <c r="H934" s="86" t="str">
        <f t="shared" si="14"/>
        <v>#REF!</v>
      </c>
      <c r="I934" s="86" t="str">
        <f t="shared" si="15"/>
        <v>#REF!</v>
      </c>
    </row>
    <row r="935">
      <c r="B935" s="86" t="str">
        <f t="shared" si="1"/>
        <v>#REF!</v>
      </c>
      <c r="C935" s="86" t="str">
        <f t="shared" si="9"/>
        <v>#REF!</v>
      </c>
      <c r="D935" s="86" t="str">
        <f t="shared" si="10"/>
        <v>#REF!</v>
      </c>
      <c r="E935" s="86" t="str">
        <f t="shared" si="11"/>
        <v>#REF!</v>
      </c>
      <c r="F935" s="86" t="str">
        <f t="shared" si="12"/>
        <v>#REF!</v>
      </c>
      <c r="G935" s="86" t="str">
        <f t="shared" si="13"/>
        <v>#REF!</v>
      </c>
      <c r="H935" s="86" t="str">
        <f t="shared" si="14"/>
        <v>#REF!</v>
      </c>
      <c r="I935" s="86" t="str">
        <f t="shared" si="15"/>
        <v>#REF!</v>
      </c>
    </row>
    <row r="936">
      <c r="B936" s="86" t="str">
        <f t="shared" si="1"/>
        <v>#REF!</v>
      </c>
      <c r="C936" s="86" t="str">
        <f t="shared" si="9"/>
        <v>#REF!</v>
      </c>
      <c r="D936" s="86" t="str">
        <f t="shared" si="10"/>
        <v>#REF!</v>
      </c>
      <c r="E936" s="86" t="str">
        <f t="shared" si="11"/>
        <v>#REF!</v>
      </c>
      <c r="F936" s="86" t="str">
        <f t="shared" si="12"/>
        <v>#REF!</v>
      </c>
      <c r="G936" s="86" t="str">
        <f t="shared" si="13"/>
        <v>#REF!</v>
      </c>
      <c r="H936" s="86" t="str">
        <f t="shared" si="14"/>
        <v>#REF!</v>
      </c>
      <c r="I936" s="86" t="str">
        <f t="shared" si="15"/>
        <v>#REF!</v>
      </c>
    </row>
    <row r="937">
      <c r="B937" s="86" t="str">
        <f t="shared" si="1"/>
        <v>#REF!</v>
      </c>
      <c r="C937" s="86" t="str">
        <f t="shared" si="9"/>
        <v>#REF!</v>
      </c>
      <c r="D937" s="86" t="str">
        <f t="shared" si="10"/>
        <v>#REF!</v>
      </c>
      <c r="E937" s="86" t="str">
        <f t="shared" si="11"/>
        <v>#REF!</v>
      </c>
      <c r="F937" s="86" t="str">
        <f t="shared" si="12"/>
        <v>#REF!</v>
      </c>
      <c r="G937" s="86" t="str">
        <f t="shared" si="13"/>
        <v>#REF!</v>
      </c>
      <c r="H937" s="86" t="str">
        <f t="shared" si="14"/>
        <v>#REF!</v>
      </c>
      <c r="I937" s="86" t="str">
        <f t="shared" si="15"/>
        <v>#REF!</v>
      </c>
    </row>
    <row r="938">
      <c r="B938" s="86" t="str">
        <f t="shared" si="1"/>
        <v>#REF!</v>
      </c>
      <c r="C938" s="86" t="str">
        <f t="shared" si="9"/>
        <v>#REF!</v>
      </c>
      <c r="D938" s="86" t="str">
        <f t="shared" si="10"/>
        <v>#REF!</v>
      </c>
      <c r="E938" s="86" t="str">
        <f t="shared" si="11"/>
        <v>#REF!</v>
      </c>
      <c r="F938" s="86" t="str">
        <f t="shared" si="12"/>
        <v>#REF!</v>
      </c>
      <c r="G938" s="86" t="str">
        <f t="shared" si="13"/>
        <v>#REF!</v>
      </c>
      <c r="H938" s="86" t="str">
        <f t="shared" si="14"/>
        <v>#REF!</v>
      </c>
      <c r="I938" s="86" t="str">
        <f t="shared" si="15"/>
        <v>#REF!</v>
      </c>
    </row>
    <row r="939">
      <c r="B939" s="86" t="str">
        <f t="shared" si="1"/>
        <v>#REF!</v>
      </c>
      <c r="C939" s="86" t="str">
        <f t="shared" si="9"/>
        <v>#REF!</v>
      </c>
      <c r="D939" s="86" t="str">
        <f t="shared" si="10"/>
        <v>#REF!</v>
      </c>
      <c r="E939" s="86" t="str">
        <f t="shared" si="11"/>
        <v>#REF!</v>
      </c>
      <c r="F939" s="86" t="str">
        <f t="shared" si="12"/>
        <v>#REF!</v>
      </c>
      <c r="G939" s="86" t="str">
        <f t="shared" si="13"/>
        <v>#REF!</v>
      </c>
      <c r="H939" s="86" t="str">
        <f t="shared" si="14"/>
        <v>#REF!</v>
      </c>
      <c r="I939" s="86" t="str">
        <f t="shared" si="15"/>
        <v>#REF!</v>
      </c>
    </row>
    <row r="940">
      <c r="B940" s="86" t="str">
        <f t="shared" si="1"/>
        <v>#REF!</v>
      </c>
      <c r="C940" s="86" t="str">
        <f t="shared" si="9"/>
        <v>#REF!</v>
      </c>
      <c r="D940" s="86" t="str">
        <f t="shared" si="10"/>
        <v>#REF!</v>
      </c>
      <c r="E940" s="86" t="str">
        <f t="shared" si="11"/>
        <v>#REF!</v>
      </c>
      <c r="F940" s="86" t="str">
        <f t="shared" si="12"/>
        <v>#REF!</v>
      </c>
      <c r="G940" s="86" t="str">
        <f t="shared" si="13"/>
        <v>#REF!</v>
      </c>
      <c r="H940" s="86" t="str">
        <f t="shared" si="14"/>
        <v>#REF!</v>
      </c>
      <c r="I940" s="86" t="str">
        <f t="shared" si="15"/>
        <v>#REF!</v>
      </c>
    </row>
    <row r="941">
      <c r="B941" s="86" t="str">
        <f t="shared" si="1"/>
        <v>#REF!</v>
      </c>
      <c r="C941" s="86" t="str">
        <f t="shared" si="9"/>
        <v>#REF!</v>
      </c>
      <c r="D941" s="86" t="str">
        <f t="shared" si="10"/>
        <v>#REF!</v>
      </c>
      <c r="E941" s="86" t="str">
        <f t="shared" si="11"/>
        <v>#REF!</v>
      </c>
      <c r="F941" s="86" t="str">
        <f t="shared" si="12"/>
        <v>#REF!</v>
      </c>
      <c r="G941" s="86" t="str">
        <f t="shared" si="13"/>
        <v>#REF!</v>
      </c>
      <c r="H941" s="86" t="str">
        <f t="shared" si="14"/>
        <v>#REF!</v>
      </c>
      <c r="I941" s="86" t="str">
        <f t="shared" si="15"/>
        <v>#REF!</v>
      </c>
    </row>
    <row r="942">
      <c r="B942" s="86" t="str">
        <f t="shared" si="1"/>
        <v>#REF!</v>
      </c>
      <c r="C942" s="86" t="str">
        <f t="shared" si="9"/>
        <v>#REF!</v>
      </c>
      <c r="D942" s="86" t="str">
        <f t="shared" si="10"/>
        <v>#REF!</v>
      </c>
      <c r="E942" s="86" t="str">
        <f t="shared" si="11"/>
        <v>#REF!</v>
      </c>
      <c r="F942" s="86" t="str">
        <f t="shared" si="12"/>
        <v>#REF!</v>
      </c>
      <c r="G942" s="86" t="str">
        <f t="shared" si="13"/>
        <v>#REF!</v>
      </c>
      <c r="H942" s="86" t="str">
        <f t="shared" si="14"/>
        <v>#REF!</v>
      </c>
      <c r="I942" s="86" t="str">
        <f t="shared" si="15"/>
        <v>#REF!</v>
      </c>
    </row>
    <row r="943">
      <c r="B943" s="86" t="str">
        <f t="shared" si="1"/>
        <v>#REF!</v>
      </c>
      <c r="C943" s="86" t="str">
        <f t="shared" si="9"/>
        <v>#REF!</v>
      </c>
      <c r="D943" s="86" t="str">
        <f t="shared" si="10"/>
        <v>#REF!</v>
      </c>
      <c r="E943" s="86" t="str">
        <f t="shared" si="11"/>
        <v>#REF!</v>
      </c>
      <c r="F943" s="86" t="str">
        <f t="shared" si="12"/>
        <v>#REF!</v>
      </c>
      <c r="G943" s="86" t="str">
        <f t="shared" si="13"/>
        <v>#REF!</v>
      </c>
      <c r="H943" s="86" t="str">
        <f t="shared" si="14"/>
        <v>#REF!</v>
      </c>
      <c r="I943" s="86" t="str">
        <f t="shared" si="15"/>
        <v>#REF!</v>
      </c>
    </row>
    <row r="944">
      <c r="B944" s="86" t="str">
        <f t="shared" si="1"/>
        <v>#REF!</v>
      </c>
      <c r="C944" s="86" t="str">
        <f t="shared" si="9"/>
        <v>#REF!</v>
      </c>
      <c r="D944" s="86" t="str">
        <f t="shared" si="10"/>
        <v>#REF!</v>
      </c>
      <c r="E944" s="86" t="str">
        <f t="shared" si="11"/>
        <v>#REF!</v>
      </c>
      <c r="F944" s="86" t="str">
        <f t="shared" si="12"/>
        <v>#REF!</v>
      </c>
      <c r="G944" s="86" t="str">
        <f t="shared" si="13"/>
        <v>#REF!</v>
      </c>
      <c r="H944" s="86" t="str">
        <f t="shared" si="14"/>
        <v>#REF!</v>
      </c>
      <c r="I944" s="86" t="str">
        <f t="shared" si="15"/>
        <v>#REF!</v>
      </c>
    </row>
    <row r="945">
      <c r="B945" s="86" t="str">
        <f t="shared" si="1"/>
        <v>#REF!</v>
      </c>
      <c r="C945" s="86" t="str">
        <f t="shared" si="9"/>
        <v>#REF!</v>
      </c>
      <c r="D945" s="86" t="str">
        <f t="shared" si="10"/>
        <v>#REF!</v>
      </c>
      <c r="E945" s="86" t="str">
        <f t="shared" si="11"/>
        <v>#REF!</v>
      </c>
      <c r="F945" s="86" t="str">
        <f t="shared" si="12"/>
        <v>#REF!</v>
      </c>
      <c r="G945" s="86" t="str">
        <f t="shared" si="13"/>
        <v>#REF!</v>
      </c>
      <c r="H945" s="86" t="str">
        <f t="shared" si="14"/>
        <v>#REF!</v>
      </c>
      <c r="I945" s="86" t="str">
        <f t="shared" si="15"/>
        <v>#REF!</v>
      </c>
    </row>
    <row r="946">
      <c r="B946" s="86" t="str">
        <f t="shared" si="1"/>
        <v>#REF!</v>
      </c>
      <c r="C946" s="86" t="str">
        <f t="shared" si="9"/>
        <v>#REF!</v>
      </c>
      <c r="D946" s="86" t="str">
        <f t="shared" si="10"/>
        <v>#REF!</v>
      </c>
      <c r="E946" s="86" t="str">
        <f t="shared" si="11"/>
        <v>#REF!</v>
      </c>
      <c r="F946" s="86" t="str">
        <f t="shared" si="12"/>
        <v>#REF!</v>
      </c>
      <c r="G946" s="86" t="str">
        <f t="shared" si="13"/>
        <v>#REF!</v>
      </c>
      <c r="H946" s="86" t="str">
        <f t="shared" si="14"/>
        <v>#REF!</v>
      </c>
      <c r="I946" s="86" t="str">
        <f t="shared" si="15"/>
        <v>#REF!</v>
      </c>
    </row>
    <row r="947">
      <c r="B947" s="86" t="str">
        <f t="shared" si="1"/>
        <v>#REF!</v>
      </c>
      <c r="C947" s="86" t="str">
        <f t="shared" si="9"/>
        <v>#REF!</v>
      </c>
      <c r="D947" s="86" t="str">
        <f t="shared" si="10"/>
        <v>#REF!</v>
      </c>
      <c r="E947" s="86" t="str">
        <f t="shared" si="11"/>
        <v>#REF!</v>
      </c>
      <c r="F947" s="86" t="str">
        <f t="shared" si="12"/>
        <v>#REF!</v>
      </c>
      <c r="G947" s="86" t="str">
        <f t="shared" si="13"/>
        <v>#REF!</v>
      </c>
      <c r="H947" s="86" t="str">
        <f t="shared" si="14"/>
        <v>#REF!</v>
      </c>
      <c r="I947" s="86" t="str">
        <f t="shared" si="15"/>
        <v>#REF!</v>
      </c>
    </row>
    <row r="948">
      <c r="B948" s="86" t="str">
        <f t="shared" si="1"/>
        <v>#REF!</v>
      </c>
      <c r="C948" s="86" t="str">
        <f t="shared" si="9"/>
        <v>#REF!</v>
      </c>
      <c r="D948" s="86" t="str">
        <f t="shared" si="10"/>
        <v>#REF!</v>
      </c>
      <c r="E948" s="86" t="str">
        <f t="shared" si="11"/>
        <v>#REF!</v>
      </c>
      <c r="F948" s="86" t="str">
        <f t="shared" si="12"/>
        <v>#REF!</v>
      </c>
      <c r="G948" s="86" t="str">
        <f t="shared" si="13"/>
        <v>#REF!</v>
      </c>
      <c r="H948" s="86" t="str">
        <f t="shared" si="14"/>
        <v>#REF!</v>
      </c>
      <c r="I948" s="86" t="str">
        <f t="shared" si="15"/>
        <v>#REF!</v>
      </c>
    </row>
    <row r="949">
      <c r="B949" s="86" t="str">
        <f t="shared" si="1"/>
        <v>#REF!</v>
      </c>
      <c r="C949" s="86" t="str">
        <f t="shared" si="9"/>
        <v>#REF!</v>
      </c>
      <c r="D949" s="86" t="str">
        <f t="shared" si="10"/>
        <v>#REF!</v>
      </c>
      <c r="E949" s="86" t="str">
        <f t="shared" si="11"/>
        <v>#REF!</v>
      </c>
      <c r="F949" s="86" t="str">
        <f t="shared" si="12"/>
        <v>#REF!</v>
      </c>
      <c r="G949" s="86" t="str">
        <f t="shared" si="13"/>
        <v>#REF!</v>
      </c>
      <c r="H949" s="86" t="str">
        <f t="shared" si="14"/>
        <v>#REF!</v>
      </c>
      <c r="I949" s="86" t="str">
        <f t="shared" si="15"/>
        <v>#REF!</v>
      </c>
    </row>
    <row r="950">
      <c r="B950" s="86" t="str">
        <f t="shared" si="1"/>
        <v>#REF!</v>
      </c>
      <c r="C950" s="86" t="str">
        <f t="shared" si="9"/>
        <v>#REF!</v>
      </c>
      <c r="D950" s="86" t="str">
        <f t="shared" si="10"/>
        <v>#REF!</v>
      </c>
      <c r="E950" s="86" t="str">
        <f t="shared" si="11"/>
        <v>#REF!</v>
      </c>
      <c r="F950" s="86" t="str">
        <f t="shared" si="12"/>
        <v>#REF!</v>
      </c>
      <c r="G950" s="86" t="str">
        <f t="shared" si="13"/>
        <v>#REF!</v>
      </c>
      <c r="H950" s="86" t="str">
        <f t="shared" si="14"/>
        <v>#REF!</v>
      </c>
      <c r="I950" s="86" t="str">
        <f t="shared" si="15"/>
        <v>#REF!</v>
      </c>
    </row>
    <row r="951">
      <c r="B951" s="86" t="str">
        <f t="shared" si="1"/>
        <v>#REF!</v>
      </c>
      <c r="C951" s="86" t="str">
        <f t="shared" si="9"/>
        <v>#REF!</v>
      </c>
      <c r="D951" s="86" t="str">
        <f t="shared" si="10"/>
        <v>#REF!</v>
      </c>
      <c r="E951" s="86" t="str">
        <f t="shared" si="11"/>
        <v>#REF!</v>
      </c>
      <c r="F951" s="86" t="str">
        <f t="shared" si="12"/>
        <v>#REF!</v>
      </c>
      <c r="G951" s="86" t="str">
        <f t="shared" si="13"/>
        <v>#REF!</v>
      </c>
      <c r="H951" s="86" t="str">
        <f t="shared" si="14"/>
        <v>#REF!</v>
      </c>
      <c r="I951" s="86" t="str">
        <f t="shared" si="15"/>
        <v>#REF!</v>
      </c>
    </row>
    <row r="952">
      <c r="B952" s="86" t="str">
        <f t="shared" si="1"/>
        <v>#REF!</v>
      </c>
      <c r="C952" s="86" t="str">
        <f t="shared" si="9"/>
        <v>#REF!</v>
      </c>
      <c r="D952" s="86" t="str">
        <f t="shared" si="10"/>
        <v>#REF!</v>
      </c>
      <c r="E952" s="86" t="str">
        <f t="shared" si="11"/>
        <v>#REF!</v>
      </c>
      <c r="F952" s="86" t="str">
        <f t="shared" si="12"/>
        <v>#REF!</v>
      </c>
      <c r="G952" s="86" t="str">
        <f t="shared" si="13"/>
        <v>#REF!</v>
      </c>
      <c r="H952" s="86" t="str">
        <f t="shared" si="14"/>
        <v>#REF!</v>
      </c>
      <c r="I952" s="86" t="str">
        <f t="shared" si="15"/>
        <v>#REF!</v>
      </c>
    </row>
    <row r="953">
      <c r="B953" s="86" t="str">
        <f t="shared" si="1"/>
        <v>#REF!</v>
      </c>
      <c r="C953" s="86" t="str">
        <f t="shared" si="9"/>
        <v>#REF!</v>
      </c>
      <c r="D953" s="86" t="str">
        <f t="shared" si="10"/>
        <v>#REF!</v>
      </c>
      <c r="E953" s="86" t="str">
        <f t="shared" si="11"/>
        <v>#REF!</v>
      </c>
      <c r="F953" s="86" t="str">
        <f t="shared" si="12"/>
        <v>#REF!</v>
      </c>
      <c r="G953" s="86" t="str">
        <f t="shared" si="13"/>
        <v>#REF!</v>
      </c>
      <c r="H953" s="86" t="str">
        <f t="shared" si="14"/>
        <v>#REF!</v>
      </c>
      <c r="I953" s="86" t="str">
        <f t="shared" si="15"/>
        <v>#REF!</v>
      </c>
    </row>
    <row r="954">
      <c r="B954" s="86" t="str">
        <f t="shared" si="1"/>
        <v>#REF!</v>
      </c>
      <c r="C954" s="86" t="str">
        <f t="shared" si="9"/>
        <v>#REF!</v>
      </c>
      <c r="D954" s="86" t="str">
        <f t="shared" si="10"/>
        <v>#REF!</v>
      </c>
      <c r="E954" s="86" t="str">
        <f t="shared" si="11"/>
        <v>#REF!</v>
      </c>
      <c r="F954" s="86" t="str">
        <f t="shared" si="12"/>
        <v>#REF!</v>
      </c>
      <c r="G954" s="86" t="str">
        <f t="shared" si="13"/>
        <v>#REF!</v>
      </c>
      <c r="H954" s="86" t="str">
        <f t="shared" si="14"/>
        <v>#REF!</v>
      </c>
      <c r="I954" s="86" t="str">
        <f t="shared" si="15"/>
        <v>#REF!</v>
      </c>
    </row>
    <row r="955">
      <c r="B955" s="86" t="str">
        <f t="shared" si="1"/>
        <v>#REF!</v>
      </c>
      <c r="C955" s="86" t="str">
        <f t="shared" si="9"/>
        <v>#REF!</v>
      </c>
      <c r="D955" s="86" t="str">
        <f t="shared" si="10"/>
        <v>#REF!</v>
      </c>
      <c r="E955" s="86" t="str">
        <f t="shared" si="11"/>
        <v>#REF!</v>
      </c>
      <c r="F955" s="86" t="str">
        <f t="shared" si="12"/>
        <v>#REF!</v>
      </c>
      <c r="G955" s="86" t="str">
        <f t="shared" si="13"/>
        <v>#REF!</v>
      </c>
      <c r="H955" s="86" t="str">
        <f t="shared" si="14"/>
        <v>#REF!</v>
      </c>
      <c r="I955" s="86" t="str">
        <f t="shared" si="15"/>
        <v>#REF!</v>
      </c>
    </row>
    <row r="956">
      <c r="B956" s="86" t="str">
        <f t="shared" si="1"/>
        <v>#REF!</v>
      </c>
      <c r="C956" s="86" t="str">
        <f t="shared" si="9"/>
        <v>#REF!</v>
      </c>
      <c r="D956" s="86" t="str">
        <f t="shared" si="10"/>
        <v>#REF!</v>
      </c>
      <c r="E956" s="86" t="str">
        <f t="shared" si="11"/>
        <v>#REF!</v>
      </c>
      <c r="F956" s="86" t="str">
        <f t="shared" si="12"/>
        <v>#REF!</v>
      </c>
      <c r="G956" s="86" t="str">
        <f t="shared" si="13"/>
        <v>#REF!</v>
      </c>
      <c r="H956" s="86" t="str">
        <f t="shared" si="14"/>
        <v>#REF!</v>
      </c>
      <c r="I956" s="86" t="str">
        <f t="shared" si="15"/>
        <v>#REF!</v>
      </c>
    </row>
    <row r="957">
      <c r="B957" s="86" t="str">
        <f t="shared" si="1"/>
        <v>#REF!</v>
      </c>
      <c r="C957" s="86" t="str">
        <f t="shared" si="9"/>
        <v>#REF!</v>
      </c>
      <c r="D957" s="86" t="str">
        <f t="shared" si="10"/>
        <v>#REF!</v>
      </c>
      <c r="E957" s="86" t="str">
        <f t="shared" si="11"/>
        <v>#REF!</v>
      </c>
      <c r="F957" s="86" t="str">
        <f t="shared" si="12"/>
        <v>#REF!</v>
      </c>
      <c r="G957" s="86" t="str">
        <f t="shared" si="13"/>
        <v>#REF!</v>
      </c>
      <c r="H957" s="86" t="str">
        <f t="shared" si="14"/>
        <v>#REF!</v>
      </c>
      <c r="I957" s="86" t="str">
        <f t="shared" si="15"/>
        <v>#REF!</v>
      </c>
    </row>
    <row r="958">
      <c r="B958" s="86" t="str">
        <f t="shared" si="1"/>
        <v>#REF!</v>
      </c>
      <c r="C958" s="86" t="str">
        <f t="shared" si="9"/>
        <v>#REF!</v>
      </c>
      <c r="D958" s="86" t="str">
        <f t="shared" si="10"/>
        <v>#REF!</v>
      </c>
      <c r="E958" s="86" t="str">
        <f t="shared" si="11"/>
        <v>#REF!</v>
      </c>
      <c r="F958" s="86" t="str">
        <f t="shared" si="12"/>
        <v>#REF!</v>
      </c>
      <c r="G958" s="86" t="str">
        <f t="shared" si="13"/>
        <v>#REF!</v>
      </c>
      <c r="H958" s="86" t="str">
        <f t="shared" si="14"/>
        <v>#REF!</v>
      </c>
      <c r="I958" s="86" t="str">
        <f t="shared" si="15"/>
        <v>#REF!</v>
      </c>
    </row>
    <row r="959">
      <c r="B959" s="86" t="str">
        <f t="shared" si="1"/>
        <v>#REF!</v>
      </c>
      <c r="C959" s="86" t="str">
        <f t="shared" si="9"/>
        <v>#REF!</v>
      </c>
      <c r="D959" s="86" t="str">
        <f t="shared" si="10"/>
        <v>#REF!</v>
      </c>
      <c r="E959" s="86" t="str">
        <f t="shared" si="11"/>
        <v>#REF!</v>
      </c>
      <c r="F959" s="86" t="str">
        <f t="shared" si="12"/>
        <v>#REF!</v>
      </c>
      <c r="G959" s="86" t="str">
        <f t="shared" si="13"/>
        <v>#REF!</v>
      </c>
      <c r="H959" s="86" t="str">
        <f t="shared" si="14"/>
        <v>#REF!</v>
      </c>
      <c r="I959" s="86" t="str">
        <f t="shared" si="15"/>
        <v>#REF!</v>
      </c>
    </row>
    <row r="960">
      <c r="B960" s="86" t="str">
        <f t="shared" si="1"/>
        <v>#REF!</v>
      </c>
      <c r="C960" s="86" t="str">
        <f t="shared" si="9"/>
        <v>#REF!</v>
      </c>
      <c r="D960" s="86" t="str">
        <f t="shared" si="10"/>
        <v>#REF!</v>
      </c>
      <c r="E960" s="86" t="str">
        <f t="shared" si="11"/>
        <v>#REF!</v>
      </c>
      <c r="F960" s="86" t="str">
        <f t="shared" si="12"/>
        <v>#REF!</v>
      </c>
      <c r="G960" s="86" t="str">
        <f t="shared" si="13"/>
        <v>#REF!</v>
      </c>
      <c r="H960" s="86" t="str">
        <f t="shared" si="14"/>
        <v>#REF!</v>
      </c>
      <c r="I960" s="86" t="str">
        <f t="shared" si="15"/>
        <v>#REF!</v>
      </c>
    </row>
    <row r="961">
      <c r="B961" s="86" t="str">
        <f t="shared" si="1"/>
        <v>#REF!</v>
      </c>
      <c r="C961" s="86" t="str">
        <f t="shared" si="9"/>
        <v>#REF!</v>
      </c>
      <c r="D961" s="86" t="str">
        <f t="shared" si="10"/>
        <v>#REF!</v>
      </c>
      <c r="E961" s="86" t="str">
        <f t="shared" si="11"/>
        <v>#REF!</v>
      </c>
      <c r="F961" s="86" t="str">
        <f t="shared" si="12"/>
        <v>#REF!</v>
      </c>
      <c r="G961" s="86" t="str">
        <f t="shared" si="13"/>
        <v>#REF!</v>
      </c>
      <c r="H961" s="86" t="str">
        <f t="shared" si="14"/>
        <v>#REF!</v>
      </c>
      <c r="I961" s="86" t="str">
        <f t="shared" si="15"/>
        <v>#REF!</v>
      </c>
    </row>
    <row r="962">
      <c r="B962" s="86" t="str">
        <f t="shared" si="1"/>
        <v>#REF!</v>
      </c>
      <c r="C962" s="86" t="str">
        <f t="shared" si="9"/>
        <v>#REF!</v>
      </c>
      <c r="D962" s="86" t="str">
        <f t="shared" si="10"/>
        <v>#REF!</v>
      </c>
      <c r="E962" s="86" t="str">
        <f t="shared" si="11"/>
        <v>#REF!</v>
      </c>
      <c r="F962" s="86" t="str">
        <f t="shared" si="12"/>
        <v>#REF!</v>
      </c>
      <c r="G962" s="86" t="str">
        <f t="shared" si="13"/>
        <v>#REF!</v>
      </c>
      <c r="H962" s="86" t="str">
        <f t="shared" si="14"/>
        <v>#REF!</v>
      </c>
      <c r="I962" s="86" t="str">
        <f t="shared" si="15"/>
        <v>#REF!</v>
      </c>
    </row>
    <row r="963">
      <c r="B963" s="86" t="str">
        <f t="shared" si="1"/>
        <v>#REF!</v>
      </c>
      <c r="C963" s="86" t="str">
        <f t="shared" si="9"/>
        <v>#REF!</v>
      </c>
      <c r="D963" s="86" t="str">
        <f t="shared" si="10"/>
        <v>#REF!</v>
      </c>
      <c r="E963" s="86" t="str">
        <f t="shared" si="11"/>
        <v>#REF!</v>
      </c>
      <c r="F963" s="86" t="str">
        <f t="shared" si="12"/>
        <v>#REF!</v>
      </c>
      <c r="G963" s="86" t="str">
        <f t="shared" si="13"/>
        <v>#REF!</v>
      </c>
      <c r="H963" s="86" t="str">
        <f t="shared" si="14"/>
        <v>#REF!</v>
      </c>
      <c r="I963" s="86" t="str">
        <f t="shared" si="15"/>
        <v>#REF!</v>
      </c>
    </row>
    <row r="964">
      <c r="B964" s="86" t="str">
        <f t="shared" si="1"/>
        <v>#REF!</v>
      </c>
      <c r="C964" s="86" t="str">
        <f t="shared" si="9"/>
        <v>#REF!</v>
      </c>
      <c r="D964" s="86" t="str">
        <f t="shared" si="10"/>
        <v>#REF!</v>
      </c>
      <c r="E964" s="86" t="str">
        <f t="shared" si="11"/>
        <v>#REF!</v>
      </c>
      <c r="F964" s="86" t="str">
        <f t="shared" si="12"/>
        <v>#REF!</v>
      </c>
      <c r="G964" s="86" t="str">
        <f t="shared" si="13"/>
        <v>#REF!</v>
      </c>
      <c r="H964" s="86" t="str">
        <f t="shared" si="14"/>
        <v>#REF!</v>
      </c>
      <c r="I964" s="86" t="str">
        <f t="shared" si="15"/>
        <v>#REF!</v>
      </c>
    </row>
    <row r="965">
      <c r="B965" s="86" t="str">
        <f t="shared" si="1"/>
        <v>#REF!</v>
      </c>
      <c r="C965" s="86" t="str">
        <f t="shared" si="9"/>
        <v>#REF!</v>
      </c>
      <c r="D965" s="86" t="str">
        <f t="shared" si="10"/>
        <v>#REF!</v>
      </c>
      <c r="E965" s="86" t="str">
        <f t="shared" si="11"/>
        <v>#REF!</v>
      </c>
      <c r="F965" s="86" t="str">
        <f t="shared" si="12"/>
        <v>#REF!</v>
      </c>
      <c r="G965" s="86" t="str">
        <f t="shared" si="13"/>
        <v>#REF!</v>
      </c>
      <c r="H965" s="86" t="str">
        <f t="shared" si="14"/>
        <v>#REF!</v>
      </c>
      <c r="I965" s="86" t="str">
        <f t="shared" si="15"/>
        <v>#REF!</v>
      </c>
    </row>
    <row r="966">
      <c r="B966" s="86" t="str">
        <f t="shared" si="1"/>
        <v>#REF!</v>
      </c>
      <c r="C966" s="86" t="str">
        <f t="shared" si="9"/>
        <v>#REF!</v>
      </c>
      <c r="D966" s="86" t="str">
        <f t="shared" si="10"/>
        <v>#REF!</v>
      </c>
      <c r="E966" s="86" t="str">
        <f t="shared" si="11"/>
        <v>#REF!</v>
      </c>
      <c r="F966" s="86" t="str">
        <f t="shared" si="12"/>
        <v>#REF!</v>
      </c>
      <c r="G966" s="86" t="str">
        <f t="shared" si="13"/>
        <v>#REF!</v>
      </c>
      <c r="H966" s="86" t="str">
        <f t="shared" si="14"/>
        <v>#REF!</v>
      </c>
      <c r="I966" s="86" t="str">
        <f t="shared" si="15"/>
        <v>#REF!</v>
      </c>
    </row>
    <row r="967">
      <c r="B967" s="86" t="str">
        <f t="shared" si="1"/>
        <v>#REF!</v>
      </c>
      <c r="C967" s="86" t="str">
        <f t="shared" si="9"/>
        <v>#REF!</v>
      </c>
      <c r="D967" s="86" t="str">
        <f t="shared" si="10"/>
        <v>#REF!</v>
      </c>
      <c r="E967" s="86" t="str">
        <f t="shared" si="11"/>
        <v>#REF!</v>
      </c>
      <c r="F967" s="86" t="str">
        <f t="shared" si="12"/>
        <v>#REF!</v>
      </c>
      <c r="G967" s="86" t="str">
        <f t="shared" si="13"/>
        <v>#REF!</v>
      </c>
      <c r="H967" s="86" t="str">
        <f t="shared" si="14"/>
        <v>#REF!</v>
      </c>
      <c r="I967" s="86" t="str">
        <f t="shared" si="15"/>
        <v>#REF!</v>
      </c>
    </row>
    <row r="968">
      <c r="B968" s="86" t="str">
        <f t="shared" si="1"/>
        <v>#REF!</v>
      </c>
      <c r="C968" s="86" t="str">
        <f t="shared" si="9"/>
        <v>#REF!</v>
      </c>
      <c r="D968" s="86" t="str">
        <f t="shared" si="10"/>
        <v>#REF!</v>
      </c>
      <c r="E968" s="86" t="str">
        <f t="shared" si="11"/>
        <v>#REF!</v>
      </c>
      <c r="F968" s="86" t="str">
        <f t="shared" si="12"/>
        <v>#REF!</v>
      </c>
      <c r="G968" s="86" t="str">
        <f t="shared" si="13"/>
        <v>#REF!</v>
      </c>
      <c r="H968" s="86" t="str">
        <f t="shared" si="14"/>
        <v>#REF!</v>
      </c>
      <c r="I968" s="86" t="str">
        <f t="shared" si="15"/>
        <v>#REF!</v>
      </c>
    </row>
    <row r="969">
      <c r="B969" s="86" t="str">
        <f t="shared" si="1"/>
        <v>#REF!</v>
      </c>
      <c r="C969" s="86" t="str">
        <f t="shared" si="9"/>
        <v>#REF!</v>
      </c>
      <c r="D969" s="86" t="str">
        <f t="shared" si="10"/>
        <v>#REF!</v>
      </c>
      <c r="E969" s="86" t="str">
        <f t="shared" si="11"/>
        <v>#REF!</v>
      </c>
      <c r="F969" s="86" t="str">
        <f t="shared" si="12"/>
        <v>#REF!</v>
      </c>
      <c r="G969" s="86" t="str">
        <f t="shared" si="13"/>
        <v>#REF!</v>
      </c>
      <c r="H969" s="86" t="str">
        <f t="shared" si="14"/>
        <v>#REF!</v>
      </c>
      <c r="I969" s="86" t="str">
        <f t="shared" si="15"/>
        <v>#REF!</v>
      </c>
    </row>
    <row r="970">
      <c r="B970" s="86" t="str">
        <f t="shared" si="1"/>
        <v>#REF!</v>
      </c>
      <c r="C970" s="86" t="str">
        <f t="shared" si="9"/>
        <v>#REF!</v>
      </c>
      <c r="D970" s="86" t="str">
        <f t="shared" si="10"/>
        <v>#REF!</v>
      </c>
      <c r="E970" s="86" t="str">
        <f t="shared" si="11"/>
        <v>#REF!</v>
      </c>
      <c r="F970" s="86" t="str">
        <f t="shared" si="12"/>
        <v>#REF!</v>
      </c>
      <c r="G970" s="86" t="str">
        <f t="shared" si="13"/>
        <v>#REF!</v>
      </c>
      <c r="H970" s="86" t="str">
        <f t="shared" si="14"/>
        <v>#REF!</v>
      </c>
      <c r="I970" s="86" t="str">
        <f t="shared" si="15"/>
        <v>#REF!</v>
      </c>
    </row>
    <row r="971">
      <c r="B971" s="86" t="str">
        <f t="shared" si="1"/>
        <v>#REF!</v>
      </c>
      <c r="C971" s="86" t="str">
        <f t="shared" si="9"/>
        <v>#REF!</v>
      </c>
      <c r="D971" s="86" t="str">
        <f t="shared" si="10"/>
        <v>#REF!</v>
      </c>
      <c r="E971" s="86" t="str">
        <f t="shared" si="11"/>
        <v>#REF!</v>
      </c>
      <c r="F971" s="86" t="str">
        <f t="shared" si="12"/>
        <v>#REF!</v>
      </c>
      <c r="G971" s="86" t="str">
        <f t="shared" si="13"/>
        <v>#REF!</v>
      </c>
      <c r="H971" s="86" t="str">
        <f t="shared" si="14"/>
        <v>#REF!</v>
      </c>
      <c r="I971" s="86" t="str">
        <f t="shared" si="15"/>
        <v>#REF!</v>
      </c>
    </row>
    <row r="972">
      <c r="B972" s="86" t="str">
        <f t="shared" si="1"/>
        <v>#REF!</v>
      </c>
      <c r="C972" s="86" t="str">
        <f t="shared" si="9"/>
        <v>#REF!</v>
      </c>
      <c r="D972" s="86" t="str">
        <f t="shared" si="10"/>
        <v>#REF!</v>
      </c>
      <c r="E972" s="86" t="str">
        <f t="shared" si="11"/>
        <v>#REF!</v>
      </c>
      <c r="F972" s="86" t="str">
        <f t="shared" si="12"/>
        <v>#REF!</v>
      </c>
      <c r="G972" s="86" t="str">
        <f t="shared" si="13"/>
        <v>#REF!</v>
      </c>
      <c r="H972" s="86" t="str">
        <f t="shared" si="14"/>
        <v>#REF!</v>
      </c>
      <c r="I972" s="86" t="str">
        <f t="shared" si="15"/>
        <v>#REF!</v>
      </c>
    </row>
    <row r="973">
      <c r="B973" s="86" t="str">
        <f t="shared" si="1"/>
        <v>#REF!</v>
      </c>
      <c r="C973" s="86" t="str">
        <f t="shared" si="9"/>
        <v>#REF!</v>
      </c>
      <c r="D973" s="86" t="str">
        <f t="shared" si="10"/>
        <v>#REF!</v>
      </c>
      <c r="E973" s="86" t="str">
        <f t="shared" si="11"/>
        <v>#REF!</v>
      </c>
      <c r="F973" s="86" t="str">
        <f t="shared" si="12"/>
        <v>#REF!</v>
      </c>
      <c r="G973" s="86" t="str">
        <f t="shared" si="13"/>
        <v>#REF!</v>
      </c>
      <c r="H973" s="86" t="str">
        <f t="shared" si="14"/>
        <v>#REF!</v>
      </c>
      <c r="I973" s="86" t="str">
        <f t="shared" si="15"/>
        <v>#REF!</v>
      </c>
    </row>
    <row r="974">
      <c r="B974" s="86" t="str">
        <f t="shared" si="1"/>
        <v>#REF!</v>
      </c>
      <c r="C974" s="86" t="str">
        <f t="shared" si="9"/>
        <v>#REF!</v>
      </c>
      <c r="D974" s="86" t="str">
        <f t="shared" si="10"/>
        <v>#REF!</v>
      </c>
      <c r="E974" s="86" t="str">
        <f t="shared" si="11"/>
        <v>#REF!</v>
      </c>
      <c r="F974" s="86" t="str">
        <f t="shared" si="12"/>
        <v>#REF!</v>
      </c>
      <c r="G974" s="86" t="str">
        <f t="shared" si="13"/>
        <v>#REF!</v>
      </c>
      <c r="H974" s="86" t="str">
        <f t="shared" si="14"/>
        <v>#REF!</v>
      </c>
      <c r="I974" s="86" t="str">
        <f t="shared" si="15"/>
        <v>#REF!</v>
      </c>
    </row>
    <row r="975">
      <c r="B975" s="86" t="str">
        <f t="shared" si="1"/>
        <v>#REF!</v>
      </c>
      <c r="C975" s="86" t="str">
        <f t="shared" si="9"/>
        <v>#REF!</v>
      </c>
      <c r="D975" s="86" t="str">
        <f t="shared" si="10"/>
        <v>#REF!</v>
      </c>
      <c r="E975" s="86" t="str">
        <f t="shared" si="11"/>
        <v>#REF!</v>
      </c>
      <c r="F975" s="86" t="str">
        <f t="shared" si="12"/>
        <v>#REF!</v>
      </c>
      <c r="G975" s="86" t="str">
        <f t="shared" si="13"/>
        <v>#REF!</v>
      </c>
      <c r="H975" s="86" t="str">
        <f t="shared" si="14"/>
        <v>#REF!</v>
      </c>
      <c r="I975" s="86" t="str">
        <f t="shared" si="15"/>
        <v>#REF!</v>
      </c>
    </row>
    <row r="976">
      <c r="B976" s="86" t="str">
        <f t="shared" si="1"/>
        <v>#REF!</v>
      </c>
      <c r="C976" s="86" t="str">
        <f t="shared" si="9"/>
        <v>#REF!</v>
      </c>
      <c r="D976" s="86" t="str">
        <f t="shared" si="10"/>
        <v>#REF!</v>
      </c>
      <c r="E976" s="86" t="str">
        <f t="shared" si="11"/>
        <v>#REF!</v>
      </c>
      <c r="F976" s="86" t="str">
        <f t="shared" si="12"/>
        <v>#REF!</v>
      </c>
      <c r="G976" s="86" t="str">
        <f t="shared" si="13"/>
        <v>#REF!</v>
      </c>
      <c r="H976" s="86" t="str">
        <f t="shared" si="14"/>
        <v>#REF!</v>
      </c>
      <c r="I976" s="86" t="str">
        <f t="shared" si="15"/>
        <v>#REF!</v>
      </c>
    </row>
    <row r="977">
      <c r="B977" s="86" t="str">
        <f t="shared" si="1"/>
        <v>#REF!</v>
      </c>
      <c r="C977" s="86" t="str">
        <f t="shared" si="9"/>
        <v>#REF!</v>
      </c>
      <c r="D977" s="86" t="str">
        <f t="shared" si="10"/>
        <v>#REF!</v>
      </c>
      <c r="E977" s="86" t="str">
        <f t="shared" si="11"/>
        <v>#REF!</v>
      </c>
      <c r="F977" s="86" t="str">
        <f t="shared" si="12"/>
        <v>#REF!</v>
      </c>
      <c r="G977" s="86" t="str">
        <f t="shared" si="13"/>
        <v>#REF!</v>
      </c>
      <c r="H977" s="86" t="str">
        <f t="shared" si="14"/>
        <v>#REF!</v>
      </c>
      <c r="I977" s="86" t="str">
        <f t="shared" si="15"/>
        <v>#REF!</v>
      </c>
    </row>
    <row r="978">
      <c r="B978" s="86" t="str">
        <f t="shared" si="1"/>
        <v>#REF!</v>
      </c>
      <c r="C978" s="86" t="str">
        <f t="shared" si="9"/>
        <v>#REF!</v>
      </c>
      <c r="D978" s="86" t="str">
        <f t="shared" si="10"/>
        <v>#REF!</v>
      </c>
      <c r="E978" s="86" t="str">
        <f t="shared" si="11"/>
        <v>#REF!</v>
      </c>
      <c r="F978" s="86" t="str">
        <f t="shared" si="12"/>
        <v>#REF!</v>
      </c>
      <c r="G978" s="86" t="str">
        <f t="shared" si="13"/>
        <v>#REF!</v>
      </c>
      <c r="H978" s="86" t="str">
        <f t="shared" si="14"/>
        <v>#REF!</v>
      </c>
      <c r="I978" s="86" t="str">
        <f t="shared" si="15"/>
        <v>#REF!</v>
      </c>
    </row>
    <row r="979">
      <c r="B979" s="86" t="str">
        <f t="shared" si="1"/>
        <v>#REF!</v>
      </c>
      <c r="C979" s="86" t="str">
        <f t="shared" si="9"/>
        <v>#REF!</v>
      </c>
      <c r="D979" s="86" t="str">
        <f t="shared" si="10"/>
        <v>#REF!</v>
      </c>
      <c r="E979" s="86" t="str">
        <f t="shared" si="11"/>
        <v>#REF!</v>
      </c>
      <c r="F979" s="86" t="str">
        <f t="shared" si="12"/>
        <v>#REF!</v>
      </c>
      <c r="G979" s="86" t="str">
        <f t="shared" si="13"/>
        <v>#REF!</v>
      </c>
      <c r="H979" s="86" t="str">
        <f t="shared" si="14"/>
        <v>#REF!</v>
      </c>
      <c r="I979" s="86" t="str">
        <f t="shared" si="15"/>
        <v>#REF!</v>
      </c>
    </row>
    <row r="980">
      <c r="B980" s="86" t="str">
        <f t="shared" si="1"/>
        <v>#REF!</v>
      </c>
      <c r="C980" s="86" t="str">
        <f t="shared" si="9"/>
        <v>#REF!</v>
      </c>
      <c r="D980" s="86" t="str">
        <f t="shared" si="10"/>
        <v>#REF!</v>
      </c>
      <c r="E980" s="86" t="str">
        <f t="shared" si="11"/>
        <v>#REF!</v>
      </c>
      <c r="F980" s="86" t="str">
        <f t="shared" si="12"/>
        <v>#REF!</v>
      </c>
      <c r="G980" s="86" t="str">
        <f t="shared" si="13"/>
        <v>#REF!</v>
      </c>
      <c r="H980" s="86" t="str">
        <f t="shared" si="14"/>
        <v>#REF!</v>
      </c>
      <c r="I980" s="86" t="str">
        <f t="shared" si="15"/>
        <v>#REF!</v>
      </c>
    </row>
    <row r="981">
      <c r="B981" s="86" t="str">
        <f t="shared" si="1"/>
        <v>#REF!</v>
      </c>
      <c r="C981" s="86" t="str">
        <f t="shared" si="9"/>
        <v>#REF!</v>
      </c>
      <c r="D981" s="86" t="str">
        <f t="shared" si="10"/>
        <v>#REF!</v>
      </c>
      <c r="E981" s="86" t="str">
        <f t="shared" si="11"/>
        <v>#REF!</v>
      </c>
      <c r="F981" s="86" t="str">
        <f t="shared" si="12"/>
        <v>#REF!</v>
      </c>
      <c r="G981" s="86" t="str">
        <f t="shared" si="13"/>
        <v>#REF!</v>
      </c>
      <c r="H981" s="86" t="str">
        <f t="shared" si="14"/>
        <v>#REF!</v>
      </c>
      <c r="I981" s="86" t="str">
        <f t="shared" si="15"/>
        <v>#REF!</v>
      </c>
    </row>
    <row r="982">
      <c r="B982" s="86" t="str">
        <f t="shared" si="1"/>
        <v>#REF!</v>
      </c>
      <c r="C982" s="86" t="str">
        <f t="shared" si="9"/>
        <v>#REF!</v>
      </c>
      <c r="D982" s="86" t="str">
        <f t="shared" si="10"/>
        <v>#REF!</v>
      </c>
      <c r="E982" s="86" t="str">
        <f t="shared" si="11"/>
        <v>#REF!</v>
      </c>
      <c r="F982" s="86" t="str">
        <f t="shared" si="12"/>
        <v>#REF!</v>
      </c>
      <c r="G982" s="86" t="str">
        <f t="shared" si="13"/>
        <v>#REF!</v>
      </c>
      <c r="H982" s="86" t="str">
        <f t="shared" si="14"/>
        <v>#REF!</v>
      </c>
      <c r="I982" s="86" t="str">
        <f t="shared" si="15"/>
        <v>#REF!</v>
      </c>
    </row>
    <row r="983">
      <c r="B983" s="86" t="str">
        <f t="shared" si="1"/>
        <v>#REF!</v>
      </c>
      <c r="C983" s="86" t="str">
        <f t="shared" si="9"/>
        <v>#REF!</v>
      </c>
      <c r="D983" s="86" t="str">
        <f t="shared" si="10"/>
        <v>#REF!</v>
      </c>
      <c r="E983" s="86" t="str">
        <f t="shared" si="11"/>
        <v>#REF!</v>
      </c>
      <c r="F983" s="86" t="str">
        <f t="shared" si="12"/>
        <v>#REF!</v>
      </c>
      <c r="G983" s="86" t="str">
        <f t="shared" si="13"/>
        <v>#REF!</v>
      </c>
      <c r="H983" s="86" t="str">
        <f t="shared" si="14"/>
        <v>#REF!</v>
      </c>
      <c r="I983" s="86" t="str">
        <f t="shared" si="15"/>
        <v>#REF!</v>
      </c>
    </row>
    <row r="984">
      <c r="B984" s="86" t="str">
        <f t="shared" si="1"/>
        <v>#REF!</v>
      </c>
      <c r="C984" s="86" t="str">
        <f t="shared" si="9"/>
        <v>#REF!</v>
      </c>
      <c r="D984" s="86" t="str">
        <f t="shared" si="10"/>
        <v>#REF!</v>
      </c>
      <c r="E984" s="86" t="str">
        <f t="shared" si="11"/>
        <v>#REF!</v>
      </c>
      <c r="F984" s="86" t="str">
        <f t="shared" si="12"/>
        <v>#REF!</v>
      </c>
      <c r="G984" s="86" t="str">
        <f t="shared" si="13"/>
        <v>#REF!</v>
      </c>
      <c r="H984" s="86" t="str">
        <f t="shared" si="14"/>
        <v>#REF!</v>
      </c>
      <c r="I984" s="86" t="str">
        <f t="shared" si="15"/>
        <v>#REF!</v>
      </c>
    </row>
    <row r="985">
      <c r="B985" s="86" t="str">
        <f t="shared" si="1"/>
        <v>#REF!</v>
      </c>
      <c r="C985" s="86" t="str">
        <f t="shared" si="9"/>
        <v>#REF!</v>
      </c>
      <c r="D985" s="86" t="str">
        <f t="shared" si="10"/>
        <v>#REF!</v>
      </c>
      <c r="E985" s="86" t="str">
        <f t="shared" si="11"/>
        <v>#REF!</v>
      </c>
      <c r="F985" s="86" t="str">
        <f t="shared" si="12"/>
        <v>#REF!</v>
      </c>
      <c r="G985" s="86" t="str">
        <f t="shared" si="13"/>
        <v>#REF!</v>
      </c>
      <c r="H985" s="86" t="str">
        <f t="shared" si="14"/>
        <v>#REF!</v>
      </c>
      <c r="I985" s="86" t="str">
        <f t="shared" si="15"/>
        <v>#REF!</v>
      </c>
    </row>
    <row r="986">
      <c r="B986" s="86" t="str">
        <f t="shared" si="1"/>
        <v>#REF!</v>
      </c>
      <c r="C986" s="86" t="str">
        <f t="shared" si="9"/>
        <v>#REF!</v>
      </c>
      <c r="D986" s="86" t="str">
        <f t="shared" si="10"/>
        <v>#REF!</v>
      </c>
      <c r="E986" s="86" t="str">
        <f t="shared" si="11"/>
        <v>#REF!</v>
      </c>
      <c r="F986" s="86" t="str">
        <f t="shared" si="12"/>
        <v>#REF!</v>
      </c>
      <c r="G986" s="86" t="str">
        <f t="shared" si="13"/>
        <v>#REF!</v>
      </c>
      <c r="H986" s="86" t="str">
        <f t="shared" si="14"/>
        <v>#REF!</v>
      </c>
      <c r="I986" s="86" t="str">
        <f t="shared" si="15"/>
        <v>#REF!</v>
      </c>
    </row>
    <row r="987">
      <c r="B987" s="86" t="str">
        <f t="shared" si="1"/>
        <v>#REF!</v>
      </c>
      <c r="C987" s="86" t="str">
        <f t="shared" si="9"/>
        <v>#REF!</v>
      </c>
      <c r="D987" s="86" t="str">
        <f t="shared" si="10"/>
        <v>#REF!</v>
      </c>
      <c r="E987" s="86" t="str">
        <f t="shared" si="11"/>
        <v>#REF!</v>
      </c>
      <c r="F987" s="86" t="str">
        <f t="shared" si="12"/>
        <v>#REF!</v>
      </c>
      <c r="G987" s="86" t="str">
        <f t="shared" si="13"/>
        <v>#REF!</v>
      </c>
      <c r="H987" s="86" t="str">
        <f t="shared" si="14"/>
        <v>#REF!</v>
      </c>
      <c r="I987" s="86" t="str">
        <f t="shared" si="15"/>
        <v>#REF!</v>
      </c>
    </row>
    <row r="988">
      <c r="B988" s="86" t="str">
        <f t="shared" si="1"/>
        <v>#REF!</v>
      </c>
      <c r="C988" s="86" t="str">
        <f t="shared" si="9"/>
        <v>#REF!</v>
      </c>
      <c r="D988" s="86" t="str">
        <f t="shared" si="10"/>
        <v>#REF!</v>
      </c>
      <c r="E988" s="86" t="str">
        <f t="shared" si="11"/>
        <v>#REF!</v>
      </c>
      <c r="F988" s="86" t="str">
        <f t="shared" si="12"/>
        <v>#REF!</v>
      </c>
      <c r="G988" s="86" t="str">
        <f t="shared" si="13"/>
        <v>#REF!</v>
      </c>
      <c r="H988" s="86" t="str">
        <f t="shared" si="14"/>
        <v>#REF!</v>
      </c>
      <c r="I988" s="86" t="str">
        <f t="shared" si="15"/>
        <v>#REF!</v>
      </c>
    </row>
    <row r="989">
      <c r="B989" s="86" t="str">
        <f t="shared" si="1"/>
        <v>#REF!</v>
      </c>
      <c r="C989" s="86" t="str">
        <f t="shared" si="9"/>
        <v>#REF!</v>
      </c>
      <c r="D989" s="86" t="str">
        <f t="shared" si="10"/>
        <v>#REF!</v>
      </c>
      <c r="E989" s="86" t="str">
        <f t="shared" si="11"/>
        <v>#REF!</v>
      </c>
      <c r="F989" s="86" t="str">
        <f t="shared" si="12"/>
        <v>#REF!</v>
      </c>
      <c r="G989" s="86" t="str">
        <f t="shared" si="13"/>
        <v>#REF!</v>
      </c>
      <c r="H989" s="86" t="str">
        <f t="shared" si="14"/>
        <v>#REF!</v>
      </c>
      <c r="I989" s="86" t="str">
        <f t="shared" si="15"/>
        <v>#REF!</v>
      </c>
    </row>
    <row r="990">
      <c r="B990" s="86" t="str">
        <f t="shared" si="1"/>
        <v>#REF!</v>
      </c>
      <c r="C990" s="86" t="str">
        <f t="shared" si="9"/>
        <v>#REF!</v>
      </c>
      <c r="D990" s="86" t="str">
        <f t="shared" si="10"/>
        <v>#REF!</v>
      </c>
      <c r="E990" s="86" t="str">
        <f t="shared" si="11"/>
        <v>#REF!</v>
      </c>
      <c r="F990" s="86" t="str">
        <f t="shared" si="12"/>
        <v>#REF!</v>
      </c>
      <c r="G990" s="86" t="str">
        <f t="shared" si="13"/>
        <v>#REF!</v>
      </c>
      <c r="H990" s="86" t="str">
        <f t="shared" si="14"/>
        <v>#REF!</v>
      </c>
      <c r="I990" s="86" t="str">
        <f t="shared" si="15"/>
        <v>#REF!</v>
      </c>
    </row>
    <row r="991">
      <c r="B991" s="86" t="str">
        <f t="shared" si="1"/>
        <v>#REF!</v>
      </c>
      <c r="C991" s="86" t="str">
        <f t="shared" si="9"/>
        <v>#REF!</v>
      </c>
      <c r="D991" s="86" t="str">
        <f t="shared" si="10"/>
        <v>#REF!</v>
      </c>
      <c r="E991" s="86" t="str">
        <f t="shared" si="11"/>
        <v>#REF!</v>
      </c>
      <c r="F991" s="86" t="str">
        <f t="shared" si="12"/>
        <v>#REF!</v>
      </c>
      <c r="G991" s="86" t="str">
        <f t="shared" si="13"/>
        <v>#REF!</v>
      </c>
      <c r="H991" s="86" t="str">
        <f t="shared" si="14"/>
        <v>#REF!</v>
      </c>
      <c r="I991" s="86" t="str">
        <f t="shared" si="15"/>
        <v>#REF!</v>
      </c>
    </row>
    <row r="992">
      <c r="B992" s="86" t="str">
        <f t="shared" si="1"/>
        <v>#REF!</v>
      </c>
      <c r="C992" s="86" t="str">
        <f t="shared" si="9"/>
        <v>#REF!</v>
      </c>
      <c r="D992" s="86" t="str">
        <f t="shared" si="10"/>
        <v>#REF!</v>
      </c>
      <c r="E992" s="86" t="str">
        <f t="shared" si="11"/>
        <v>#REF!</v>
      </c>
      <c r="F992" s="86" t="str">
        <f t="shared" si="12"/>
        <v>#REF!</v>
      </c>
      <c r="G992" s="86" t="str">
        <f t="shared" si="13"/>
        <v>#REF!</v>
      </c>
      <c r="H992" s="86" t="str">
        <f t="shared" si="14"/>
        <v>#REF!</v>
      </c>
      <c r="I992" s="86" t="str">
        <f t="shared" si="15"/>
        <v>#REF!</v>
      </c>
    </row>
    <row r="993">
      <c r="B993" s="86" t="str">
        <f t="shared" si="1"/>
        <v>#REF!</v>
      </c>
      <c r="C993" s="86" t="str">
        <f t="shared" si="9"/>
        <v>#REF!</v>
      </c>
      <c r="D993" s="86" t="str">
        <f t="shared" si="10"/>
        <v>#REF!</v>
      </c>
      <c r="E993" s="86" t="str">
        <f t="shared" si="11"/>
        <v>#REF!</v>
      </c>
      <c r="F993" s="86" t="str">
        <f t="shared" si="12"/>
        <v>#REF!</v>
      </c>
      <c r="G993" s="86" t="str">
        <f t="shared" si="13"/>
        <v>#REF!</v>
      </c>
      <c r="H993" s="86" t="str">
        <f t="shared" si="14"/>
        <v>#REF!</v>
      </c>
      <c r="I993" s="86" t="str">
        <f t="shared" si="15"/>
        <v>#REF!</v>
      </c>
    </row>
    <row r="994">
      <c r="B994" s="86" t="str">
        <f t="shared" si="1"/>
        <v>#REF!</v>
      </c>
      <c r="C994" s="86" t="str">
        <f t="shared" si="9"/>
        <v>#REF!</v>
      </c>
      <c r="D994" s="86" t="str">
        <f t="shared" si="10"/>
        <v>#REF!</v>
      </c>
      <c r="E994" s="86" t="str">
        <f t="shared" si="11"/>
        <v>#REF!</v>
      </c>
      <c r="F994" s="86" t="str">
        <f t="shared" si="12"/>
        <v>#REF!</v>
      </c>
      <c r="G994" s="86" t="str">
        <f t="shared" si="13"/>
        <v>#REF!</v>
      </c>
      <c r="H994" s="86" t="str">
        <f t="shared" si="14"/>
        <v>#REF!</v>
      </c>
      <c r="I994" s="86" t="str">
        <f t="shared" si="15"/>
        <v>#REF!</v>
      </c>
    </row>
    <row r="995">
      <c r="B995" s="86" t="str">
        <f t="shared" si="1"/>
        <v>#REF!</v>
      </c>
      <c r="C995" s="86" t="str">
        <f t="shared" si="9"/>
        <v>#REF!</v>
      </c>
      <c r="D995" s="86" t="str">
        <f t="shared" si="10"/>
        <v>#REF!</v>
      </c>
      <c r="E995" s="86" t="str">
        <f t="shared" si="11"/>
        <v>#REF!</v>
      </c>
      <c r="F995" s="86" t="str">
        <f t="shared" si="12"/>
        <v>#REF!</v>
      </c>
      <c r="G995" s="86" t="str">
        <f t="shared" si="13"/>
        <v>#REF!</v>
      </c>
      <c r="H995" s="86" t="str">
        <f t="shared" si="14"/>
        <v>#REF!</v>
      </c>
      <c r="I995" s="86" t="str">
        <f t="shared" si="15"/>
        <v>#REF!</v>
      </c>
    </row>
    <row r="996">
      <c r="B996" s="86" t="str">
        <f t="shared" si="1"/>
        <v>#REF!</v>
      </c>
      <c r="C996" s="86" t="str">
        <f t="shared" si="9"/>
        <v>#REF!</v>
      </c>
      <c r="D996" s="86" t="str">
        <f t="shared" si="10"/>
        <v>#REF!</v>
      </c>
      <c r="E996" s="86" t="str">
        <f t="shared" si="11"/>
        <v>#REF!</v>
      </c>
      <c r="F996" s="86" t="str">
        <f t="shared" si="12"/>
        <v>#REF!</v>
      </c>
      <c r="G996" s="86" t="str">
        <f t="shared" si="13"/>
        <v>#REF!</v>
      </c>
      <c r="H996" s="86" t="str">
        <f t="shared" si="14"/>
        <v>#REF!</v>
      </c>
      <c r="I996" s="86" t="str">
        <f t="shared" si="15"/>
        <v>#REF!</v>
      </c>
    </row>
    <row r="997">
      <c r="B997" s="86" t="str">
        <f t="shared" si="1"/>
        <v>#REF!</v>
      </c>
      <c r="C997" s="86" t="str">
        <f t="shared" si="9"/>
        <v>#REF!</v>
      </c>
      <c r="D997" s="86" t="str">
        <f t="shared" si="10"/>
        <v>#REF!</v>
      </c>
      <c r="E997" s="86" t="str">
        <f t="shared" si="11"/>
        <v>#REF!</v>
      </c>
      <c r="F997" s="86" t="str">
        <f t="shared" si="12"/>
        <v>#REF!</v>
      </c>
      <c r="G997" s="86" t="str">
        <f t="shared" si="13"/>
        <v>#REF!</v>
      </c>
      <c r="H997" s="86" t="str">
        <f t="shared" si="14"/>
        <v>#REF!</v>
      </c>
      <c r="I997" s="86" t="str">
        <f t="shared" si="15"/>
        <v>#REF!</v>
      </c>
    </row>
    <row r="998">
      <c r="B998" s="86" t="str">
        <f t="shared" si="1"/>
        <v>#REF!</v>
      </c>
      <c r="C998" s="86" t="str">
        <f t="shared" si="9"/>
        <v>#REF!</v>
      </c>
      <c r="D998" s="86" t="str">
        <f t="shared" si="10"/>
        <v>#REF!</v>
      </c>
      <c r="E998" s="86" t="str">
        <f t="shared" si="11"/>
        <v>#REF!</v>
      </c>
      <c r="F998" s="86" t="str">
        <f t="shared" si="12"/>
        <v>#REF!</v>
      </c>
      <c r="G998" s="86" t="str">
        <f t="shared" si="13"/>
        <v>#REF!</v>
      </c>
      <c r="H998" s="86" t="str">
        <f t="shared" si="14"/>
        <v>#REF!</v>
      </c>
      <c r="I998" s="86" t="str">
        <f t="shared" si="15"/>
        <v>#REF!</v>
      </c>
    </row>
    <row r="999">
      <c r="B999" s="86" t="str">
        <f t="shared" si="1"/>
        <v>#REF!</v>
      </c>
      <c r="C999" s="86" t="str">
        <f t="shared" si="9"/>
        <v>#REF!</v>
      </c>
      <c r="D999" s="86" t="str">
        <f t="shared" si="10"/>
        <v>#REF!</v>
      </c>
      <c r="E999" s="86" t="str">
        <f t="shared" si="11"/>
        <v>#REF!</v>
      </c>
      <c r="F999" s="86" t="str">
        <f t="shared" si="12"/>
        <v>#REF!</v>
      </c>
      <c r="G999" s="86" t="str">
        <f t="shared" si="13"/>
        <v>#REF!</v>
      </c>
      <c r="H999" s="86" t="str">
        <f t="shared" si="14"/>
        <v>#REF!</v>
      </c>
      <c r="I999" s="86" t="str">
        <f t="shared" si="15"/>
        <v>#REF!</v>
      </c>
    </row>
    <row r="1000">
      <c r="B1000" s="86" t="str">
        <f t="shared" si="1"/>
        <v>#REF!</v>
      </c>
      <c r="C1000" s="86" t="str">
        <f t="shared" si="9"/>
        <v>#REF!</v>
      </c>
      <c r="D1000" s="86" t="str">
        <f t="shared" si="10"/>
        <v>#REF!</v>
      </c>
      <c r="E1000" s="86" t="str">
        <f t="shared" si="11"/>
        <v>#REF!</v>
      </c>
      <c r="F1000" s="86" t="str">
        <f t="shared" si="12"/>
        <v>#REF!</v>
      </c>
      <c r="G1000" s="86" t="str">
        <f t="shared" si="13"/>
        <v>#REF!</v>
      </c>
      <c r="H1000" s="86" t="str">
        <f t="shared" si="14"/>
        <v>#REF!</v>
      </c>
      <c r="I1000" s="86" t="str">
        <f t="shared" si="15"/>
        <v>#REF!</v>
      </c>
    </row>
  </sheetData>
  <conditionalFormatting sqref="C2:C1000">
    <cfRule type="cellIs" dxfId="1" priority="1" operator="greaterThanOrEqual">
      <formula>0.5</formula>
    </cfRule>
  </conditionalFormatting>
  <conditionalFormatting sqref="C2:C1000">
    <cfRule type="cellIs" dxfId="5" priority="2" operator="lessThan">
      <formula>0.5</formula>
    </cfRule>
  </conditionalFormatting>
  <conditionalFormatting sqref="D2:D1000">
    <cfRule type="cellIs" dxfId="1" priority="3" operator="greaterThanOrEqual">
      <formula>0.5</formula>
    </cfRule>
  </conditionalFormatting>
  <conditionalFormatting sqref="D2:D1000">
    <cfRule type="cellIs" dxfId="5" priority="4" operator="lessThan">
      <formula>0.5</formula>
    </cfRule>
  </conditionalFormatting>
  <conditionalFormatting sqref="E2:E1000">
    <cfRule type="cellIs" dxfId="1" priority="5" operator="greaterThanOrEqual">
      <formula>0.5</formula>
    </cfRule>
  </conditionalFormatting>
  <conditionalFormatting sqref="E2:E1000">
    <cfRule type="cellIs" dxfId="5" priority="6" operator="lessThan">
      <formula>0.5</formula>
    </cfRule>
  </conditionalFormatting>
  <conditionalFormatting sqref="F2:F1000">
    <cfRule type="cellIs" dxfId="1" priority="7" operator="greaterThanOrEqual">
      <formula>0.5</formula>
    </cfRule>
  </conditionalFormatting>
  <conditionalFormatting sqref="F2:F1000">
    <cfRule type="cellIs" dxfId="5" priority="8" operator="lessThan">
      <formula>0.5</formula>
    </cfRule>
  </conditionalFormatting>
  <conditionalFormatting sqref="G2:G1000">
    <cfRule type="cellIs" dxfId="1" priority="9" operator="greaterThanOrEqual">
      <formula>0.5</formula>
    </cfRule>
  </conditionalFormatting>
  <conditionalFormatting sqref="G2:G1000">
    <cfRule type="cellIs" dxfId="5" priority="10" operator="lessThan">
      <formula>0.5</formula>
    </cfRule>
  </conditionalFormatting>
  <conditionalFormatting sqref="H2:H1000">
    <cfRule type="cellIs" dxfId="1" priority="11" operator="greaterThanOrEqual">
      <formula>0.5</formula>
    </cfRule>
  </conditionalFormatting>
  <conditionalFormatting sqref="H2:H1000">
    <cfRule type="cellIs" dxfId="5" priority="12" operator="lessThan">
      <formula>0.5</formula>
    </cfRule>
  </conditionalFormatting>
  <conditionalFormatting sqref="I2:I1000">
    <cfRule type="cellIs" dxfId="1" priority="13" operator="greaterThanOrEqual">
      <formula>0.5</formula>
    </cfRule>
  </conditionalFormatting>
  <conditionalFormatting sqref="I2:I1000">
    <cfRule type="cellIs" dxfId="5" priority="14" operator="lessThan">
      <formula>0.5</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2.38"/>
    <col customWidth="1" min="2" max="2" width="17.38"/>
    <col customWidth="1" min="3" max="3" width="17.88"/>
    <col customWidth="1" min="4" max="4" width="16.38"/>
    <col customWidth="1" min="5" max="5" width="19.5"/>
    <col customWidth="1" min="6" max="6" width="17.88"/>
    <col customWidth="1" min="7" max="7" width="24.0"/>
    <col customWidth="1" min="8" max="9" width="32.13"/>
    <col customWidth="1" min="10" max="10" width="32.5"/>
    <col customWidth="1" min="11" max="11" width="32.25"/>
    <col customWidth="1" min="17" max="17" width="29.38"/>
    <col customWidth="1" min="18" max="18" width="19.63"/>
    <col customWidth="1" min="19" max="19" width="23.0"/>
    <col customWidth="1" min="20" max="20" width="19.0"/>
    <col customWidth="1" min="21" max="21" width="24.5"/>
    <col customWidth="1" min="26" max="26" width="14.13"/>
  </cols>
  <sheetData>
    <row r="1">
      <c r="A1" s="100"/>
      <c r="B1" s="100"/>
      <c r="C1" s="100"/>
      <c r="D1" s="100"/>
      <c r="E1" s="100"/>
      <c r="F1" s="100"/>
      <c r="G1" s="100"/>
      <c r="H1" s="100"/>
      <c r="I1" s="100"/>
    </row>
    <row r="5">
      <c r="A5" s="104" t="s">
        <v>2699</v>
      </c>
      <c r="B5" s="60"/>
      <c r="C5" s="60"/>
      <c r="D5" s="104" t="s">
        <v>2700</v>
      </c>
      <c r="E5" s="60"/>
      <c r="F5" s="60"/>
      <c r="G5" s="104" t="s">
        <v>2701</v>
      </c>
      <c r="H5" s="60"/>
      <c r="I5" s="60"/>
      <c r="J5" s="60"/>
      <c r="K5" s="60"/>
      <c r="L5" s="60"/>
      <c r="M5" s="60"/>
      <c r="N5" s="60"/>
      <c r="O5" s="104" t="s">
        <v>2702</v>
      </c>
      <c r="P5" s="60"/>
      <c r="Q5" s="104" t="s">
        <v>2703</v>
      </c>
      <c r="R5" s="60"/>
      <c r="S5" s="60"/>
      <c r="T5" s="60"/>
      <c r="U5" s="60"/>
      <c r="V5" s="60"/>
    </row>
    <row r="6">
      <c r="A6" s="105" t="s">
        <v>2704</v>
      </c>
      <c r="B6" s="105"/>
      <c r="C6" s="105" t="s">
        <v>2705</v>
      </c>
      <c r="D6" s="105" t="s">
        <v>2706</v>
      </c>
      <c r="E6" s="105" t="s">
        <v>2707</v>
      </c>
      <c r="F6" s="106"/>
      <c r="G6" s="105" t="s">
        <v>2708</v>
      </c>
      <c r="H6" s="105" t="s">
        <v>2709</v>
      </c>
      <c r="I6" s="105" t="s">
        <v>2710</v>
      </c>
      <c r="J6" s="105" t="s">
        <v>2711</v>
      </c>
      <c r="K6" s="105" t="s">
        <v>2712</v>
      </c>
      <c r="L6" s="105" t="s">
        <v>2713</v>
      </c>
      <c r="M6" s="106"/>
      <c r="N6" s="106"/>
      <c r="O6" s="105" t="s">
        <v>2714</v>
      </c>
      <c r="P6" s="105" t="s">
        <v>2715</v>
      </c>
      <c r="Q6" s="105" t="s">
        <v>2716</v>
      </c>
      <c r="R6" s="105" t="s">
        <v>2717</v>
      </c>
      <c r="S6" s="105" t="s">
        <v>2718</v>
      </c>
      <c r="T6" s="105" t="s">
        <v>2719</v>
      </c>
      <c r="U6" s="105" t="s">
        <v>2720</v>
      </c>
      <c r="V6" s="106"/>
    </row>
    <row r="7">
      <c r="A7" s="107" t="s">
        <v>1371</v>
      </c>
      <c r="B7" s="108"/>
      <c r="C7" s="108" t="s">
        <v>2721</v>
      </c>
      <c r="D7" s="55" t="s">
        <v>2722</v>
      </c>
      <c r="E7" s="108" t="s">
        <v>2723</v>
      </c>
      <c r="G7" s="108" t="s">
        <v>2724</v>
      </c>
      <c r="H7" s="108" t="s">
        <v>2724</v>
      </c>
      <c r="I7" s="108" t="s">
        <v>2725</v>
      </c>
      <c r="J7" s="108" t="s">
        <v>2726</v>
      </c>
      <c r="K7" s="108" t="s">
        <v>2724</v>
      </c>
      <c r="L7" s="108" t="s">
        <v>2727</v>
      </c>
      <c r="O7" s="108" t="s">
        <v>2728</v>
      </c>
      <c r="P7" s="108" t="s">
        <v>2729</v>
      </c>
      <c r="Q7" s="108" t="s">
        <v>2726</v>
      </c>
      <c r="R7" s="108" t="s">
        <v>2726</v>
      </c>
      <c r="S7" s="108" t="s">
        <v>2726</v>
      </c>
      <c r="T7" s="108" t="s">
        <v>2726</v>
      </c>
      <c r="U7" s="108" t="s">
        <v>2726</v>
      </c>
      <c r="V7" s="108"/>
    </row>
    <row r="8">
      <c r="A8" s="107" t="s">
        <v>1374</v>
      </c>
      <c r="B8" s="108"/>
      <c r="C8" s="108" t="s">
        <v>2730</v>
      </c>
      <c r="D8" s="108" t="s">
        <v>2731</v>
      </c>
      <c r="E8" s="108" t="s">
        <v>2732</v>
      </c>
      <c r="G8" s="108" t="s">
        <v>2724</v>
      </c>
      <c r="H8" s="108" t="s">
        <v>2724</v>
      </c>
      <c r="I8" s="108" t="s">
        <v>2726</v>
      </c>
      <c r="J8" s="108" t="s">
        <v>2726</v>
      </c>
      <c r="K8" s="108" t="s">
        <v>2724</v>
      </c>
      <c r="L8" s="108" t="s">
        <v>2733</v>
      </c>
      <c r="O8" s="108" t="s">
        <v>2734</v>
      </c>
      <c r="P8" s="108" t="s">
        <v>2735</v>
      </c>
      <c r="Q8" s="108" t="s">
        <v>2726</v>
      </c>
      <c r="R8" s="108" t="s">
        <v>2725</v>
      </c>
      <c r="S8" s="108" t="s">
        <v>2725</v>
      </c>
      <c r="T8" s="108" t="s">
        <v>2725</v>
      </c>
      <c r="U8" s="108" t="s">
        <v>2726</v>
      </c>
      <c r="V8" s="108"/>
    </row>
    <row r="9">
      <c r="A9" s="107" t="s">
        <v>1378</v>
      </c>
      <c r="B9" s="108"/>
      <c r="C9" s="108" t="s">
        <v>2736</v>
      </c>
      <c r="D9" s="108" t="s">
        <v>2737</v>
      </c>
      <c r="E9" s="108" t="s">
        <v>2738</v>
      </c>
      <c r="F9" s="55"/>
      <c r="G9" s="55" t="s">
        <v>2724</v>
      </c>
      <c r="H9" s="55" t="s">
        <v>2724</v>
      </c>
      <c r="I9" s="55" t="s">
        <v>2725</v>
      </c>
      <c r="J9" s="55" t="s">
        <v>2726</v>
      </c>
      <c r="K9" s="55" t="s">
        <v>2724</v>
      </c>
      <c r="L9" s="55" t="s">
        <v>2739</v>
      </c>
      <c r="M9" s="55" t="s">
        <v>2740</v>
      </c>
      <c r="O9" s="55" t="s">
        <v>2741</v>
      </c>
      <c r="P9" s="55" t="s">
        <v>2742</v>
      </c>
      <c r="Q9" s="55" t="s">
        <v>2726</v>
      </c>
      <c r="R9" s="55" t="s">
        <v>2725</v>
      </c>
      <c r="S9" s="55" t="s">
        <v>2726</v>
      </c>
      <c r="T9" s="55" t="s">
        <v>2725</v>
      </c>
      <c r="U9" s="55" t="s">
        <v>2726</v>
      </c>
    </row>
    <row r="10">
      <c r="A10" s="109" t="s">
        <v>1381</v>
      </c>
      <c r="C10" s="55" t="s">
        <v>2743</v>
      </c>
      <c r="D10" s="55" t="s">
        <v>2744</v>
      </c>
      <c r="E10" s="55" t="s">
        <v>2745</v>
      </c>
      <c r="G10" s="55" t="s">
        <v>2724</v>
      </c>
      <c r="H10" s="55" t="s">
        <v>2724</v>
      </c>
      <c r="I10" s="55" t="s">
        <v>2725</v>
      </c>
      <c r="J10" s="55" t="s">
        <v>2726</v>
      </c>
      <c r="K10" s="55" t="s">
        <v>2724</v>
      </c>
      <c r="L10" s="55" t="s">
        <v>2746</v>
      </c>
      <c r="O10" s="55" t="s">
        <v>2747</v>
      </c>
      <c r="P10" s="55" t="s">
        <v>2748</v>
      </c>
      <c r="Q10" s="55" t="s">
        <v>2726</v>
      </c>
      <c r="R10" s="55" t="s">
        <v>2725</v>
      </c>
      <c r="S10" s="55" t="s">
        <v>2725</v>
      </c>
      <c r="T10" s="55" t="s">
        <v>2726</v>
      </c>
      <c r="U10" s="55" t="s">
        <v>2726</v>
      </c>
    </row>
    <row r="11" ht="25.5" customHeight="1">
      <c r="A11" s="107" t="s">
        <v>1384</v>
      </c>
      <c r="C11" s="55" t="s">
        <v>2749</v>
      </c>
      <c r="D11" s="55" t="s">
        <v>2750</v>
      </c>
      <c r="E11" s="55" t="s">
        <v>2751</v>
      </c>
      <c r="G11" s="55" t="s">
        <v>2724</v>
      </c>
      <c r="H11" s="55" t="s">
        <v>2724</v>
      </c>
      <c r="I11" s="110" t="s">
        <v>2725</v>
      </c>
      <c r="J11" s="55" t="s">
        <v>2726</v>
      </c>
      <c r="K11" s="55" t="s">
        <v>2724</v>
      </c>
      <c r="L11" s="55" t="s">
        <v>2752</v>
      </c>
      <c r="O11" s="55" t="s">
        <v>2753</v>
      </c>
      <c r="P11" s="55" t="s">
        <v>2754</v>
      </c>
      <c r="Q11" s="55" t="s">
        <v>2726</v>
      </c>
      <c r="R11" s="55" t="s">
        <v>2725</v>
      </c>
      <c r="S11" s="55" t="s">
        <v>2726</v>
      </c>
      <c r="T11" s="55" t="s">
        <v>2726</v>
      </c>
      <c r="U11" s="55" t="s">
        <v>2726</v>
      </c>
    </row>
    <row r="12" ht="3.75" customHeight="1">
      <c r="A12" s="107" t="s">
        <v>1387</v>
      </c>
      <c r="I12" s="102"/>
    </row>
    <row r="13">
      <c r="A13" s="107" t="s">
        <v>1390</v>
      </c>
      <c r="C13" s="55" t="s">
        <v>2755</v>
      </c>
      <c r="D13" s="55" t="s">
        <v>2756</v>
      </c>
      <c r="E13" s="55" t="s">
        <v>2732</v>
      </c>
      <c r="G13" s="55" t="s">
        <v>2724</v>
      </c>
      <c r="H13" s="55" t="s">
        <v>2724</v>
      </c>
      <c r="I13" s="110" t="s">
        <v>2725</v>
      </c>
      <c r="J13" s="55" t="s">
        <v>2726</v>
      </c>
      <c r="K13" s="55" t="s">
        <v>2724</v>
      </c>
      <c r="L13" s="55" t="s">
        <v>2757</v>
      </c>
      <c r="O13" s="55" t="s">
        <v>2758</v>
      </c>
      <c r="P13" s="55" t="s">
        <v>2759</v>
      </c>
      <c r="Q13" s="55" t="s">
        <v>2726</v>
      </c>
      <c r="R13" s="55" t="s">
        <v>2725</v>
      </c>
      <c r="S13" s="55" t="s">
        <v>2725</v>
      </c>
      <c r="T13" s="55" t="s">
        <v>2726</v>
      </c>
      <c r="U13" s="55" t="s">
        <v>2726</v>
      </c>
    </row>
    <row r="14">
      <c r="A14" s="109" t="s">
        <v>1393</v>
      </c>
      <c r="C14" s="110" t="s">
        <v>2760</v>
      </c>
      <c r="D14" s="110" t="s">
        <v>2761</v>
      </c>
      <c r="E14" s="55" t="s">
        <v>2732</v>
      </c>
      <c r="F14" s="102"/>
      <c r="G14" s="110" t="s">
        <v>2724</v>
      </c>
      <c r="H14" s="110" t="s">
        <v>2724</v>
      </c>
      <c r="I14" s="110" t="s">
        <v>2725</v>
      </c>
      <c r="J14" s="55" t="s">
        <v>2726</v>
      </c>
      <c r="K14" s="55" t="s">
        <v>2724</v>
      </c>
      <c r="L14" s="55" t="s">
        <v>2762</v>
      </c>
      <c r="O14" s="55" t="s">
        <v>2763</v>
      </c>
      <c r="P14" s="55" t="s">
        <v>2764</v>
      </c>
      <c r="Q14" s="55" t="s">
        <v>2726</v>
      </c>
      <c r="R14" s="55" t="s">
        <v>2725</v>
      </c>
      <c r="S14" s="55" t="s">
        <v>2725</v>
      </c>
      <c r="T14" s="55" t="s">
        <v>2726</v>
      </c>
      <c r="U14" s="55" t="s">
        <v>2726</v>
      </c>
    </row>
    <row r="15">
      <c r="A15" s="107" t="s">
        <v>1397</v>
      </c>
      <c r="C15" s="55" t="s">
        <v>2765</v>
      </c>
      <c r="D15" s="55" t="s">
        <v>2766</v>
      </c>
      <c r="E15" s="55" t="s">
        <v>2767</v>
      </c>
      <c r="F15" s="102"/>
      <c r="G15" s="110" t="s">
        <v>2724</v>
      </c>
      <c r="H15" s="110" t="s">
        <v>2724</v>
      </c>
      <c r="I15" s="110" t="s">
        <v>2725</v>
      </c>
      <c r="J15" s="55" t="s">
        <v>2726</v>
      </c>
      <c r="K15" s="55" t="s">
        <v>2724</v>
      </c>
      <c r="L15" s="55" t="s">
        <v>2768</v>
      </c>
      <c r="O15" s="55" t="s">
        <v>2769</v>
      </c>
      <c r="P15" s="55" t="s">
        <v>2770</v>
      </c>
      <c r="Q15" s="55" t="s">
        <v>2726</v>
      </c>
      <c r="R15" s="55" t="s">
        <v>2725</v>
      </c>
      <c r="S15" s="55" t="s">
        <v>2725</v>
      </c>
      <c r="T15" s="55" t="s">
        <v>2726</v>
      </c>
      <c r="U15" s="55" t="s">
        <v>2725</v>
      </c>
    </row>
    <row r="16">
      <c r="A16" s="107" t="s">
        <v>1400</v>
      </c>
      <c r="C16" s="55" t="s">
        <v>2771</v>
      </c>
      <c r="D16" s="55" t="s">
        <v>2772</v>
      </c>
      <c r="E16" s="55" t="s">
        <v>2773</v>
      </c>
      <c r="F16" s="103"/>
      <c r="G16" s="110" t="s">
        <v>2724</v>
      </c>
      <c r="H16" s="110" t="s">
        <v>2724</v>
      </c>
      <c r="I16" s="110" t="s">
        <v>2725</v>
      </c>
      <c r="J16" s="55" t="s">
        <v>2726</v>
      </c>
      <c r="K16" s="55" t="s">
        <v>2724</v>
      </c>
      <c r="L16" s="55" t="s">
        <v>2774</v>
      </c>
      <c r="O16" s="55" t="s">
        <v>2775</v>
      </c>
      <c r="P16" s="55" t="s">
        <v>2776</v>
      </c>
      <c r="Q16" s="55" t="s">
        <v>2726</v>
      </c>
      <c r="R16" s="55" t="s">
        <v>2725</v>
      </c>
      <c r="S16" s="55" t="s">
        <v>2726</v>
      </c>
      <c r="T16" s="55" t="s">
        <v>2726</v>
      </c>
      <c r="U16" s="55" t="s">
        <v>2726</v>
      </c>
    </row>
    <row r="17">
      <c r="A17" s="107" t="s">
        <v>1403</v>
      </c>
      <c r="C17" s="55" t="s">
        <v>2777</v>
      </c>
      <c r="D17" s="55" t="s">
        <v>2778</v>
      </c>
      <c r="E17" s="55" t="s">
        <v>2779</v>
      </c>
      <c r="G17" s="55" t="s">
        <v>2724</v>
      </c>
      <c r="H17" s="55" t="s">
        <v>2724</v>
      </c>
      <c r="I17" s="55" t="s">
        <v>2725</v>
      </c>
      <c r="J17" s="55" t="s">
        <v>2726</v>
      </c>
      <c r="K17" s="55" t="s">
        <v>2724</v>
      </c>
      <c r="L17" s="55" t="s">
        <v>2780</v>
      </c>
      <c r="O17" s="55" t="s">
        <v>2781</v>
      </c>
      <c r="P17" s="55" t="s">
        <v>2782</v>
      </c>
      <c r="Q17" s="55" t="s">
        <v>2726</v>
      </c>
      <c r="R17" s="55" t="s">
        <v>2725</v>
      </c>
      <c r="S17" s="55" t="s">
        <v>2725</v>
      </c>
      <c r="T17" s="55" t="s">
        <v>2726</v>
      </c>
      <c r="U17" s="55" t="s">
        <v>2725</v>
      </c>
    </row>
    <row r="18">
      <c r="A18" s="111" t="s">
        <v>1405</v>
      </c>
      <c r="C18" s="55" t="s">
        <v>2783</v>
      </c>
      <c r="D18" s="55" t="s">
        <v>2784</v>
      </c>
      <c r="E18" s="55" t="s">
        <v>2785</v>
      </c>
      <c r="G18" s="55" t="s">
        <v>2724</v>
      </c>
      <c r="H18" s="55" t="s">
        <v>2724</v>
      </c>
      <c r="I18" s="55" t="s">
        <v>2725</v>
      </c>
      <c r="J18" s="55" t="s">
        <v>2726</v>
      </c>
      <c r="K18" s="55" t="s">
        <v>2786</v>
      </c>
      <c r="L18" s="55" t="s">
        <v>2787</v>
      </c>
      <c r="O18" s="55" t="s">
        <v>2788</v>
      </c>
      <c r="P18" s="55" t="s">
        <v>2789</v>
      </c>
      <c r="Q18" s="55" t="s">
        <v>2725</v>
      </c>
      <c r="R18" s="55" t="s">
        <v>2725</v>
      </c>
      <c r="S18" s="55" t="s">
        <v>2725</v>
      </c>
      <c r="T18" s="55" t="s">
        <v>2725</v>
      </c>
      <c r="U18" s="55" t="s">
        <v>2725</v>
      </c>
    </row>
    <row r="19">
      <c r="A19" s="112" t="s">
        <v>1406</v>
      </c>
      <c r="C19" s="55" t="s">
        <v>2790</v>
      </c>
      <c r="D19" s="55" t="s">
        <v>2791</v>
      </c>
      <c r="E19" s="55" t="s">
        <v>2792</v>
      </c>
      <c r="G19" s="55" t="s">
        <v>2724</v>
      </c>
      <c r="H19" s="55" t="s">
        <v>2724</v>
      </c>
      <c r="I19" s="55" t="s">
        <v>2725</v>
      </c>
      <c r="J19" s="55" t="s">
        <v>2726</v>
      </c>
      <c r="K19" s="55" t="s">
        <v>2786</v>
      </c>
      <c r="L19" s="55" t="s">
        <v>2793</v>
      </c>
      <c r="O19" s="55" t="s">
        <v>2794</v>
      </c>
      <c r="P19" s="55" t="s">
        <v>2795</v>
      </c>
      <c r="Q19" s="55" t="s">
        <v>2726</v>
      </c>
      <c r="R19" s="55" t="s">
        <v>2725</v>
      </c>
      <c r="S19" s="55" t="s">
        <v>2725</v>
      </c>
      <c r="T19" s="55" t="s">
        <v>2726</v>
      </c>
      <c r="U19" s="55" t="s">
        <v>2726</v>
      </c>
    </row>
    <row r="20">
      <c r="A20" s="112" t="s">
        <v>1409</v>
      </c>
      <c r="C20" s="55" t="s">
        <v>2796</v>
      </c>
      <c r="D20" s="55" t="s">
        <v>2732</v>
      </c>
      <c r="E20" s="55" t="s">
        <v>2732</v>
      </c>
      <c r="G20" s="55" t="s">
        <v>2724</v>
      </c>
      <c r="H20" s="55" t="s">
        <v>2724</v>
      </c>
      <c r="I20" s="55" t="s">
        <v>2725</v>
      </c>
      <c r="J20" s="55" t="s">
        <v>2725</v>
      </c>
      <c r="K20" s="55" t="s">
        <v>2724</v>
      </c>
      <c r="L20" s="55" t="s">
        <v>2797</v>
      </c>
      <c r="O20" s="55" t="s">
        <v>2798</v>
      </c>
      <c r="P20" s="55" t="s">
        <v>2799</v>
      </c>
      <c r="Q20" s="55" t="s">
        <v>2725</v>
      </c>
      <c r="R20" s="55" t="s">
        <v>2725</v>
      </c>
      <c r="S20" s="55" t="s">
        <v>2725</v>
      </c>
      <c r="T20" s="55" t="s">
        <v>2725</v>
      </c>
      <c r="U20" s="55" t="s">
        <v>2725</v>
      </c>
    </row>
    <row r="21">
      <c r="A21" s="112" t="s">
        <v>1412</v>
      </c>
      <c r="C21" s="55" t="s">
        <v>2783</v>
      </c>
      <c r="D21" s="55" t="s">
        <v>2800</v>
      </c>
      <c r="E21" s="55" t="s">
        <v>2801</v>
      </c>
      <c r="G21" s="55" t="s">
        <v>2724</v>
      </c>
      <c r="H21" s="55" t="s">
        <v>2724</v>
      </c>
      <c r="I21" s="55" t="s">
        <v>2725</v>
      </c>
      <c r="J21" s="55" t="s">
        <v>2726</v>
      </c>
      <c r="K21" s="55" t="s">
        <v>2724</v>
      </c>
      <c r="L21" s="55" t="s">
        <v>2802</v>
      </c>
      <c r="O21" s="55" t="s">
        <v>2803</v>
      </c>
      <c r="P21" s="55" t="s">
        <v>2804</v>
      </c>
      <c r="Q21" s="55" t="s">
        <v>2725</v>
      </c>
      <c r="R21" s="55" t="s">
        <v>2725</v>
      </c>
      <c r="S21" s="55" t="s">
        <v>2725</v>
      </c>
      <c r="T21" s="55" t="s">
        <v>2725</v>
      </c>
      <c r="U21" s="55" t="s">
        <v>2725</v>
      </c>
    </row>
    <row r="22">
      <c r="A22" s="111" t="s">
        <v>1415</v>
      </c>
      <c r="C22" s="55" t="s">
        <v>2805</v>
      </c>
      <c r="D22" s="55" t="s">
        <v>2806</v>
      </c>
      <c r="E22" s="55" t="s">
        <v>2807</v>
      </c>
      <c r="G22" s="55" t="s">
        <v>2724</v>
      </c>
      <c r="H22" s="55" t="s">
        <v>2724</v>
      </c>
      <c r="I22" s="55" t="s">
        <v>2725</v>
      </c>
      <c r="J22" s="55" t="s">
        <v>2726</v>
      </c>
      <c r="K22" s="55" t="s">
        <v>2724</v>
      </c>
      <c r="L22" s="55" t="s">
        <v>2808</v>
      </c>
      <c r="O22" s="55" t="s">
        <v>2809</v>
      </c>
      <c r="P22" s="55" t="s">
        <v>2810</v>
      </c>
      <c r="Q22" s="55" t="s">
        <v>2725</v>
      </c>
      <c r="R22" s="55" t="s">
        <v>2725</v>
      </c>
      <c r="S22" s="55" t="s">
        <v>2725</v>
      </c>
      <c r="T22" s="55" t="s">
        <v>2725</v>
      </c>
      <c r="U22" s="55" t="s">
        <v>2725</v>
      </c>
    </row>
    <row r="23">
      <c r="A23" s="112" t="s">
        <v>1423</v>
      </c>
      <c r="C23" s="55" t="s">
        <v>2811</v>
      </c>
      <c r="D23" s="55" t="s">
        <v>2812</v>
      </c>
      <c r="E23" s="55" t="s">
        <v>2813</v>
      </c>
      <c r="F23" s="108"/>
      <c r="G23" s="55" t="s">
        <v>2724</v>
      </c>
      <c r="H23" s="55" t="s">
        <v>2724</v>
      </c>
      <c r="I23" s="55" t="s">
        <v>2725</v>
      </c>
      <c r="J23" s="55" t="s">
        <v>2726</v>
      </c>
      <c r="K23" s="55" t="s">
        <v>2724</v>
      </c>
      <c r="L23" s="55" t="s">
        <v>2814</v>
      </c>
      <c r="O23" s="55" t="s">
        <v>2815</v>
      </c>
      <c r="P23" s="55" t="s">
        <v>2816</v>
      </c>
      <c r="Q23" s="55" t="s">
        <v>2725</v>
      </c>
      <c r="R23" s="55" t="s">
        <v>2725</v>
      </c>
      <c r="S23" s="55" t="s">
        <v>2725</v>
      </c>
      <c r="T23" s="55" t="s">
        <v>2725</v>
      </c>
      <c r="U23" s="55" t="s">
        <v>2725</v>
      </c>
    </row>
    <row r="24">
      <c r="A24" s="111" t="s">
        <v>1426</v>
      </c>
      <c r="C24" s="55" t="s">
        <v>2817</v>
      </c>
      <c r="D24" s="55" t="s">
        <v>2818</v>
      </c>
      <c r="E24" s="55" t="s">
        <v>2819</v>
      </c>
      <c r="G24" s="55" t="s">
        <v>2724</v>
      </c>
      <c r="H24" s="55" t="s">
        <v>2732</v>
      </c>
      <c r="I24" s="55" t="s">
        <v>2725</v>
      </c>
      <c r="J24" s="55" t="s">
        <v>2726</v>
      </c>
      <c r="K24" s="55" t="s">
        <v>2724</v>
      </c>
      <c r="L24" s="55" t="s">
        <v>2820</v>
      </c>
      <c r="O24" s="55" t="s">
        <v>2821</v>
      </c>
      <c r="P24" s="55" t="s">
        <v>2822</v>
      </c>
      <c r="Q24" s="55" t="s">
        <v>2725</v>
      </c>
      <c r="R24" s="55" t="s">
        <v>2725</v>
      </c>
      <c r="S24" s="55" t="s">
        <v>2725</v>
      </c>
      <c r="T24" s="55" t="s">
        <v>2725</v>
      </c>
      <c r="U24" s="55" t="s">
        <v>2725</v>
      </c>
    </row>
    <row r="25">
      <c r="A25" s="112" t="s">
        <v>1429</v>
      </c>
      <c r="C25" s="55" t="s">
        <v>2823</v>
      </c>
      <c r="D25" s="55" t="s">
        <v>2824</v>
      </c>
      <c r="E25" s="55" t="s">
        <v>2825</v>
      </c>
      <c r="G25" s="55" t="s">
        <v>2724</v>
      </c>
      <c r="H25" s="55" t="s">
        <v>2724</v>
      </c>
      <c r="I25" s="55" t="s">
        <v>2725</v>
      </c>
      <c r="J25" s="55" t="s">
        <v>2726</v>
      </c>
      <c r="K25" s="55" t="s">
        <v>2724</v>
      </c>
      <c r="L25" s="55" t="s">
        <v>2826</v>
      </c>
      <c r="O25" s="55" t="s">
        <v>2827</v>
      </c>
      <c r="P25" s="55" t="s">
        <v>2828</v>
      </c>
      <c r="Q25" s="55" t="s">
        <v>2726</v>
      </c>
      <c r="R25" s="55" t="s">
        <v>2725</v>
      </c>
      <c r="S25" s="55" t="s">
        <v>2726</v>
      </c>
      <c r="T25" s="55" t="s">
        <v>2726</v>
      </c>
      <c r="U25" s="55" t="s">
        <v>2725</v>
      </c>
    </row>
    <row r="26">
      <c r="A26" s="112" t="s">
        <v>1432</v>
      </c>
      <c r="C26" s="55" t="s">
        <v>2829</v>
      </c>
      <c r="D26" s="55" t="s">
        <v>2830</v>
      </c>
      <c r="E26" s="55" t="s">
        <v>2732</v>
      </c>
      <c r="G26" s="55" t="s">
        <v>2724</v>
      </c>
      <c r="H26" s="55" t="s">
        <v>2724</v>
      </c>
      <c r="I26" s="55" t="s">
        <v>2725</v>
      </c>
      <c r="J26" s="55" t="s">
        <v>2726</v>
      </c>
      <c r="K26" s="55" t="s">
        <v>2724</v>
      </c>
      <c r="L26" s="55" t="s">
        <v>2831</v>
      </c>
      <c r="O26" s="55" t="s">
        <v>2832</v>
      </c>
      <c r="P26" s="55" t="s">
        <v>2833</v>
      </c>
      <c r="Q26" s="55" t="s">
        <v>2725</v>
      </c>
      <c r="R26" s="55" t="s">
        <v>2725</v>
      </c>
      <c r="S26" s="55" t="s">
        <v>2725</v>
      </c>
      <c r="T26" s="55" t="s">
        <v>2725</v>
      </c>
      <c r="U26" s="55" t="s">
        <v>2725</v>
      </c>
    </row>
    <row r="27">
      <c r="A27" s="111" t="s">
        <v>1438</v>
      </c>
      <c r="C27" s="55" t="s">
        <v>2834</v>
      </c>
      <c r="D27" s="55" t="s">
        <v>2835</v>
      </c>
      <c r="E27" s="55" t="s">
        <v>2732</v>
      </c>
      <c r="G27" s="55" t="s">
        <v>2724</v>
      </c>
      <c r="H27" s="55" t="s">
        <v>2724</v>
      </c>
      <c r="I27" s="55" t="s">
        <v>2725</v>
      </c>
      <c r="J27" s="55" t="s">
        <v>2726</v>
      </c>
      <c r="K27" s="55" t="s">
        <v>2724</v>
      </c>
      <c r="L27" s="55" t="s">
        <v>2836</v>
      </c>
      <c r="O27" s="55" t="s">
        <v>2837</v>
      </c>
      <c r="P27" s="55" t="s">
        <v>2838</v>
      </c>
      <c r="Q27" s="55" t="s">
        <v>2725</v>
      </c>
      <c r="R27" s="55" t="s">
        <v>2725</v>
      </c>
      <c r="S27" s="55" t="s">
        <v>2725</v>
      </c>
      <c r="T27" s="55" t="s">
        <v>2725</v>
      </c>
      <c r="U27" s="55" t="s">
        <v>2725</v>
      </c>
    </row>
    <row r="28">
      <c r="A28" s="113" t="s">
        <v>1445</v>
      </c>
      <c r="C28" s="55" t="s">
        <v>2839</v>
      </c>
      <c r="D28" s="55" t="s">
        <v>1071</v>
      </c>
      <c r="E28" s="55" t="s">
        <v>2732</v>
      </c>
      <c r="F28" s="55"/>
      <c r="G28" s="55" t="s">
        <v>2724</v>
      </c>
      <c r="H28" s="55" t="s">
        <v>2724</v>
      </c>
      <c r="I28" s="55" t="s">
        <v>2726</v>
      </c>
      <c r="J28" s="55" t="s">
        <v>2726</v>
      </c>
      <c r="K28" s="55" t="s">
        <v>2786</v>
      </c>
      <c r="L28" s="55" t="s">
        <v>2840</v>
      </c>
      <c r="O28" s="55" t="s">
        <v>2841</v>
      </c>
      <c r="P28" s="55" t="s">
        <v>2842</v>
      </c>
      <c r="Q28" s="55" t="s">
        <v>2726</v>
      </c>
      <c r="R28" s="55" t="s">
        <v>2725</v>
      </c>
      <c r="S28" s="55" t="s">
        <v>2725</v>
      </c>
      <c r="T28" s="55" t="s">
        <v>2725</v>
      </c>
      <c r="U28" s="55" t="s">
        <v>2725</v>
      </c>
    </row>
    <row r="29">
      <c r="A29" s="113" t="s">
        <v>1448</v>
      </c>
      <c r="C29" s="55" t="s">
        <v>2843</v>
      </c>
      <c r="D29" s="55" t="s">
        <v>2844</v>
      </c>
      <c r="E29" s="55" t="s">
        <v>2732</v>
      </c>
      <c r="G29" s="55" t="s">
        <v>2724</v>
      </c>
      <c r="H29" s="55" t="s">
        <v>2724</v>
      </c>
      <c r="I29" s="55" t="s">
        <v>2845</v>
      </c>
      <c r="J29" s="55" t="s">
        <v>2845</v>
      </c>
      <c r="K29" s="55" t="s">
        <v>2724</v>
      </c>
      <c r="L29" s="55" t="s">
        <v>2846</v>
      </c>
      <c r="O29" s="55" t="s">
        <v>2847</v>
      </c>
      <c r="P29" s="55" t="s">
        <v>2848</v>
      </c>
      <c r="Q29" s="55" t="s">
        <v>2725</v>
      </c>
      <c r="R29" s="55" t="s">
        <v>2725</v>
      </c>
      <c r="S29" s="55" t="s">
        <v>2725</v>
      </c>
      <c r="T29" s="55" t="s">
        <v>2725</v>
      </c>
      <c r="U29" s="55" t="s">
        <v>2725</v>
      </c>
    </row>
    <row r="30">
      <c r="A30" s="114" t="s">
        <v>1451</v>
      </c>
      <c r="C30" s="55" t="s">
        <v>2849</v>
      </c>
      <c r="D30" s="55" t="s">
        <v>2850</v>
      </c>
      <c r="E30" s="55" t="s">
        <v>2851</v>
      </c>
      <c r="F30" s="55"/>
      <c r="G30" s="55" t="s">
        <v>2724</v>
      </c>
      <c r="H30" s="55" t="s">
        <v>2724</v>
      </c>
      <c r="I30" s="55" t="s">
        <v>2845</v>
      </c>
      <c r="J30" s="55" t="s">
        <v>2726</v>
      </c>
      <c r="K30" s="55" t="s">
        <v>2724</v>
      </c>
      <c r="L30" s="55" t="s">
        <v>2852</v>
      </c>
      <c r="O30" s="55" t="s">
        <v>2853</v>
      </c>
      <c r="P30" s="55" t="s">
        <v>2854</v>
      </c>
      <c r="Q30" s="55" t="s">
        <v>2726</v>
      </c>
      <c r="R30" s="55" t="s">
        <v>2725</v>
      </c>
      <c r="S30" s="55" t="s">
        <v>2725</v>
      </c>
      <c r="T30" s="55" t="s">
        <v>2726</v>
      </c>
      <c r="U30" s="55" t="s">
        <v>2726</v>
      </c>
    </row>
    <row r="31">
      <c r="A31" s="113" t="s">
        <v>1453</v>
      </c>
    </row>
    <row r="32">
      <c r="A32" s="113" t="s">
        <v>1456</v>
      </c>
      <c r="C32" s="55" t="s">
        <v>2855</v>
      </c>
      <c r="D32" s="55" t="s">
        <v>2856</v>
      </c>
      <c r="E32" s="55" t="s">
        <v>2732</v>
      </c>
      <c r="G32" s="55" t="s">
        <v>2724</v>
      </c>
      <c r="H32" s="55" t="s">
        <v>2724</v>
      </c>
      <c r="I32" s="55" t="s">
        <v>2725</v>
      </c>
      <c r="J32" s="55" t="s">
        <v>2725</v>
      </c>
      <c r="K32" s="55" t="s">
        <v>2724</v>
      </c>
      <c r="L32" s="55" t="s">
        <v>2857</v>
      </c>
      <c r="M32" s="55"/>
      <c r="O32" s="55" t="s">
        <v>2858</v>
      </c>
      <c r="P32" s="55" t="s">
        <v>2859</v>
      </c>
      <c r="Q32" s="55" t="s">
        <v>2725</v>
      </c>
      <c r="R32" s="55" t="s">
        <v>2725</v>
      </c>
      <c r="S32" s="55" t="s">
        <v>2725</v>
      </c>
      <c r="T32" s="55" t="s">
        <v>2725</v>
      </c>
      <c r="U32" s="55" t="s">
        <v>2725</v>
      </c>
    </row>
    <row r="33">
      <c r="A33" s="113" t="s">
        <v>1458</v>
      </c>
      <c r="C33" s="55" t="s">
        <v>2860</v>
      </c>
      <c r="D33" s="55" t="s">
        <v>2861</v>
      </c>
      <c r="E33" s="55" t="s">
        <v>2732</v>
      </c>
      <c r="G33" s="55" t="s">
        <v>2724</v>
      </c>
      <c r="H33" s="55" t="s">
        <v>2724</v>
      </c>
      <c r="I33" s="55" t="s">
        <v>2725</v>
      </c>
      <c r="J33" s="55" t="s">
        <v>2726</v>
      </c>
      <c r="K33" s="55" t="s">
        <v>2786</v>
      </c>
      <c r="L33" s="55" t="s">
        <v>2862</v>
      </c>
      <c r="O33" s="55" t="s">
        <v>2863</v>
      </c>
      <c r="P33" s="55" t="s">
        <v>2864</v>
      </c>
      <c r="Q33" s="55" t="s">
        <v>2726</v>
      </c>
      <c r="R33" s="55" t="s">
        <v>2725</v>
      </c>
      <c r="S33" s="55" t="s">
        <v>2725</v>
      </c>
      <c r="T33" s="55" t="s">
        <v>2725</v>
      </c>
      <c r="U33" s="55" t="s">
        <v>2726</v>
      </c>
    </row>
    <row r="34">
      <c r="A34" s="114" t="s">
        <v>1461</v>
      </c>
      <c r="C34" s="55" t="s">
        <v>2865</v>
      </c>
      <c r="D34" s="55" t="s">
        <v>2866</v>
      </c>
      <c r="E34" s="55" t="s">
        <v>2732</v>
      </c>
      <c r="G34" s="55" t="s">
        <v>2724</v>
      </c>
      <c r="H34" s="55" t="s">
        <v>2724</v>
      </c>
      <c r="I34" s="55" t="s">
        <v>2726</v>
      </c>
      <c r="J34" s="55" t="s">
        <v>2726</v>
      </c>
      <c r="K34" s="55" t="s">
        <v>2786</v>
      </c>
      <c r="L34" s="55" t="s">
        <v>2867</v>
      </c>
      <c r="O34" s="55" t="s">
        <v>2868</v>
      </c>
      <c r="P34" s="55" t="s">
        <v>2869</v>
      </c>
      <c r="Q34" s="55" t="s">
        <v>2725</v>
      </c>
      <c r="R34" s="55" t="s">
        <v>2725</v>
      </c>
      <c r="S34" s="55" t="s">
        <v>2725</v>
      </c>
      <c r="T34" s="55" t="s">
        <v>2725</v>
      </c>
      <c r="U34" s="55" t="s">
        <v>2725</v>
      </c>
    </row>
    <row r="35">
      <c r="A35" s="113" t="s">
        <v>1464</v>
      </c>
      <c r="C35" s="55" t="s">
        <v>2870</v>
      </c>
      <c r="D35" s="55" t="s">
        <v>2732</v>
      </c>
      <c r="E35" s="55" t="s">
        <v>2732</v>
      </c>
      <c r="G35" s="55" t="s">
        <v>2724</v>
      </c>
      <c r="H35" s="55" t="s">
        <v>2724</v>
      </c>
      <c r="I35" s="55" t="s">
        <v>2725</v>
      </c>
      <c r="J35" s="55" t="s">
        <v>2726</v>
      </c>
      <c r="K35" s="55" t="s">
        <v>2724</v>
      </c>
      <c r="L35" s="55" t="s">
        <v>2871</v>
      </c>
      <c r="O35" s="55" t="s">
        <v>2872</v>
      </c>
      <c r="P35" s="55" t="s">
        <v>2873</v>
      </c>
      <c r="Q35" s="55" t="s">
        <v>2725</v>
      </c>
      <c r="R35" s="55" t="s">
        <v>2725</v>
      </c>
      <c r="S35" s="55" t="s">
        <v>2725</v>
      </c>
      <c r="T35" s="55" t="s">
        <v>2725</v>
      </c>
      <c r="U35" s="55" t="s">
        <v>2725</v>
      </c>
    </row>
    <row r="36">
      <c r="A36" s="113" t="s">
        <v>1467</v>
      </c>
      <c r="C36" s="55" t="s">
        <v>2874</v>
      </c>
      <c r="D36" s="55" t="s">
        <v>2772</v>
      </c>
      <c r="E36" s="55" t="s">
        <v>2785</v>
      </c>
      <c r="G36" s="55" t="s">
        <v>2724</v>
      </c>
      <c r="H36" s="55" t="s">
        <v>2732</v>
      </c>
      <c r="I36" s="55" t="s">
        <v>2725</v>
      </c>
      <c r="J36" s="55" t="s">
        <v>2726</v>
      </c>
      <c r="K36" s="55" t="s">
        <v>2786</v>
      </c>
      <c r="L36" s="55" t="s">
        <v>2875</v>
      </c>
      <c r="O36" s="55" t="s">
        <v>2876</v>
      </c>
      <c r="P36" s="55" t="s">
        <v>2877</v>
      </c>
      <c r="Q36" s="55" t="s">
        <v>2725</v>
      </c>
      <c r="R36" s="55" t="s">
        <v>2725</v>
      </c>
      <c r="S36" s="55" t="s">
        <v>2725</v>
      </c>
      <c r="T36" s="55" t="s">
        <v>2725</v>
      </c>
      <c r="U36" s="55" t="s">
        <v>2726</v>
      </c>
    </row>
    <row r="37">
      <c r="A37" s="113" t="s">
        <v>1470</v>
      </c>
      <c r="C37" s="55" t="s">
        <v>2878</v>
      </c>
      <c r="D37" s="55" t="s">
        <v>2879</v>
      </c>
      <c r="E37" s="55" t="s">
        <v>2732</v>
      </c>
      <c r="G37" s="55" t="s">
        <v>2724</v>
      </c>
      <c r="H37" s="55" t="s">
        <v>2724</v>
      </c>
      <c r="I37" s="55" t="s">
        <v>2725</v>
      </c>
      <c r="J37" s="55" t="s">
        <v>2726</v>
      </c>
      <c r="K37" s="55" t="s">
        <v>2724</v>
      </c>
      <c r="L37" s="55" t="s">
        <v>2880</v>
      </c>
      <c r="O37" s="55" t="s">
        <v>2881</v>
      </c>
      <c r="P37" s="55" t="s">
        <v>2732</v>
      </c>
      <c r="Q37" s="55" t="s">
        <v>2725</v>
      </c>
      <c r="R37" s="55" t="s">
        <v>2725</v>
      </c>
      <c r="S37" s="55" t="s">
        <v>2725</v>
      </c>
      <c r="T37" s="55" t="s">
        <v>2725</v>
      </c>
      <c r="U37" s="55" t="s">
        <v>2725</v>
      </c>
    </row>
    <row r="38">
      <c r="A38" s="114" t="s">
        <v>1473</v>
      </c>
      <c r="C38" s="55" t="s">
        <v>2882</v>
      </c>
      <c r="D38" s="55" t="s">
        <v>2732</v>
      </c>
      <c r="E38" s="55" t="s">
        <v>2732</v>
      </c>
      <c r="G38" s="55" t="s">
        <v>2724</v>
      </c>
      <c r="H38" s="55" t="s">
        <v>2732</v>
      </c>
      <c r="I38" s="55" t="s">
        <v>2725</v>
      </c>
      <c r="J38" s="55" t="s">
        <v>2725</v>
      </c>
      <c r="K38" s="55" t="s">
        <v>2724</v>
      </c>
      <c r="L38" s="55" t="s">
        <v>2883</v>
      </c>
      <c r="O38" s="55" t="s">
        <v>2884</v>
      </c>
      <c r="P38" s="55" t="s">
        <v>2885</v>
      </c>
      <c r="Q38" s="55" t="s">
        <v>2725</v>
      </c>
      <c r="R38" s="55" t="s">
        <v>2725</v>
      </c>
      <c r="S38" s="55" t="s">
        <v>2725</v>
      </c>
      <c r="T38" s="55" t="s">
        <v>2725</v>
      </c>
      <c r="U38" s="55" t="s">
        <v>2725</v>
      </c>
    </row>
    <row r="39">
      <c r="A39" s="113" t="s">
        <v>1476</v>
      </c>
      <c r="C39" s="55" t="s">
        <v>2886</v>
      </c>
      <c r="D39" s="55" t="s">
        <v>2887</v>
      </c>
      <c r="E39" s="55" t="s">
        <v>2732</v>
      </c>
      <c r="G39" s="55" t="s">
        <v>2724</v>
      </c>
      <c r="H39" s="55" t="s">
        <v>2724</v>
      </c>
      <c r="I39" s="55" t="s">
        <v>2725</v>
      </c>
      <c r="J39" s="55" t="s">
        <v>2725</v>
      </c>
      <c r="K39" s="55" t="s">
        <v>2724</v>
      </c>
      <c r="L39" s="55" t="s">
        <v>2888</v>
      </c>
      <c r="O39" s="55" t="s">
        <v>2889</v>
      </c>
      <c r="P39" s="55" t="s">
        <v>2890</v>
      </c>
      <c r="Q39" s="55" t="s">
        <v>2725</v>
      </c>
      <c r="R39" s="55" t="s">
        <v>2725</v>
      </c>
      <c r="S39" s="55" t="s">
        <v>2725</v>
      </c>
      <c r="T39" s="55" t="s">
        <v>2725</v>
      </c>
      <c r="U39" s="55" t="s">
        <v>2725</v>
      </c>
    </row>
    <row r="40">
      <c r="A40" s="115" t="s">
        <v>1488</v>
      </c>
      <c r="C40" s="55" t="s">
        <v>2891</v>
      </c>
      <c r="D40" s="55" t="s">
        <v>2892</v>
      </c>
      <c r="E40" s="55" t="s">
        <v>2732</v>
      </c>
      <c r="G40" s="55" t="s">
        <v>2724</v>
      </c>
      <c r="H40" s="55" t="s">
        <v>2724</v>
      </c>
      <c r="I40" s="55" t="s">
        <v>2726</v>
      </c>
      <c r="J40" s="55" t="s">
        <v>2726</v>
      </c>
      <c r="K40" s="55" t="s">
        <v>2786</v>
      </c>
      <c r="L40" s="55" t="s">
        <v>2893</v>
      </c>
      <c r="O40" s="55" t="s">
        <v>2894</v>
      </c>
      <c r="P40" s="55" t="s">
        <v>2895</v>
      </c>
      <c r="Q40" s="55" t="s">
        <v>2726</v>
      </c>
      <c r="R40" s="55" t="s">
        <v>2725</v>
      </c>
      <c r="S40" s="55" t="s">
        <v>2725</v>
      </c>
      <c r="T40" s="55" t="s">
        <v>2726</v>
      </c>
      <c r="U40" s="55" t="s">
        <v>2726</v>
      </c>
    </row>
    <row r="41">
      <c r="A41" s="115" t="s">
        <v>1491</v>
      </c>
      <c r="C41" s="55" t="s">
        <v>2896</v>
      </c>
      <c r="D41" s="55" t="s">
        <v>2897</v>
      </c>
      <c r="E41" s="55" t="s">
        <v>2732</v>
      </c>
      <c r="G41" s="55" t="s">
        <v>2724</v>
      </c>
      <c r="H41" s="55" t="s">
        <v>2724</v>
      </c>
      <c r="I41" s="55" t="s">
        <v>2726</v>
      </c>
      <c r="J41" s="55" t="s">
        <v>2726</v>
      </c>
      <c r="K41" s="55" t="s">
        <v>2724</v>
      </c>
      <c r="L41" s="55" t="s">
        <v>2898</v>
      </c>
      <c r="O41" s="55" t="s">
        <v>2899</v>
      </c>
      <c r="P41" s="55" t="s">
        <v>2900</v>
      </c>
      <c r="Q41" s="55" t="s">
        <v>2725</v>
      </c>
      <c r="R41" s="55" t="s">
        <v>2725</v>
      </c>
      <c r="S41" s="55" t="s">
        <v>2725</v>
      </c>
      <c r="T41" s="55" t="s">
        <v>2725</v>
      </c>
      <c r="U41" s="55" t="s">
        <v>2725</v>
      </c>
    </row>
    <row r="42">
      <c r="A42" s="115" t="s">
        <v>1492</v>
      </c>
      <c r="C42" s="55" t="s">
        <v>2901</v>
      </c>
      <c r="D42" s="55" t="s">
        <v>2902</v>
      </c>
      <c r="E42" s="55" t="s">
        <v>2903</v>
      </c>
      <c r="G42" s="55" t="s">
        <v>2724</v>
      </c>
      <c r="H42" s="55" t="s">
        <v>2724</v>
      </c>
      <c r="I42" s="55" t="s">
        <v>2726</v>
      </c>
      <c r="J42" s="55" t="s">
        <v>2726</v>
      </c>
      <c r="K42" s="55" t="s">
        <v>2724</v>
      </c>
      <c r="L42" s="55" t="s">
        <v>2904</v>
      </c>
      <c r="O42" s="55" t="s">
        <v>2905</v>
      </c>
      <c r="P42" s="55" t="s">
        <v>2906</v>
      </c>
      <c r="Q42" s="55" t="s">
        <v>2726</v>
      </c>
      <c r="R42" s="55" t="s">
        <v>2726</v>
      </c>
      <c r="S42" s="55" t="s">
        <v>2725</v>
      </c>
      <c r="T42" s="55" t="s">
        <v>2726</v>
      </c>
      <c r="U42" s="55" t="s">
        <v>2726</v>
      </c>
    </row>
    <row r="43">
      <c r="A43" s="115" t="s">
        <v>1498</v>
      </c>
      <c r="C43" s="55" t="s">
        <v>2907</v>
      </c>
      <c r="D43" s="55" t="s">
        <v>2908</v>
      </c>
      <c r="E43" s="55" t="s">
        <v>2732</v>
      </c>
      <c r="G43" s="55" t="s">
        <v>2724</v>
      </c>
      <c r="H43" s="55" t="s">
        <v>2724</v>
      </c>
      <c r="I43" s="55" t="s">
        <v>2725</v>
      </c>
      <c r="J43" s="55" t="s">
        <v>2726</v>
      </c>
      <c r="K43" s="55" t="s">
        <v>2724</v>
      </c>
      <c r="L43" s="55" t="s">
        <v>2909</v>
      </c>
      <c r="O43" s="55" t="s">
        <v>2910</v>
      </c>
      <c r="P43" s="55" t="s">
        <v>2911</v>
      </c>
      <c r="Q43" s="55" t="s">
        <v>2726</v>
      </c>
      <c r="R43" s="55" t="s">
        <v>2725</v>
      </c>
      <c r="S43" s="55" t="s">
        <v>2725</v>
      </c>
      <c r="T43" s="55" t="s">
        <v>2726</v>
      </c>
      <c r="U43" s="55" t="s">
        <v>2726</v>
      </c>
    </row>
    <row r="44">
      <c r="A44" s="115" t="s">
        <v>1501</v>
      </c>
      <c r="C44" s="55" t="s">
        <v>2912</v>
      </c>
      <c r="D44" s="55" t="s">
        <v>2830</v>
      </c>
      <c r="E44" s="55" t="s">
        <v>2913</v>
      </c>
      <c r="G44" s="55" t="s">
        <v>2724</v>
      </c>
      <c r="H44" s="55" t="s">
        <v>2914</v>
      </c>
      <c r="I44" s="55" t="s">
        <v>2726</v>
      </c>
      <c r="J44" s="55" t="s">
        <v>2726</v>
      </c>
      <c r="K44" s="55" t="s">
        <v>2786</v>
      </c>
      <c r="L44" s="55" t="s">
        <v>2915</v>
      </c>
      <c r="O44" s="55" t="s">
        <v>2916</v>
      </c>
      <c r="P44" s="55" t="s">
        <v>2917</v>
      </c>
      <c r="Q44" s="55" t="s">
        <v>2726</v>
      </c>
      <c r="R44" s="55" t="s">
        <v>2726</v>
      </c>
      <c r="S44" s="55" t="s">
        <v>2726</v>
      </c>
      <c r="T44" s="55" t="s">
        <v>2726</v>
      </c>
      <c r="U44" s="55" t="s">
        <v>2726</v>
      </c>
    </row>
    <row r="45">
      <c r="A45" s="115" t="s">
        <v>1513</v>
      </c>
      <c r="C45" s="55" t="s">
        <v>2918</v>
      </c>
      <c r="D45" s="55" t="s">
        <v>2919</v>
      </c>
      <c r="E45" s="55" t="s">
        <v>2732</v>
      </c>
      <c r="G45" s="55" t="s">
        <v>2724</v>
      </c>
      <c r="H45" s="55" t="s">
        <v>2724</v>
      </c>
      <c r="I45" s="55" t="s">
        <v>2726</v>
      </c>
      <c r="J45" s="55" t="s">
        <v>2726</v>
      </c>
      <c r="K45" s="55" t="s">
        <v>2724</v>
      </c>
      <c r="L45" s="55" t="s">
        <v>2920</v>
      </c>
      <c r="O45" s="55" t="s">
        <v>2921</v>
      </c>
      <c r="P45" s="55" t="s">
        <v>2922</v>
      </c>
      <c r="Q45" s="55" t="s">
        <v>2725</v>
      </c>
      <c r="R45" s="55" t="s">
        <v>2725</v>
      </c>
      <c r="S45" s="55" t="s">
        <v>2725</v>
      </c>
      <c r="T45" s="55" t="s">
        <v>2725</v>
      </c>
      <c r="U45" s="55" t="s">
        <v>2725</v>
      </c>
    </row>
    <row r="46">
      <c r="A46" s="115" t="s">
        <v>1521</v>
      </c>
      <c r="C46" s="55" t="s">
        <v>2923</v>
      </c>
      <c r="D46" s="55" t="s">
        <v>2924</v>
      </c>
      <c r="E46" s="55" t="s">
        <v>2732</v>
      </c>
      <c r="G46" s="55" t="s">
        <v>2724</v>
      </c>
      <c r="H46" s="55" t="s">
        <v>2724</v>
      </c>
      <c r="I46" s="55" t="s">
        <v>2726</v>
      </c>
      <c r="J46" s="55" t="s">
        <v>2726</v>
      </c>
      <c r="K46" s="55" t="s">
        <v>2724</v>
      </c>
      <c r="L46" s="55" t="s">
        <v>2925</v>
      </c>
      <c r="O46" s="55" t="s">
        <v>2926</v>
      </c>
      <c r="P46" s="55" t="s">
        <v>2927</v>
      </c>
      <c r="Q46" s="55" t="s">
        <v>2726</v>
      </c>
      <c r="R46" s="55" t="s">
        <v>2725</v>
      </c>
      <c r="S46" s="55" t="s">
        <v>2725</v>
      </c>
      <c r="T46" s="55" t="s">
        <v>2726</v>
      </c>
      <c r="U46" s="55" t="s">
        <v>2725</v>
      </c>
    </row>
    <row r="47">
      <c r="A47" s="116" t="s">
        <v>1525</v>
      </c>
      <c r="C47" s="55" t="s">
        <v>2928</v>
      </c>
      <c r="D47" s="55" t="s">
        <v>2732</v>
      </c>
      <c r="E47" s="55" t="s">
        <v>2732</v>
      </c>
      <c r="G47" s="55" t="s">
        <v>2786</v>
      </c>
      <c r="H47" s="55" t="s">
        <v>2732</v>
      </c>
      <c r="I47" s="55" t="s">
        <v>2725</v>
      </c>
      <c r="J47" s="55" t="s">
        <v>2726</v>
      </c>
      <c r="K47" s="55" t="s">
        <v>2786</v>
      </c>
      <c r="L47" s="55" t="s">
        <v>2929</v>
      </c>
      <c r="O47" s="55" t="s">
        <v>2930</v>
      </c>
      <c r="P47" s="55" t="s">
        <v>2931</v>
      </c>
      <c r="Q47" s="55" t="s">
        <v>2725</v>
      </c>
      <c r="R47" s="55" t="s">
        <v>2725</v>
      </c>
      <c r="S47" s="55" t="s">
        <v>2725</v>
      </c>
      <c r="T47" s="55" t="s">
        <v>2725</v>
      </c>
      <c r="U47" s="55" t="s">
        <v>2725</v>
      </c>
    </row>
    <row r="48">
      <c r="A48" s="115" t="s">
        <v>1534</v>
      </c>
      <c r="C48" s="55" t="s">
        <v>2732</v>
      </c>
      <c r="D48" s="55" t="s">
        <v>2732</v>
      </c>
      <c r="E48" s="55" t="s">
        <v>2732</v>
      </c>
      <c r="G48" s="55" t="s">
        <v>2732</v>
      </c>
      <c r="H48" s="55" t="s">
        <v>2732</v>
      </c>
      <c r="I48" s="55" t="s">
        <v>2725</v>
      </c>
      <c r="J48" s="55" t="s">
        <v>2725</v>
      </c>
      <c r="K48" s="55" t="s">
        <v>2932</v>
      </c>
      <c r="L48" s="55" t="s">
        <v>2933</v>
      </c>
      <c r="O48" s="55" t="s">
        <v>2934</v>
      </c>
      <c r="P48" s="55" t="s">
        <v>2935</v>
      </c>
      <c r="Q48" s="55" t="s">
        <v>2725</v>
      </c>
      <c r="R48" s="55" t="s">
        <v>2725</v>
      </c>
      <c r="S48" s="55" t="s">
        <v>2725</v>
      </c>
      <c r="T48" s="55" t="s">
        <v>2725</v>
      </c>
      <c r="U48" s="55" t="s">
        <v>2725</v>
      </c>
    </row>
    <row r="49">
      <c r="A49" s="115" t="s">
        <v>1540</v>
      </c>
      <c r="C49" s="55" t="s">
        <v>2936</v>
      </c>
      <c r="D49" s="55" t="s">
        <v>2937</v>
      </c>
      <c r="E49" s="55" t="s">
        <v>2938</v>
      </c>
      <c r="G49" s="55" t="s">
        <v>2724</v>
      </c>
      <c r="H49" s="55" t="s">
        <v>2724</v>
      </c>
      <c r="I49" s="55" t="s">
        <v>2725</v>
      </c>
      <c r="J49" s="55" t="s">
        <v>2726</v>
      </c>
      <c r="K49" s="55" t="s">
        <v>2724</v>
      </c>
      <c r="L49" s="55" t="s">
        <v>2939</v>
      </c>
      <c r="O49" s="55" t="s">
        <v>2939</v>
      </c>
      <c r="P49" s="55" t="s">
        <v>2940</v>
      </c>
      <c r="Q49" s="55" t="s">
        <v>2725</v>
      </c>
      <c r="R49" s="55" t="s">
        <v>2725</v>
      </c>
      <c r="S49" s="55" t="s">
        <v>2725</v>
      </c>
      <c r="T49" s="55" t="s">
        <v>2725</v>
      </c>
      <c r="U49" s="55" t="s">
        <v>2725</v>
      </c>
    </row>
    <row r="50">
      <c r="A50" s="115" t="s">
        <v>1543</v>
      </c>
      <c r="C50" s="55" t="s">
        <v>2941</v>
      </c>
      <c r="D50" s="55" t="s">
        <v>2732</v>
      </c>
      <c r="E50" s="55" t="s">
        <v>2732</v>
      </c>
      <c r="G50" s="55" t="s">
        <v>2724</v>
      </c>
      <c r="H50" s="55" t="s">
        <v>2732</v>
      </c>
      <c r="I50" s="55" t="s">
        <v>2725</v>
      </c>
      <c r="J50" s="55" t="s">
        <v>2725</v>
      </c>
      <c r="K50" s="55" t="s">
        <v>2724</v>
      </c>
      <c r="L50" s="55" t="s">
        <v>2942</v>
      </c>
      <c r="O50" s="55" t="s">
        <v>2732</v>
      </c>
      <c r="P50" s="55" t="s">
        <v>2732</v>
      </c>
      <c r="Q50" s="55" t="s">
        <v>2725</v>
      </c>
      <c r="R50" s="55" t="s">
        <v>2725</v>
      </c>
      <c r="S50" s="55" t="s">
        <v>2725</v>
      </c>
      <c r="T50" s="55" t="s">
        <v>2725</v>
      </c>
      <c r="U50" s="55" t="s">
        <v>2725</v>
      </c>
    </row>
    <row r="51">
      <c r="A51" s="117" t="s">
        <v>1556</v>
      </c>
      <c r="C51" s="55" t="s">
        <v>2943</v>
      </c>
      <c r="D51" s="55" t="s">
        <v>2944</v>
      </c>
      <c r="E51" s="55" t="s">
        <v>2732</v>
      </c>
      <c r="G51" s="55" t="s">
        <v>2724</v>
      </c>
      <c r="H51" s="55" t="s">
        <v>2724</v>
      </c>
      <c r="I51" s="55" t="s">
        <v>2845</v>
      </c>
      <c r="J51" s="55" t="s">
        <v>2726</v>
      </c>
      <c r="K51" s="55" t="s">
        <v>2724</v>
      </c>
      <c r="L51" s="55" t="s">
        <v>2945</v>
      </c>
      <c r="O51" s="55" t="s">
        <v>2732</v>
      </c>
      <c r="P51" s="55" t="s">
        <v>2732</v>
      </c>
      <c r="Q51" s="55" t="s">
        <v>2726</v>
      </c>
      <c r="R51" s="55" t="s">
        <v>2725</v>
      </c>
      <c r="S51" s="55" t="s">
        <v>2725</v>
      </c>
      <c r="T51" s="55" t="s">
        <v>2725</v>
      </c>
      <c r="U51" s="55" t="s">
        <v>2725</v>
      </c>
    </row>
    <row r="52">
      <c r="A52" s="117" t="s">
        <v>1562</v>
      </c>
      <c r="C52" s="55" t="s">
        <v>2946</v>
      </c>
      <c r="D52" s="55" t="s">
        <v>2947</v>
      </c>
      <c r="E52" s="55" t="s">
        <v>2732</v>
      </c>
      <c r="G52" s="55" t="s">
        <v>2914</v>
      </c>
      <c r="H52" s="55" t="s">
        <v>2914</v>
      </c>
      <c r="I52" s="55" t="s">
        <v>2725</v>
      </c>
      <c r="J52" s="55" t="s">
        <v>2726</v>
      </c>
      <c r="K52" s="55" t="s">
        <v>2786</v>
      </c>
      <c r="L52" s="55" t="s">
        <v>2948</v>
      </c>
      <c r="O52" s="55" t="s">
        <v>2949</v>
      </c>
      <c r="P52" s="55" t="s">
        <v>2950</v>
      </c>
      <c r="Q52" s="55" t="s">
        <v>2726</v>
      </c>
      <c r="R52" s="55" t="s">
        <v>2725</v>
      </c>
      <c r="S52" s="55" t="s">
        <v>2725</v>
      </c>
      <c r="T52" s="55" t="s">
        <v>2725</v>
      </c>
      <c r="U52" s="55" t="s">
        <v>2725</v>
      </c>
    </row>
    <row r="53">
      <c r="A53" s="117" t="s">
        <v>1573</v>
      </c>
      <c r="C53" s="55" t="s">
        <v>2951</v>
      </c>
      <c r="D53" s="55" t="s">
        <v>2952</v>
      </c>
      <c r="E53" s="55" t="s">
        <v>2732</v>
      </c>
      <c r="G53" s="55" t="s">
        <v>2724</v>
      </c>
      <c r="H53" s="55" t="s">
        <v>2724</v>
      </c>
      <c r="I53" s="55" t="s">
        <v>2725</v>
      </c>
      <c r="J53" s="55" t="s">
        <v>2726</v>
      </c>
      <c r="K53" s="55" t="s">
        <v>2724</v>
      </c>
      <c r="L53" s="55" t="s">
        <v>2953</v>
      </c>
      <c r="O53" s="55" t="s">
        <v>2954</v>
      </c>
      <c r="P53" s="55" t="s">
        <v>2955</v>
      </c>
      <c r="Q53" s="55" t="s">
        <v>2726</v>
      </c>
      <c r="R53" s="55" t="s">
        <v>2725</v>
      </c>
      <c r="S53" s="55" t="s">
        <v>2725</v>
      </c>
      <c r="T53" s="55" t="s">
        <v>2725</v>
      </c>
      <c r="U53" s="55" t="s">
        <v>2725</v>
      </c>
    </row>
    <row r="54">
      <c r="A54" s="117" t="s">
        <v>1577</v>
      </c>
      <c r="C54" s="55" t="s">
        <v>2956</v>
      </c>
      <c r="D54" s="55" t="s">
        <v>2957</v>
      </c>
      <c r="E54" s="55" t="s">
        <v>2732</v>
      </c>
      <c r="G54" s="55" t="s">
        <v>2724</v>
      </c>
      <c r="H54" s="55" t="s">
        <v>2724</v>
      </c>
      <c r="I54" s="55" t="s">
        <v>2725</v>
      </c>
      <c r="J54" s="55" t="s">
        <v>2726</v>
      </c>
      <c r="K54" s="55" t="s">
        <v>2724</v>
      </c>
      <c r="L54" s="55" t="s">
        <v>2958</v>
      </c>
      <c r="O54" s="55" t="s">
        <v>2959</v>
      </c>
      <c r="P54" s="55" t="s">
        <v>2960</v>
      </c>
      <c r="Q54" s="55" t="s">
        <v>2961</v>
      </c>
      <c r="R54" s="55" t="s">
        <v>2725</v>
      </c>
      <c r="S54" s="55" t="s">
        <v>2725</v>
      </c>
      <c r="T54" s="55" t="s">
        <v>2725</v>
      </c>
      <c r="U54" s="55" t="s">
        <v>2725</v>
      </c>
    </row>
    <row r="55">
      <c r="A55" s="117" t="s">
        <v>1597</v>
      </c>
      <c r="C55" s="55" t="s">
        <v>2962</v>
      </c>
      <c r="D55" s="55" t="s">
        <v>2963</v>
      </c>
      <c r="E55" s="55" t="s">
        <v>2964</v>
      </c>
      <c r="G55" s="55" t="s">
        <v>2724</v>
      </c>
      <c r="H55" s="55" t="s">
        <v>2724</v>
      </c>
      <c r="I55" s="55" t="s">
        <v>2725</v>
      </c>
      <c r="J55" s="55" t="s">
        <v>2726</v>
      </c>
      <c r="K55" s="55" t="s">
        <v>2724</v>
      </c>
      <c r="L55" s="55" t="s">
        <v>2965</v>
      </c>
      <c r="O55" s="55" t="s">
        <v>2966</v>
      </c>
      <c r="P55" s="55" t="s">
        <v>2967</v>
      </c>
      <c r="Q55" s="55" t="s">
        <v>2968</v>
      </c>
      <c r="R55" s="55" t="s">
        <v>2725</v>
      </c>
      <c r="S55" s="55" t="s">
        <v>2969</v>
      </c>
      <c r="T55" s="55" t="s">
        <v>2725</v>
      </c>
      <c r="U55" s="55" t="s">
        <v>2725</v>
      </c>
    </row>
    <row r="56">
      <c r="A56" s="117" t="s">
        <v>1605</v>
      </c>
      <c r="C56" s="55" t="s">
        <v>2970</v>
      </c>
      <c r="D56" s="55" t="s">
        <v>2971</v>
      </c>
      <c r="E56" s="55" t="s">
        <v>2972</v>
      </c>
      <c r="G56" s="55" t="s">
        <v>2972</v>
      </c>
      <c r="H56" s="55" t="s">
        <v>2972</v>
      </c>
      <c r="I56" s="55" t="s">
        <v>2725</v>
      </c>
      <c r="J56" s="55" t="s">
        <v>2725</v>
      </c>
      <c r="K56" s="55" t="s">
        <v>2973</v>
      </c>
      <c r="L56" s="55" t="s">
        <v>2974</v>
      </c>
      <c r="P56" s="55" t="s">
        <v>2975</v>
      </c>
      <c r="Q56" s="55" t="s">
        <v>2725</v>
      </c>
      <c r="R56" s="55" t="s">
        <v>2725</v>
      </c>
      <c r="S56" s="55" t="s">
        <v>2725</v>
      </c>
      <c r="T56" s="55" t="s">
        <v>2725</v>
      </c>
      <c r="U56" s="55" t="s">
        <v>2725</v>
      </c>
    </row>
    <row r="57">
      <c r="A57" s="117" t="s">
        <v>1612</v>
      </c>
      <c r="C57" s="55" t="s">
        <v>2976</v>
      </c>
      <c r="E57" s="55" t="s">
        <v>2972</v>
      </c>
      <c r="G57" s="55" t="s">
        <v>2724</v>
      </c>
      <c r="H57" s="55" t="s">
        <v>2724</v>
      </c>
      <c r="I57" s="55" t="s">
        <v>2725</v>
      </c>
      <c r="J57" s="55" t="s">
        <v>2726</v>
      </c>
      <c r="K57" s="55" t="s">
        <v>2724</v>
      </c>
      <c r="L57" s="55" t="s">
        <v>2977</v>
      </c>
      <c r="O57" s="55" t="s">
        <v>2978</v>
      </c>
      <c r="P57" s="55" t="s">
        <v>2979</v>
      </c>
      <c r="Q57" s="55" t="s">
        <v>2725</v>
      </c>
      <c r="R57" s="55" t="s">
        <v>2725</v>
      </c>
      <c r="S57" s="55" t="s">
        <v>2725</v>
      </c>
      <c r="T57" s="55" t="s">
        <v>2725</v>
      </c>
      <c r="U57" s="55" t="s">
        <v>2725</v>
      </c>
    </row>
    <row r="58">
      <c r="A58" s="117" t="s">
        <v>1616</v>
      </c>
      <c r="C58" s="55" t="s">
        <v>2980</v>
      </c>
      <c r="D58" s="55" t="s">
        <v>2981</v>
      </c>
      <c r="E58" s="55" t="s">
        <v>2972</v>
      </c>
      <c r="G58" s="55" t="s">
        <v>2724</v>
      </c>
      <c r="H58" s="55" t="s">
        <v>2724</v>
      </c>
      <c r="I58" s="55" t="s">
        <v>2725</v>
      </c>
      <c r="J58" s="55" t="s">
        <v>2726</v>
      </c>
      <c r="K58" s="55" t="s">
        <v>2724</v>
      </c>
      <c r="L58" s="55" t="s">
        <v>2982</v>
      </c>
      <c r="O58" s="55" t="s">
        <v>2983</v>
      </c>
      <c r="P58" s="55" t="s">
        <v>2984</v>
      </c>
      <c r="Q58" s="55" t="s">
        <v>2725</v>
      </c>
      <c r="R58" s="55" t="s">
        <v>2725</v>
      </c>
      <c r="S58" s="55" t="s">
        <v>2725</v>
      </c>
      <c r="T58" s="55" t="s">
        <v>2725</v>
      </c>
      <c r="U58" s="55" t="s">
        <v>2725</v>
      </c>
    </row>
    <row r="59">
      <c r="A59" s="117" t="s">
        <v>1625</v>
      </c>
      <c r="C59" s="55" t="s">
        <v>2985</v>
      </c>
      <c r="D59" s="55" t="s">
        <v>2985</v>
      </c>
      <c r="E59" s="55" t="s">
        <v>2972</v>
      </c>
      <c r="G59" s="55" t="s">
        <v>2724</v>
      </c>
      <c r="H59" s="55" t="s">
        <v>2724</v>
      </c>
      <c r="I59" s="55" t="s">
        <v>2725</v>
      </c>
      <c r="J59" s="55" t="s">
        <v>2726</v>
      </c>
      <c r="K59" s="55" t="s">
        <v>2724</v>
      </c>
      <c r="L59" s="55" t="s">
        <v>2986</v>
      </c>
      <c r="O59" s="55" t="s">
        <v>2987</v>
      </c>
      <c r="P59" s="55" t="s">
        <v>2988</v>
      </c>
      <c r="Q59" s="55" t="s">
        <v>2725</v>
      </c>
      <c r="R59" s="55" t="s">
        <v>2725</v>
      </c>
      <c r="S59" s="55" t="s">
        <v>2725</v>
      </c>
      <c r="T59" s="55" t="s">
        <v>2725</v>
      </c>
      <c r="U59" s="55" t="s">
        <v>2726</v>
      </c>
    </row>
    <row r="60">
      <c r="A60" s="117" t="s">
        <v>1634</v>
      </c>
      <c r="C60" s="55" t="s">
        <v>2989</v>
      </c>
      <c r="D60" s="55" t="s">
        <v>2990</v>
      </c>
      <c r="E60" s="55" t="s">
        <v>2972</v>
      </c>
      <c r="G60" s="55" t="s">
        <v>2724</v>
      </c>
      <c r="H60" s="55" t="s">
        <v>2724</v>
      </c>
      <c r="I60" s="55" t="s">
        <v>2725</v>
      </c>
      <c r="J60" s="55" t="s">
        <v>2726</v>
      </c>
      <c r="K60" s="55" t="s">
        <v>2724</v>
      </c>
      <c r="L60" s="55" t="s">
        <v>2991</v>
      </c>
      <c r="O60" s="55" t="s">
        <v>2992</v>
      </c>
      <c r="P60" s="55" t="s">
        <v>2993</v>
      </c>
      <c r="Q60" s="55" t="s">
        <v>2726</v>
      </c>
      <c r="R60" s="55" t="s">
        <v>2725</v>
      </c>
      <c r="S60" s="55" t="s">
        <v>2725</v>
      </c>
      <c r="T60" s="55" t="s">
        <v>2726</v>
      </c>
      <c r="U60" s="55" t="s">
        <v>2726</v>
      </c>
    </row>
    <row r="61">
      <c r="A61" s="117" t="s">
        <v>1661</v>
      </c>
      <c r="C61" s="55" t="s">
        <v>2994</v>
      </c>
      <c r="D61" s="55" t="s">
        <v>2995</v>
      </c>
      <c r="E61" s="55" t="s">
        <v>2972</v>
      </c>
      <c r="G61" s="55" t="s">
        <v>2996</v>
      </c>
      <c r="H61" s="55" t="s">
        <v>2997</v>
      </c>
      <c r="I61" s="55" t="s">
        <v>2725</v>
      </c>
      <c r="J61" s="55" t="s">
        <v>2726</v>
      </c>
      <c r="K61" s="55" t="s">
        <v>2724</v>
      </c>
      <c r="L61" s="55" t="s">
        <v>2998</v>
      </c>
      <c r="O61" s="55" t="s">
        <v>2999</v>
      </c>
      <c r="P61" s="55" t="s">
        <v>3000</v>
      </c>
      <c r="Q61" s="55" t="s">
        <v>2845</v>
      </c>
      <c r="R61" s="55" t="s">
        <v>2845</v>
      </c>
      <c r="S61" s="55" t="s">
        <v>2845</v>
      </c>
      <c r="T61" s="55" t="s">
        <v>2845</v>
      </c>
      <c r="U61" s="55" t="s">
        <v>2845</v>
      </c>
    </row>
    <row r="62">
      <c r="A62" s="118" t="s">
        <v>1670</v>
      </c>
      <c r="C62" s="55" t="s">
        <v>3001</v>
      </c>
      <c r="D62" s="55" t="s">
        <v>2732</v>
      </c>
      <c r="E62" s="55" t="s">
        <v>2732</v>
      </c>
      <c r="G62" s="55" t="s">
        <v>2724</v>
      </c>
      <c r="H62" s="55" t="s">
        <v>2724</v>
      </c>
      <c r="I62" s="55" t="s">
        <v>2726</v>
      </c>
      <c r="J62" s="55" t="s">
        <v>2732</v>
      </c>
      <c r="K62" s="55" t="s">
        <v>2786</v>
      </c>
      <c r="L62" s="55" t="s">
        <v>3002</v>
      </c>
      <c r="O62" s="55" t="s">
        <v>3003</v>
      </c>
      <c r="Q62" s="55" t="s">
        <v>3004</v>
      </c>
      <c r="R62" s="55" t="s">
        <v>3005</v>
      </c>
      <c r="S62" s="55" t="s">
        <v>3006</v>
      </c>
      <c r="T62" s="55" t="s">
        <v>3006</v>
      </c>
      <c r="U62" s="55" t="s">
        <v>3006</v>
      </c>
    </row>
    <row r="63">
      <c r="A63" s="118" t="s">
        <v>1673</v>
      </c>
      <c r="C63" s="55" t="s">
        <v>3007</v>
      </c>
      <c r="D63" s="55" t="s">
        <v>3008</v>
      </c>
      <c r="E63" s="55" t="s">
        <v>2732</v>
      </c>
      <c r="G63" s="55" t="s">
        <v>2724</v>
      </c>
      <c r="H63" s="55" t="s">
        <v>2724</v>
      </c>
      <c r="I63" s="55" t="s">
        <v>2726</v>
      </c>
      <c r="J63" s="55" t="s">
        <v>2725</v>
      </c>
      <c r="K63" s="55" t="s">
        <v>2724</v>
      </c>
      <c r="L63" s="55" t="s">
        <v>2273</v>
      </c>
      <c r="O63" s="55" t="s">
        <v>3009</v>
      </c>
      <c r="P63" s="55" t="s">
        <v>3010</v>
      </c>
      <c r="Q63" s="55" t="s">
        <v>2725</v>
      </c>
      <c r="R63" s="55" t="s">
        <v>2725</v>
      </c>
      <c r="S63" s="55" t="s">
        <v>3006</v>
      </c>
      <c r="T63" s="55" t="s">
        <v>2725</v>
      </c>
      <c r="U63" s="55" t="s">
        <v>2725</v>
      </c>
    </row>
    <row r="64">
      <c r="A64" s="118" t="s">
        <v>1676</v>
      </c>
      <c r="C64" s="55" t="s">
        <v>3011</v>
      </c>
      <c r="D64" s="55" t="s">
        <v>3012</v>
      </c>
      <c r="E64" s="55" t="s">
        <v>3013</v>
      </c>
      <c r="G64" s="55" t="s">
        <v>2724</v>
      </c>
      <c r="H64" s="55" t="s">
        <v>2724</v>
      </c>
      <c r="I64" s="55" t="s">
        <v>2725</v>
      </c>
      <c r="J64" s="55" t="s">
        <v>2726</v>
      </c>
      <c r="K64" s="55" t="s">
        <v>2724</v>
      </c>
      <c r="L64" s="55" t="s">
        <v>3014</v>
      </c>
      <c r="O64" s="55" t="s">
        <v>3015</v>
      </c>
      <c r="P64" s="55" t="s">
        <v>3016</v>
      </c>
      <c r="Q64" s="55" t="s">
        <v>2725</v>
      </c>
      <c r="R64" s="55" t="s">
        <v>2725</v>
      </c>
      <c r="S64" s="55" t="s">
        <v>2725</v>
      </c>
      <c r="T64" s="55" t="s">
        <v>2726</v>
      </c>
      <c r="U64" s="55" t="s">
        <v>2725</v>
      </c>
    </row>
    <row r="65">
      <c r="A65" s="118" t="s">
        <v>1679</v>
      </c>
      <c r="C65" s="55" t="s">
        <v>3017</v>
      </c>
      <c r="D65" s="55" t="s">
        <v>2732</v>
      </c>
      <c r="E65" s="55" t="s">
        <v>2732</v>
      </c>
      <c r="G65" s="55" t="s">
        <v>2724</v>
      </c>
      <c r="H65" s="55" t="s">
        <v>2724</v>
      </c>
      <c r="I65" s="55" t="s">
        <v>2725</v>
      </c>
      <c r="J65" s="55" t="s">
        <v>2726</v>
      </c>
      <c r="K65" s="55" t="s">
        <v>2724</v>
      </c>
      <c r="L65" s="55" t="s">
        <v>3018</v>
      </c>
      <c r="O65" s="55" t="s">
        <v>3019</v>
      </c>
      <c r="P65" s="55" t="s">
        <v>2732</v>
      </c>
      <c r="Q65" s="55" t="s">
        <v>2725</v>
      </c>
      <c r="R65" s="55" t="s">
        <v>2725</v>
      </c>
      <c r="S65" s="55" t="s">
        <v>2725</v>
      </c>
      <c r="T65" s="55" t="s">
        <v>2725</v>
      </c>
      <c r="U65" s="55" t="s">
        <v>2725</v>
      </c>
    </row>
    <row r="66">
      <c r="A66" s="118" t="s">
        <v>1682</v>
      </c>
      <c r="C66" s="55" t="s">
        <v>3020</v>
      </c>
      <c r="D66" s="55" t="s">
        <v>2732</v>
      </c>
      <c r="E66" s="55" t="s">
        <v>2732</v>
      </c>
      <c r="G66" s="55" t="s">
        <v>2724</v>
      </c>
      <c r="H66" s="55" t="s">
        <v>2724</v>
      </c>
      <c r="I66" s="55" t="s">
        <v>2726</v>
      </c>
      <c r="J66" s="55" t="s">
        <v>2726</v>
      </c>
      <c r="K66" s="55" t="s">
        <v>2724</v>
      </c>
      <c r="L66" s="55" t="s">
        <v>3021</v>
      </c>
      <c r="O66" s="55" t="s">
        <v>3022</v>
      </c>
      <c r="P66" s="55" t="s">
        <v>2732</v>
      </c>
      <c r="Q66" s="55" t="s">
        <v>2725</v>
      </c>
      <c r="R66" s="55" t="s">
        <v>2725</v>
      </c>
      <c r="S66" s="55" t="s">
        <v>2725</v>
      </c>
      <c r="T66" s="55" t="s">
        <v>2725</v>
      </c>
      <c r="U66" s="55" t="s">
        <v>2725</v>
      </c>
    </row>
    <row r="67">
      <c r="A67" s="118" t="s">
        <v>1685</v>
      </c>
      <c r="C67" s="55" t="s">
        <v>3023</v>
      </c>
      <c r="D67" s="55" t="s">
        <v>2732</v>
      </c>
      <c r="E67" s="55" t="s">
        <v>2732</v>
      </c>
      <c r="G67" s="55" t="s">
        <v>2724</v>
      </c>
      <c r="H67" s="55" t="s">
        <v>2732</v>
      </c>
      <c r="I67" s="55" t="s">
        <v>2725</v>
      </c>
      <c r="J67" s="55" t="s">
        <v>2725</v>
      </c>
      <c r="K67" s="55" t="s">
        <v>2914</v>
      </c>
      <c r="L67" s="55" t="s">
        <v>3024</v>
      </c>
      <c r="O67" s="55" t="s">
        <v>3025</v>
      </c>
      <c r="P67" s="55" t="s">
        <v>2732</v>
      </c>
      <c r="Q67" s="55" t="s">
        <v>2725</v>
      </c>
      <c r="R67" s="55" t="s">
        <v>2725</v>
      </c>
      <c r="S67" s="55" t="s">
        <v>2725</v>
      </c>
      <c r="T67" s="55" t="s">
        <v>2725</v>
      </c>
      <c r="U67" s="55" t="s">
        <v>2725</v>
      </c>
    </row>
    <row r="68">
      <c r="A68" s="118" t="s">
        <v>1580</v>
      </c>
      <c r="C68" s="55" t="s">
        <v>3026</v>
      </c>
      <c r="D68" s="55" t="s">
        <v>3027</v>
      </c>
      <c r="E68" s="55" t="s">
        <v>2732</v>
      </c>
      <c r="G68" s="55" t="s">
        <v>2724</v>
      </c>
      <c r="H68" s="55" t="s">
        <v>2724</v>
      </c>
      <c r="I68" s="55" t="s">
        <v>2725</v>
      </c>
      <c r="J68" s="55" t="s">
        <v>2726</v>
      </c>
      <c r="K68" s="55" t="s">
        <v>2724</v>
      </c>
      <c r="L68" s="55" t="s">
        <v>3028</v>
      </c>
      <c r="O68" s="55" t="s">
        <v>3029</v>
      </c>
      <c r="P68" s="55" t="s">
        <v>3030</v>
      </c>
      <c r="Q68" s="55"/>
      <c r="R68" s="55" t="s">
        <v>2725</v>
      </c>
      <c r="S68" s="55" t="s">
        <v>2725</v>
      </c>
      <c r="T68" s="55" t="s">
        <v>2725</v>
      </c>
      <c r="U68" s="55" t="s">
        <v>2725</v>
      </c>
    </row>
    <row r="69">
      <c r="A69" s="118" t="s">
        <v>1583</v>
      </c>
      <c r="C69" s="55" t="s">
        <v>3031</v>
      </c>
      <c r="D69" s="55" t="s">
        <v>3032</v>
      </c>
      <c r="E69" s="55" t="s">
        <v>2732</v>
      </c>
      <c r="G69" s="55" t="s">
        <v>2724</v>
      </c>
      <c r="H69" s="55" t="s">
        <v>2724</v>
      </c>
      <c r="I69" s="55" t="s">
        <v>2726</v>
      </c>
      <c r="J69" s="55" t="s">
        <v>2725</v>
      </c>
      <c r="K69" s="55" t="s">
        <v>2724</v>
      </c>
      <c r="L69" s="55" t="s">
        <v>3033</v>
      </c>
      <c r="O69" s="55" t="s">
        <v>3034</v>
      </c>
      <c r="P69" s="55" t="s">
        <v>3035</v>
      </c>
      <c r="Q69" s="55"/>
      <c r="R69" s="55" t="s">
        <v>2725</v>
      </c>
      <c r="S69" s="55" t="s">
        <v>2725</v>
      </c>
      <c r="T69" s="55" t="s">
        <v>2725</v>
      </c>
      <c r="U69" s="55" t="s">
        <v>2725</v>
      </c>
    </row>
    <row r="70">
      <c r="A70" s="118" t="s">
        <v>1586</v>
      </c>
      <c r="C70" s="55" t="s">
        <v>3036</v>
      </c>
      <c r="D70" s="55" t="s">
        <v>3037</v>
      </c>
      <c r="E70" s="55" t="s">
        <v>2732</v>
      </c>
      <c r="G70" s="55" t="s">
        <v>2724</v>
      </c>
      <c r="H70" s="55" t="s">
        <v>2724</v>
      </c>
      <c r="I70" s="55" t="s">
        <v>2726</v>
      </c>
      <c r="J70" s="55" t="s">
        <v>2726</v>
      </c>
      <c r="K70" s="55" t="s">
        <v>2724</v>
      </c>
      <c r="L70" s="55" t="s">
        <v>3038</v>
      </c>
      <c r="O70" s="55" t="s">
        <v>3039</v>
      </c>
      <c r="P70" s="55" t="s">
        <v>2732</v>
      </c>
      <c r="Q70" s="55" t="s">
        <v>2725</v>
      </c>
      <c r="R70" s="55" t="s">
        <v>2725</v>
      </c>
      <c r="S70" s="55" t="s">
        <v>2725</v>
      </c>
      <c r="T70" s="55" t="s">
        <v>2725</v>
      </c>
      <c r="U70" s="55" t="s">
        <v>2725</v>
      </c>
    </row>
    <row r="71">
      <c r="A71" s="118" t="s">
        <v>1589</v>
      </c>
      <c r="C71" s="55" t="s">
        <v>3040</v>
      </c>
      <c r="D71" s="55" t="s">
        <v>3041</v>
      </c>
      <c r="E71" s="55" t="s">
        <v>2732</v>
      </c>
      <c r="G71" s="55" t="s">
        <v>2732</v>
      </c>
      <c r="H71" s="55" t="s">
        <v>2732</v>
      </c>
      <c r="I71" s="55" t="s">
        <v>2725</v>
      </c>
      <c r="J71" s="55" t="s">
        <v>2725</v>
      </c>
      <c r="K71" s="55" t="s">
        <v>2724</v>
      </c>
      <c r="L71" s="55" t="s">
        <v>3042</v>
      </c>
      <c r="O71" s="55" t="s">
        <v>3043</v>
      </c>
      <c r="P71" s="55" t="s">
        <v>3044</v>
      </c>
      <c r="Q71" s="55" t="s">
        <v>2725</v>
      </c>
      <c r="R71" s="55" t="s">
        <v>2725</v>
      </c>
      <c r="S71" s="55" t="s">
        <v>2725</v>
      </c>
      <c r="T71" s="55" t="s">
        <v>2725</v>
      </c>
      <c r="U71" s="55" t="s">
        <v>2725</v>
      </c>
    </row>
    <row r="72">
      <c r="A72" s="119" t="s">
        <v>1594</v>
      </c>
      <c r="C72" s="55" t="s">
        <v>3045</v>
      </c>
      <c r="E72" s="55" t="s">
        <v>3046</v>
      </c>
      <c r="G72" s="55" t="s">
        <v>2724</v>
      </c>
      <c r="H72" s="55" t="s">
        <v>2724</v>
      </c>
      <c r="I72" s="55" t="s">
        <v>3047</v>
      </c>
      <c r="J72" s="55" t="s">
        <v>3048</v>
      </c>
      <c r="K72" s="55" t="s">
        <v>2724</v>
      </c>
      <c r="L72" s="55" t="s">
        <v>3049</v>
      </c>
      <c r="O72" s="55" t="s">
        <v>3050</v>
      </c>
      <c r="P72" s="55" t="s">
        <v>3051</v>
      </c>
      <c r="Q72" s="55" t="s">
        <v>2726</v>
      </c>
      <c r="R72" s="55" t="s">
        <v>2726</v>
      </c>
      <c r="S72" s="55" t="s">
        <v>2725</v>
      </c>
      <c r="T72" s="55" t="s">
        <v>2726</v>
      </c>
      <c r="U72" s="55" t="s">
        <v>2725</v>
      </c>
    </row>
    <row r="951">
      <c r="H951" s="86" t="str">
        <f t="shared" ref="H951:H960" si="1">IF(B951=0,"",COUNTIFS('Extração'!O:O,"Não",'Extração'!J:J,A951)/B951)</f>
        <v/>
      </c>
      <c r="I951" s="86" t="str">
        <f t="shared" ref="I951:I960" si="2">IF(B951=0,"",COUNTIFS('Extração'!P:P,"Igual",'Extração'!J:J,A951)/B951)</f>
        <v/>
      </c>
    </row>
    <row r="952">
      <c r="H952" s="86" t="str">
        <f t="shared" si="1"/>
        <v/>
      </c>
      <c r="I952" s="86" t="str">
        <f t="shared" si="2"/>
        <v/>
      </c>
    </row>
    <row r="953">
      <c r="H953" s="86" t="str">
        <f t="shared" si="1"/>
        <v/>
      </c>
      <c r="I953" s="86" t="str">
        <f t="shared" si="2"/>
        <v/>
      </c>
    </row>
    <row r="954">
      <c r="H954" s="86" t="str">
        <f t="shared" si="1"/>
        <v/>
      </c>
      <c r="I954" s="86" t="str">
        <f t="shared" si="2"/>
        <v/>
      </c>
    </row>
    <row r="955">
      <c r="H955" s="86" t="str">
        <f t="shared" si="1"/>
        <v/>
      </c>
      <c r="I955" s="86" t="str">
        <f t="shared" si="2"/>
        <v/>
      </c>
    </row>
    <row r="956">
      <c r="H956" s="86" t="str">
        <f t="shared" si="1"/>
        <v/>
      </c>
      <c r="I956" s="86" t="str">
        <f t="shared" si="2"/>
        <v/>
      </c>
    </row>
    <row r="957">
      <c r="H957" s="86" t="str">
        <f t="shared" si="1"/>
        <v/>
      </c>
      <c r="I957" s="86" t="str">
        <f t="shared" si="2"/>
        <v/>
      </c>
    </row>
    <row r="958">
      <c r="H958" s="86" t="str">
        <f t="shared" si="1"/>
        <v/>
      </c>
      <c r="I958" s="86" t="str">
        <f t="shared" si="2"/>
        <v/>
      </c>
    </row>
    <row r="959">
      <c r="H959" s="86" t="str">
        <f t="shared" si="1"/>
        <v/>
      </c>
      <c r="I959" s="86" t="str">
        <f t="shared" si="2"/>
        <v/>
      </c>
    </row>
    <row r="960">
      <c r="H960" s="86" t="str">
        <f t="shared" si="1"/>
        <v/>
      </c>
      <c r="I960" s="86" t="str">
        <f t="shared" si="2"/>
        <v/>
      </c>
    </row>
  </sheetData>
  <conditionalFormatting sqref="C2:C4 D5 C6:C960">
    <cfRule type="cellIs" dxfId="1" priority="1" operator="greaterThanOrEqual">
      <formula>0.5</formula>
    </cfRule>
  </conditionalFormatting>
  <conditionalFormatting sqref="C2:C4 D5 C6:C960">
    <cfRule type="cellIs" dxfId="5" priority="2" operator="lessThan">
      <formula>0.5</formula>
    </cfRule>
  </conditionalFormatting>
  <conditionalFormatting sqref="D2:D4 D10:D960">
    <cfRule type="cellIs" dxfId="1" priority="3" operator="greaterThanOrEqual">
      <formula>0.5</formula>
    </cfRule>
  </conditionalFormatting>
  <conditionalFormatting sqref="D2:D4 D10:D960">
    <cfRule type="cellIs" dxfId="5" priority="4" operator="lessThan">
      <formula>0.5</formula>
    </cfRule>
  </conditionalFormatting>
  <conditionalFormatting sqref="E2:E4 F5 E10:E960">
    <cfRule type="cellIs" dxfId="1" priority="5" operator="greaterThanOrEqual">
      <formula>0.5</formula>
    </cfRule>
  </conditionalFormatting>
  <conditionalFormatting sqref="E2:E4 F5 E10:E960">
    <cfRule type="cellIs" dxfId="5" priority="6" operator="lessThan">
      <formula>0.5</formula>
    </cfRule>
  </conditionalFormatting>
  <conditionalFormatting sqref="F2:F4 F10:F22 F24:F960">
    <cfRule type="cellIs" dxfId="1" priority="7" operator="greaterThanOrEqual">
      <formula>0.5</formula>
    </cfRule>
  </conditionalFormatting>
  <conditionalFormatting sqref="F2:F4 F10:F22 F24:F960">
    <cfRule type="cellIs" dxfId="5" priority="8" operator="lessThan">
      <formula>0.5</formula>
    </cfRule>
  </conditionalFormatting>
  <conditionalFormatting sqref="G2:G4 G11:G22 G24:G26 H26 G28:G960 H32 H34:H35 H37 H39 H42 K42:K43 H45:H46 K45:K46 K49:K50 H55 H57:H60 H65 H68:H69">
    <cfRule type="cellIs" dxfId="1" priority="9" operator="greaterThanOrEqual">
      <formula>0.5</formula>
    </cfRule>
  </conditionalFormatting>
  <conditionalFormatting sqref="G2:G4 G11:G22 G24:G26 H26 G28:G960 H32 H34:H35 H37 H39 H42 K42:K43 H45:H46 K45:K46 K49:K50 H55 H57:H60 H65 H68:H69">
    <cfRule type="cellIs" dxfId="5" priority="10" operator="lessThan">
      <formula>0.5</formula>
    </cfRule>
  </conditionalFormatting>
  <conditionalFormatting sqref="H2:H4 G10 H11:H26 H28:H960 I52">
    <cfRule type="cellIs" dxfId="1" priority="11" operator="greaterThanOrEqual">
      <formula>0.5</formula>
    </cfRule>
  </conditionalFormatting>
  <conditionalFormatting sqref="H2:H4 G10 H11:H26 H28:H960 I52">
    <cfRule type="cellIs" dxfId="5" priority="12" operator="lessThan">
      <formula>0.5</formula>
    </cfRule>
  </conditionalFormatting>
  <conditionalFormatting sqref="I2:I4 H10 I11:I46 J20 Q20:U20 J29 J32 J38:J39 J42:J46 I51:I68 J65:J69 I71:I960 J71">
    <cfRule type="cellIs" dxfId="1" priority="13" operator="greaterThanOrEqual">
      <formula>0.5</formula>
    </cfRule>
  </conditionalFormatting>
  <conditionalFormatting sqref="I2:I4 H10 I11:I46 J20 Q20:U20 J29 J32 J38:J39 J42:J46 I51:I68 J65:J69 I71:I960 J71">
    <cfRule type="cellIs" dxfId="5" priority="14" operator="lessThan">
      <formula>0.5</formula>
    </cfRule>
  </conditionalFormatting>
  <printOptions gridLines="1" horizontalCentered="1"/>
  <pageMargins bottom="0.75" footer="0.0" header="0.0" left="0.7" right="0.7" top="0.75"/>
  <pageSetup fitToHeight="0" paperSize="9" cellComments="atEnd" orientation="landscape" pageOrder="overThenDown"/>
  <drawing r:id="rId1"/>
</worksheet>
</file>